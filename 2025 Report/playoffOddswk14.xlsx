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brenton/Documents/GitHub/Fantasy-Football/2025 Report/"/>
    </mc:Choice>
  </mc:AlternateContent>
  <xr:revisionPtr revIDLastSave="0" documentId="13_ncr:1_{F501C1AC-0E59-744E-955D-504F64085891}" xr6:coauthVersionLast="47" xr6:coauthVersionMax="47" xr10:uidLastSave="{00000000-0000-0000-0000-000000000000}"/>
  <bookViews>
    <workbookView xWindow="0" yWindow="760" windowWidth="19340" windowHeight="1938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H15" i="1"/>
  <c r="H3" i="1"/>
  <c r="L76" i="1"/>
  <c r="L67" i="1"/>
  <c r="L71" i="1"/>
  <c r="L64" i="1"/>
  <c r="L60" i="1"/>
  <c r="L54" i="1"/>
  <c r="L46" i="1"/>
  <c r="L45" i="1"/>
  <c r="L37" i="1"/>
  <c r="L38" i="1"/>
  <c r="L23" i="1"/>
  <c r="L34" i="1"/>
  <c r="L31" i="1"/>
  <c r="B28" i="1"/>
  <c r="C27" i="1"/>
  <c r="C28" i="1" s="1"/>
  <c r="B26" i="1"/>
  <c r="C26" i="1" s="1"/>
  <c r="B23" i="1"/>
  <c r="C23" i="1" s="1"/>
  <c r="L36" i="1" s="1"/>
  <c r="C20" i="1"/>
  <c r="L65" i="1" s="1"/>
  <c r="C24" i="1"/>
  <c r="L22" i="1" s="1"/>
  <c r="C25" i="1"/>
  <c r="C22" i="1"/>
  <c r="L73" i="1" s="1"/>
  <c r="H5" i="1" l="1"/>
  <c r="L72" i="1"/>
  <c r="L42" i="1"/>
  <c r="L56" i="1"/>
  <c r="L74" i="1"/>
  <c r="L47" i="1"/>
  <c r="M48" i="1" s="1"/>
  <c r="L39" i="1"/>
  <c r="H4" i="1" s="1"/>
  <c r="L44" i="1"/>
  <c r="L30" i="1"/>
  <c r="C21" i="1"/>
  <c r="L57" i="1" s="1"/>
  <c r="L75" i="1" l="1"/>
  <c r="H11" i="1" s="1"/>
  <c r="L55" i="1"/>
  <c r="L66" i="1"/>
  <c r="H9" i="1" s="1"/>
  <c r="L48" i="1"/>
  <c r="H2" i="1" s="1"/>
  <c r="L58" i="1" l="1"/>
  <c r="H10" i="1" s="1"/>
</calcChain>
</file>

<file path=xl/sharedStrings.xml><?xml version="1.0" encoding="utf-8"?>
<sst xmlns="http://schemas.openxmlformats.org/spreadsheetml/2006/main" count="107" uniqueCount="80">
  <si>
    <t>Team</t>
  </si>
  <si>
    <t>Mr. Fans Noodle Haus</t>
  </si>
  <si>
    <t>Pierogi Night</t>
  </si>
  <si>
    <t>Sackwash Lyfe</t>
  </si>
  <si>
    <t>Gee Whiz Darnell</t>
  </si>
  <si>
    <t>Sacko Odds</t>
  </si>
  <si>
    <t>Gee Whiz prob</t>
  </si>
  <si>
    <t>Sackwash prob</t>
  </si>
  <si>
    <t>Win</t>
  </si>
  <si>
    <t>Loss</t>
  </si>
  <si>
    <t>Thurs</t>
  </si>
  <si>
    <t>Fuck wit Tre Day</t>
  </si>
  <si>
    <t>Pay Dirt &amp; Pylons V</t>
  </si>
  <si>
    <t>Grip Hamilton Memorial 5K</t>
  </si>
  <si>
    <t>Top 2 Odds</t>
  </si>
  <si>
    <t>Blunt Dissection</t>
  </si>
  <si>
    <t>GOBias Industries</t>
  </si>
  <si>
    <t>Pierogi prob</t>
  </si>
  <si>
    <t>Mr Fan prob</t>
  </si>
  <si>
    <t>Fuck prob</t>
  </si>
  <si>
    <t>Grip prob</t>
  </si>
  <si>
    <t>Pay Dirt prob</t>
  </si>
  <si>
    <t>GOBias</t>
  </si>
  <si>
    <t>Blunt prob</t>
  </si>
  <si>
    <t>Todd</t>
  </si>
  <si>
    <t>Win and</t>
  </si>
  <si>
    <t>EITHER</t>
  </si>
  <si>
    <t>Cam loses</t>
  </si>
  <si>
    <t>Cam wins but cannot make up 81 point difference</t>
  </si>
  <si>
    <t>Kevin</t>
  </si>
  <si>
    <t xml:space="preserve">Win and </t>
  </si>
  <si>
    <t>Cam wins but cannot hold 19 point difference</t>
  </si>
  <si>
    <t>Cam</t>
  </si>
  <si>
    <t>Fan loses and makes up 52 point advantage</t>
  </si>
  <si>
    <t>Kevin wins and Cam is able to hold 19 point adv</t>
  </si>
  <si>
    <t>Todd wins and Cam is able to score 81 points more</t>
  </si>
  <si>
    <t>Jay</t>
  </si>
  <si>
    <t>Win - in</t>
  </si>
  <si>
    <t>Lose and EITHER</t>
  </si>
  <si>
    <t>Cam wins and cannot overcome 52 point difference</t>
  </si>
  <si>
    <t xml:space="preserve">Cam wins and overcomes 52 point difference, but Kevin wins and fails to overcome 80 point deficit </t>
  </si>
  <si>
    <t>Cam wins and makes up 81 point difference, but Todd holds off Mr Fan's 29 pt advantage (negligible scenario)</t>
  </si>
  <si>
    <t>Fan loses and Kevin makes up 80 point deficit (negligible)</t>
  </si>
  <si>
    <t>Total</t>
  </si>
  <si>
    <t xml:space="preserve">Cam wins and overcomes 52 point difference, but Todd wins yet fails to hold onto 20 point margin </t>
  </si>
  <si>
    <t>P(Sackwash lower than Gee Whiz)</t>
  </si>
  <si>
    <t>P(Sackwash lower than Pierogi)</t>
  </si>
  <si>
    <t>P(Gee Whiz lower than Pierogi)</t>
  </si>
  <si>
    <t>Brenton</t>
  </si>
  <si>
    <t>Lose and</t>
  </si>
  <si>
    <t>Sackwash win and Pierogi win</t>
  </si>
  <si>
    <t>Pierogi win, Sackwash loss, but Sackwash catches Gee Whiz</t>
  </si>
  <si>
    <t>Sackwash win, Pierogi loss, but Gee Whiz cannot catch Pierogi</t>
  </si>
  <si>
    <t>Both lose but Gee Whiz has lowest score</t>
  </si>
  <si>
    <t>Loss chance of Sacko</t>
  </si>
  <si>
    <t>Sackwash win, Pierogi win, and Gee Whiz has lowest score</t>
  </si>
  <si>
    <t>Sackwash and Brenton win</t>
  </si>
  <si>
    <t>Sackwash wins, Brenton loses, Pierogi does not hold off Brenton</t>
  </si>
  <si>
    <t>Brenton wins, Sackwash loses, Pierogi does not hold off Sackwash</t>
  </si>
  <si>
    <t>Tommy</t>
  </si>
  <si>
    <t>Pierogi and Brenton win</t>
  </si>
  <si>
    <t>Pierogi wins, Brenton loses, Tommy cannot catch Brenton</t>
  </si>
  <si>
    <t>Brenton wins, Pierogi loses, Tommy cannot catch Pierogi</t>
  </si>
  <si>
    <t>Win and somehow have the lowest score, after B and T win</t>
  </si>
  <si>
    <t>All lose but Tommy cannot catch anyone</t>
  </si>
  <si>
    <t>Win and other two teams win, and cannot catch Brenton</t>
  </si>
  <si>
    <t>P(Sackwash has lowest score)</t>
  </si>
  <si>
    <t>P(Gee Whiz has lowest score)</t>
  </si>
  <si>
    <t>P(Pierogi has lowest score)</t>
  </si>
  <si>
    <t>P(Todd over Cam)</t>
  </si>
  <si>
    <t>P(Kevin over Cam)</t>
  </si>
  <si>
    <t>P(Cam over Jay)</t>
  </si>
  <si>
    <t>P(Jay over Todd)</t>
  </si>
  <si>
    <t>P(Jay over Kevin)</t>
  </si>
  <si>
    <t>Sun 1pm</t>
  </si>
  <si>
    <t>Sun 2:30pm</t>
  </si>
  <si>
    <t>Sun 4:15pm</t>
  </si>
  <si>
    <t>Sun 6:15pm</t>
  </si>
  <si>
    <t>Sun 7:30pm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</si>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</sst>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9" fontId="0" fillId="0" borderId="0" xfId="0" applyNumberFormat="1"/>
    <xf numFmtId="9" fontId="0" fillId="0" borderId="0" xfId="1" applyFont="1" applyFill="1"/>
    <xf numFmtId="0" fontId="0" fillId="2" borderId="0" xfId="0" applyFill="1"/>
    <xf numFmtId="164" fontId="0" fillId="0" borderId="0" xfId="1" applyNumberFormat="1" applyFont="1"/>
    <xf numFmtId="164" fontId="0" fillId="0" borderId="0" xfId="0" applyNumberFormat="1"/>
    <xf numFmtId="0" fontId="0" fillId="3" borderId="0" xfId="0" applyFill="1"/>
    <xf numFmtId="0" fontId="0" fillId="4" borderId="0" xfId="0" applyFill="1"/>
    <xf numFmtId="2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H20" sqref="H20"/>
    </sheetView>
  </sheetViews>
  <sheetFormatPr baseColWidth="10" defaultRowHeight="16" x14ac:dyDescent="0.2"/>
  <cols>
    <col min="1" max="1" width="46.33203125" customWidth="1"/>
    <col min="2" max="2" width="13.5" customWidth="1"/>
    <col min="3" max="3" width="15" customWidth="1"/>
    <col min="4" max="4" width="14.83203125" customWidth="1"/>
    <col min="5" max="5" width="15.33203125" customWidth="1"/>
    <col min="6" max="6" width="14.5" customWidth="1"/>
    <col min="11" max="11" width="66.33203125" customWidth="1"/>
  </cols>
  <sheetData>
    <row r="1" spans="1:8" x14ac:dyDescent="0.2">
      <c r="A1" s="8" t="s">
        <v>0</v>
      </c>
      <c r="B1" s="8" t="s">
        <v>10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</row>
    <row r="2" spans="1:8" x14ac:dyDescent="0.2">
      <c r="A2" t="s">
        <v>1</v>
      </c>
      <c r="B2" s="1">
        <v>0.9876101033600001</v>
      </c>
      <c r="C2" s="1">
        <v>0.88134883948718268</v>
      </c>
      <c r="D2" s="1">
        <v>0.75128639984004941</v>
      </c>
      <c r="E2" s="1">
        <v>0.98457586086503435</v>
      </c>
      <c r="F2" s="1">
        <v>0.98727913746086204</v>
      </c>
      <c r="G2" s="1">
        <v>0.99048000000000003</v>
      </c>
      <c r="H2" s="10">
        <f>$B$23+$C$23*$L$48</f>
        <v>0.99160000000000004</v>
      </c>
    </row>
    <row r="3" spans="1:8" x14ac:dyDescent="0.2">
      <c r="A3" t="s">
        <v>11</v>
      </c>
      <c r="B3" s="1">
        <v>0.7</v>
      </c>
      <c r="C3" s="1">
        <v>0.628992</v>
      </c>
      <c r="D3" s="1">
        <v>0.76822900000000005</v>
      </c>
      <c r="E3" s="1">
        <v>0.99</v>
      </c>
      <c r="F3" s="1">
        <v>0.99</v>
      </c>
      <c r="G3" s="1">
        <v>1</v>
      </c>
      <c r="H3" s="10">
        <f>$B$26*$B$31</f>
        <v>1</v>
      </c>
    </row>
    <row r="4" spans="1:8" x14ac:dyDescent="0.2">
      <c r="A4" t="s">
        <v>12</v>
      </c>
      <c r="B4" s="1">
        <v>0.15841440000000004</v>
      </c>
      <c r="C4" s="1">
        <v>0.36045954140455999</v>
      </c>
      <c r="D4" s="1">
        <v>0.40728171119138995</v>
      </c>
      <c r="E4" s="1">
        <v>1.8246793711999998E-2</v>
      </c>
      <c r="F4" s="1">
        <v>1.5122544759999999E-2</v>
      </c>
      <c r="G4" s="1">
        <v>9.5199999999999989E-3</v>
      </c>
      <c r="H4" s="10">
        <f>$B$24*$L$39</f>
        <v>8.4000000000000012E-3</v>
      </c>
    </row>
    <row r="5" spans="1:8" x14ac:dyDescent="0.2">
      <c r="A5" t="s">
        <v>13</v>
      </c>
      <c r="B5" s="1">
        <v>0.1542</v>
      </c>
      <c r="C5" s="1">
        <v>0.11457679000000001</v>
      </c>
      <c r="D5" s="1">
        <v>8.6389609999999992E-2</v>
      </c>
      <c r="E5" s="1">
        <v>7.5065000000000002E-3</v>
      </c>
      <c r="F5" s="1">
        <v>8.0052000000000005E-3</v>
      </c>
      <c r="G5" s="1">
        <v>0</v>
      </c>
      <c r="H5" s="10">
        <f>$B$25 * ($C$24+$B$24*$B$32)</f>
        <v>0</v>
      </c>
    </row>
    <row r="6" spans="1:8" x14ac:dyDescent="0.2">
      <c r="C6" s="2"/>
      <c r="D6" s="2"/>
      <c r="E6" s="2"/>
      <c r="F6" s="5"/>
      <c r="G6" s="6"/>
      <c r="H6" s="6"/>
    </row>
    <row r="7" spans="1:8" x14ac:dyDescent="0.2">
      <c r="A7" t="s">
        <v>5</v>
      </c>
    </row>
    <row r="8" spans="1:8" x14ac:dyDescent="0.2">
      <c r="A8" s="8" t="s">
        <v>0</v>
      </c>
      <c r="B8" s="8" t="s">
        <v>10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78</v>
      </c>
      <c r="H8" s="8" t="s">
        <v>79</v>
      </c>
    </row>
    <row r="9" spans="1:8" x14ac:dyDescent="0.2">
      <c r="A9" t="s">
        <v>2</v>
      </c>
      <c r="B9" s="1">
        <v>0.17958399999999999</v>
      </c>
      <c r="C9" s="1">
        <v>0.13374509800000003</v>
      </c>
      <c r="D9" s="1">
        <v>0.40644249083999995</v>
      </c>
      <c r="E9" s="1">
        <v>0.28673638079999997</v>
      </c>
      <c r="F9" s="1">
        <v>0.59270945600000013</v>
      </c>
      <c r="G9" s="1">
        <v>0.77031486000000005</v>
      </c>
      <c r="H9" s="10">
        <f>$C$22*(SUM($L$64:$L$66))+$B$22*$L$67</f>
        <v>0.89329786</v>
      </c>
    </row>
    <row r="10" spans="1:8" x14ac:dyDescent="0.2">
      <c r="A10" t="s">
        <v>4</v>
      </c>
      <c r="B10" s="1">
        <v>0.42374399999999995</v>
      </c>
      <c r="C10" s="1">
        <v>0.47827701600000005</v>
      </c>
      <c r="D10" s="1">
        <v>0.27537038120000001</v>
      </c>
      <c r="E10" s="1">
        <v>0.57245425599999988</v>
      </c>
      <c r="F10" s="1">
        <v>0.36226772000000002</v>
      </c>
      <c r="G10" s="1">
        <v>7.1985140000000017E-2</v>
      </c>
      <c r="H10" s="10">
        <f>$C$20*$L$58+$B$20*$L$60</f>
        <v>3.3802139999999994E-2</v>
      </c>
    </row>
    <row r="11" spans="1:8" x14ac:dyDescent="0.2">
      <c r="A11" t="s">
        <v>3</v>
      </c>
      <c r="B11" s="1">
        <v>0.39667200000000002</v>
      </c>
      <c r="C11" s="1">
        <v>0.38763065999999996</v>
      </c>
      <c r="D11" s="1">
        <v>0.3168366782</v>
      </c>
      <c r="E11" s="1">
        <v>0.14004204000000003</v>
      </c>
      <c r="F11" s="1">
        <v>4.4675399999999997E-2</v>
      </c>
      <c r="G11" s="1">
        <v>0.15770000000000001</v>
      </c>
      <c r="H11" s="10">
        <f>$B$21*$L$76+$C$21*$L$75</f>
        <v>7.2900000000000006E-2</v>
      </c>
    </row>
    <row r="13" spans="1:8" x14ac:dyDescent="0.2">
      <c r="A13" t="s">
        <v>14</v>
      </c>
    </row>
    <row r="14" spans="1:8" x14ac:dyDescent="0.2">
      <c r="A14" s="8" t="s">
        <v>0</v>
      </c>
      <c r="B14" s="8" t="s">
        <v>10</v>
      </c>
      <c r="C14" s="8" t="s">
        <v>74</v>
      </c>
      <c r="D14" s="8" t="s">
        <v>75</v>
      </c>
      <c r="E14" s="8" t="s">
        <v>76</v>
      </c>
      <c r="F14" s="8" t="s">
        <v>77</v>
      </c>
      <c r="G14" s="8" t="s">
        <v>78</v>
      </c>
      <c r="H14" s="8" t="s">
        <v>79</v>
      </c>
    </row>
    <row r="15" spans="1:8" x14ac:dyDescent="0.2">
      <c r="A15" t="s">
        <v>15</v>
      </c>
      <c r="B15" s="1">
        <v>0.57000000000000006</v>
      </c>
      <c r="C15" s="1">
        <v>0.43000000000000005</v>
      </c>
      <c r="D15" s="1">
        <v>0.39</v>
      </c>
      <c r="E15" s="1">
        <v>1.0000000000000009E-2</v>
      </c>
      <c r="F15" s="1">
        <v>0</v>
      </c>
      <c r="G15" s="1">
        <v>0</v>
      </c>
      <c r="H15" s="1">
        <f>$B$28</f>
        <v>0</v>
      </c>
    </row>
    <row r="16" spans="1:8" x14ac:dyDescent="0.2">
      <c r="A16" t="s">
        <v>16</v>
      </c>
      <c r="B16" s="1">
        <v>0.43</v>
      </c>
      <c r="C16" s="1">
        <v>0.56999999999999995</v>
      </c>
      <c r="D16" s="1">
        <v>0.61</v>
      </c>
      <c r="E16" s="1">
        <v>0.99</v>
      </c>
      <c r="F16" s="1">
        <v>1</v>
      </c>
      <c r="G16" s="1">
        <v>1</v>
      </c>
      <c r="H16" s="1">
        <f>$B$27</f>
        <v>1</v>
      </c>
    </row>
    <row r="19" spans="1:12" x14ac:dyDescent="0.2">
      <c r="B19" t="s">
        <v>8</v>
      </c>
      <c r="C19" t="s">
        <v>9</v>
      </c>
      <c r="K19" t="s">
        <v>24</v>
      </c>
    </row>
    <row r="20" spans="1:12" x14ac:dyDescent="0.2">
      <c r="A20" t="s">
        <v>6</v>
      </c>
      <c r="B20" s="4">
        <v>0.81</v>
      </c>
      <c r="C20">
        <f>1-B20</f>
        <v>0.18999999999999995</v>
      </c>
      <c r="K20" t="s">
        <v>25</v>
      </c>
    </row>
    <row r="21" spans="1:12" x14ac:dyDescent="0.2">
      <c r="A21" t="s">
        <v>7</v>
      </c>
      <c r="B21" s="4">
        <v>1</v>
      </c>
      <c r="C21">
        <f t="shared" ref="C21:C27" si="0">1-B21</f>
        <v>0</v>
      </c>
      <c r="K21" t="s">
        <v>26</v>
      </c>
    </row>
    <row r="22" spans="1:12" x14ac:dyDescent="0.2">
      <c r="A22" t="s">
        <v>17</v>
      </c>
      <c r="B22" s="4">
        <v>0.09</v>
      </c>
      <c r="C22">
        <f t="shared" si="0"/>
        <v>0.91</v>
      </c>
      <c r="K22" t="s">
        <v>27</v>
      </c>
      <c r="L22">
        <f>C24</f>
        <v>0.8</v>
      </c>
    </row>
    <row r="23" spans="1:12" x14ac:dyDescent="0.2">
      <c r="A23" t="s">
        <v>18</v>
      </c>
      <c r="B23" s="7">
        <f>1-B21</f>
        <v>0</v>
      </c>
      <c r="C23">
        <f t="shared" si="0"/>
        <v>1</v>
      </c>
      <c r="K23" t="s">
        <v>28</v>
      </c>
      <c r="L23">
        <f>B24*B31</f>
        <v>0.2</v>
      </c>
    </row>
    <row r="24" spans="1:12" x14ac:dyDescent="0.2">
      <c r="A24" t="s">
        <v>21</v>
      </c>
      <c r="B24" s="4">
        <v>0.2</v>
      </c>
      <c r="C24">
        <f t="shared" si="0"/>
        <v>0.8</v>
      </c>
      <c r="K24" t="s">
        <v>41</v>
      </c>
      <c r="L24">
        <v>0</v>
      </c>
    </row>
    <row r="25" spans="1:12" x14ac:dyDescent="0.2">
      <c r="A25" t="s">
        <v>20</v>
      </c>
      <c r="B25" s="4">
        <v>0</v>
      </c>
      <c r="C25">
        <f t="shared" si="0"/>
        <v>1</v>
      </c>
    </row>
    <row r="26" spans="1:12" x14ac:dyDescent="0.2">
      <c r="A26" t="s">
        <v>19</v>
      </c>
      <c r="B26" s="7">
        <f>1-B25</f>
        <v>1</v>
      </c>
      <c r="C26">
        <f t="shared" si="0"/>
        <v>0</v>
      </c>
      <c r="K26" t="s">
        <v>29</v>
      </c>
    </row>
    <row r="27" spans="1:12" x14ac:dyDescent="0.2">
      <c r="A27" t="s">
        <v>22</v>
      </c>
      <c r="B27" s="4">
        <v>1</v>
      </c>
      <c r="C27">
        <f t="shared" si="0"/>
        <v>0</v>
      </c>
      <c r="K27" t="s">
        <v>30</v>
      </c>
    </row>
    <row r="28" spans="1:12" x14ac:dyDescent="0.2">
      <c r="A28" t="s">
        <v>23</v>
      </c>
      <c r="B28" s="7">
        <f>1-B27</f>
        <v>0</v>
      </c>
      <c r="C28" s="7">
        <f>1-C27</f>
        <v>1</v>
      </c>
      <c r="K28" t="s">
        <v>26</v>
      </c>
    </row>
    <row r="29" spans="1:12" x14ac:dyDescent="0.2">
      <c r="B29" s="7"/>
      <c r="K29" t="s">
        <v>42</v>
      </c>
      <c r="L29">
        <v>0</v>
      </c>
    </row>
    <row r="30" spans="1:12" x14ac:dyDescent="0.2">
      <c r="K30" t="s">
        <v>27</v>
      </c>
      <c r="L30">
        <f>C24</f>
        <v>0.8</v>
      </c>
    </row>
    <row r="31" spans="1:12" x14ac:dyDescent="0.2">
      <c r="A31" t="s">
        <v>69</v>
      </c>
      <c r="B31" s="4">
        <v>1</v>
      </c>
      <c r="K31" t="s">
        <v>31</v>
      </c>
      <c r="L31">
        <f>B24*B32</f>
        <v>0</v>
      </c>
    </row>
    <row r="32" spans="1:12" x14ac:dyDescent="0.2">
      <c r="A32" t="s">
        <v>70</v>
      </c>
      <c r="B32" s="4">
        <v>0</v>
      </c>
    </row>
    <row r="33" spans="1:13" x14ac:dyDescent="0.2">
      <c r="A33" t="s">
        <v>71</v>
      </c>
      <c r="B33" s="4">
        <v>4.2000000000000003E-2</v>
      </c>
      <c r="K33" t="s">
        <v>32</v>
      </c>
    </row>
    <row r="34" spans="1:13" x14ac:dyDescent="0.2">
      <c r="A34" t="s">
        <v>72</v>
      </c>
      <c r="B34" s="4">
        <v>0</v>
      </c>
      <c r="K34" t="s">
        <v>30</v>
      </c>
      <c r="L34">
        <f>B24</f>
        <v>0.2</v>
      </c>
    </row>
    <row r="35" spans="1:13" x14ac:dyDescent="0.2">
      <c r="A35" t="s">
        <v>73</v>
      </c>
      <c r="B35" s="4">
        <v>1</v>
      </c>
      <c r="K35" t="s">
        <v>26</v>
      </c>
    </row>
    <row r="36" spans="1:13" x14ac:dyDescent="0.2">
      <c r="K36" t="s">
        <v>33</v>
      </c>
      <c r="L36">
        <f>B33*C23</f>
        <v>4.2000000000000003E-2</v>
      </c>
    </row>
    <row r="37" spans="1:13" x14ac:dyDescent="0.2">
      <c r="A37" t="s">
        <v>66</v>
      </c>
      <c r="B37" s="4">
        <v>1</v>
      </c>
      <c r="K37" t="s">
        <v>34</v>
      </c>
      <c r="L37">
        <f>(1-B32)*B25</f>
        <v>0</v>
      </c>
    </row>
    <row r="38" spans="1:13" x14ac:dyDescent="0.2">
      <c r="A38" t="s">
        <v>67</v>
      </c>
      <c r="B38" s="4">
        <v>0</v>
      </c>
      <c r="K38" t="s">
        <v>35</v>
      </c>
      <c r="L38">
        <f>1-B31</f>
        <v>0</v>
      </c>
    </row>
    <row r="39" spans="1:13" x14ac:dyDescent="0.2">
      <c r="A39" t="s">
        <v>68</v>
      </c>
      <c r="B39" s="4">
        <v>0</v>
      </c>
      <c r="K39" t="s">
        <v>43</v>
      </c>
      <c r="L39" s="9">
        <f>L37+L36-L36*L37</f>
        <v>4.2000000000000003E-2</v>
      </c>
    </row>
    <row r="40" spans="1:13" x14ac:dyDescent="0.2">
      <c r="A40" t="s">
        <v>45</v>
      </c>
      <c r="B40" s="4">
        <v>1</v>
      </c>
    </row>
    <row r="41" spans="1:13" x14ac:dyDescent="0.2">
      <c r="A41" t="s">
        <v>46</v>
      </c>
      <c r="B41" s="4">
        <v>1</v>
      </c>
      <c r="C41" s="3"/>
      <c r="K41" t="s">
        <v>36</v>
      </c>
    </row>
    <row r="42" spans="1:13" x14ac:dyDescent="0.2">
      <c r="A42" t="s">
        <v>47</v>
      </c>
      <c r="B42" s="4">
        <v>9.6600000000000005E-2</v>
      </c>
      <c r="C42" s="3"/>
      <c r="K42" t="s">
        <v>37</v>
      </c>
      <c r="L42">
        <f>B23</f>
        <v>0</v>
      </c>
    </row>
    <row r="43" spans="1:13" x14ac:dyDescent="0.2">
      <c r="B43" s="1"/>
      <c r="C43" s="3"/>
      <c r="K43" t="s">
        <v>38</v>
      </c>
    </row>
    <row r="44" spans="1:13" x14ac:dyDescent="0.2">
      <c r="B44" s="1"/>
      <c r="K44" t="s">
        <v>27</v>
      </c>
      <c r="L44">
        <f>C24</f>
        <v>0.8</v>
      </c>
    </row>
    <row r="45" spans="1:13" x14ac:dyDescent="0.2">
      <c r="K45" t="s">
        <v>39</v>
      </c>
      <c r="L45">
        <f>B24*(1-B33)</f>
        <v>0.19159999999999999</v>
      </c>
    </row>
    <row r="46" spans="1:13" x14ac:dyDescent="0.2">
      <c r="K46" t="s">
        <v>40</v>
      </c>
      <c r="L46">
        <f>B33*B25*B35</f>
        <v>0</v>
      </c>
    </row>
    <row r="47" spans="1:13" x14ac:dyDescent="0.2">
      <c r="B47" s="1"/>
      <c r="K47" t="s">
        <v>44</v>
      </c>
      <c r="L47">
        <f>B33*B26*B34</f>
        <v>0</v>
      </c>
    </row>
    <row r="48" spans="1:13" x14ac:dyDescent="0.2">
      <c r="B48" s="1"/>
      <c r="K48" t="s">
        <v>43</v>
      </c>
      <c r="L48">
        <f>L44+(L45+L46+L47-  L45*L46 - L45*L47 - L46*L47 + L45*L46*L47)</f>
        <v>0.99160000000000004</v>
      </c>
      <c r="M48">
        <f>(L45+L46+L47-  L45*L46 - L45*L47 - L46*L47 + L45*L46*L47)</f>
        <v>0.19159999999999999</v>
      </c>
    </row>
    <row r="49" spans="2:12" x14ac:dyDescent="0.2">
      <c r="B49" s="1"/>
    </row>
    <row r="50" spans="2:12" x14ac:dyDescent="0.2">
      <c r="B50" s="1"/>
    </row>
    <row r="51" spans="2:12" x14ac:dyDescent="0.2">
      <c r="B51" s="1"/>
    </row>
    <row r="52" spans="2:12" x14ac:dyDescent="0.2">
      <c r="B52" s="1"/>
      <c r="K52" t="s">
        <v>48</v>
      </c>
    </row>
    <row r="53" spans="2:12" x14ac:dyDescent="0.2">
      <c r="B53" s="1"/>
      <c r="K53" t="s">
        <v>49</v>
      </c>
    </row>
    <row r="54" spans="2:12" x14ac:dyDescent="0.2">
      <c r="B54" s="1"/>
      <c r="K54" t="s">
        <v>50</v>
      </c>
      <c r="L54" s="1">
        <f>B21*B22</f>
        <v>0.09</v>
      </c>
    </row>
    <row r="55" spans="2:12" x14ac:dyDescent="0.2">
      <c r="K55" t="s">
        <v>51</v>
      </c>
      <c r="L55" s="1">
        <f>B22*C21*(1-B40)</f>
        <v>0</v>
      </c>
    </row>
    <row r="56" spans="2:12" x14ac:dyDescent="0.2">
      <c r="K56" t="s">
        <v>52</v>
      </c>
      <c r="L56" s="1">
        <f>B21*C22*B42</f>
        <v>8.7906000000000012E-2</v>
      </c>
    </row>
    <row r="57" spans="2:12" x14ac:dyDescent="0.2">
      <c r="B57" s="1"/>
      <c r="K57" t="s">
        <v>53</v>
      </c>
      <c r="L57" s="1">
        <f>B38*C21*C22</f>
        <v>0</v>
      </c>
    </row>
    <row r="58" spans="2:12" x14ac:dyDescent="0.2">
      <c r="B58" s="1"/>
      <c r="K58" t="s">
        <v>54</v>
      </c>
      <c r="L58" s="1">
        <f>SUM(L54:L57)</f>
        <v>0.17790600000000001</v>
      </c>
    </row>
    <row r="59" spans="2:12" x14ac:dyDescent="0.2">
      <c r="B59" s="1"/>
      <c r="K59" t="s">
        <v>30</v>
      </c>
      <c r="L59" s="1"/>
    </row>
    <row r="60" spans="2:12" x14ac:dyDescent="0.2">
      <c r="B60" s="1"/>
      <c r="K60" t="s">
        <v>55</v>
      </c>
      <c r="L60" s="1">
        <f>B22*B21*B38</f>
        <v>0</v>
      </c>
    </row>
    <row r="61" spans="2:12" x14ac:dyDescent="0.2">
      <c r="B61" s="1"/>
    </row>
    <row r="62" spans="2:12" x14ac:dyDescent="0.2">
      <c r="B62" s="1"/>
      <c r="K62" t="s">
        <v>2</v>
      </c>
    </row>
    <row r="63" spans="2:12" x14ac:dyDescent="0.2">
      <c r="K63" t="s">
        <v>49</v>
      </c>
    </row>
    <row r="64" spans="2:12" x14ac:dyDescent="0.2">
      <c r="K64" t="s">
        <v>56</v>
      </c>
      <c r="L64" s="1">
        <f>B21*B20</f>
        <v>0.81</v>
      </c>
    </row>
    <row r="65" spans="11:12" x14ac:dyDescent="0.2">
      <c r="K65" t="s">
        <v>57</v>
      </c>
      <c r="L65" s="1">
        <f>B21*C20*(1-B42)</f>
        <v>0.17164599999999994</v>
      </c>
    </row>
    <row r="66" spans="11:12" x14ac:dyDescent="0.2">
      <c r="K66" t="s">
        <v>58</v>
      </c>
      <c r="L66" s="1">
        <f>B20*C21*(1-B41)</f>
        <v>0</v>
      </c>
    </row>
    <row r="67" spans="11:12" x14ac:dyDescent="0.2">
      <c r="K67" t="s">
        <v>63</v>
      </c>
      <c r="L67" s="1">
        <f>B22*B39*B20*B21</f>
        <v>0</v>
      </c>
    </row>
    <row r="69" spans="11:12" x14ac:dyDescent="0.2">
      <c r="K69" t="s">
        <v>59</v>
      </c>
    </row>
    <row r="70" spans="11:12" x14ac:dyDescent="0.2">
      <c r="K70" t="s">
        <v>49</v>
      </c>
    </row>
    <row r="71" spans="11:12" x14ac:dyDescent="0.2">
      <c r="K71" t="s">
        <v>60</v>
      </c>
      <c r="L71" s="1">
        <f>B20*B22</f>
        <v>7.2900000000000006E-2</v>
      </c>
    </row>
    <row r="72" spans="11:12" x14ac:dyDescent="0.2">
      <c r="K72" t="s">
        <v>61</v>
      </c>
      <c r="L72" s="1">
        <f>B22*C20*B40</f>
        <v>1.7099999999999994E-2</v>
      </c>
    </row>
    <row r="73" spans="11:12" x14ac:dyDescent="0.2">
      <c r="K73" t="s">
        <v>62</v>
      </c>
      <c r="L73" s="1">
        <f>B20*C22*B41</f>
        <v>0.73710000000000009</v>
      </c>
    </row>
    <row r="74" spans="11:12" x14ac:dyDescent="0.2">
      <c r="K74" t="s">
        <v>64</v>
      </c>
      <c r="L74" s="1">
        <f>C20*C22*B37</f>
        <v>0.17289999999999997</v>
      </c>
    </row>
    <row r="75" spans="11:12" x14ac:dyDescent="0.2">
      <c r="K75" t="s">
        <v>54</v>
      </c>
      <c r="L75" s="1">
        <f>SUM(L71:L74)</f>
        <v>1</v>
      </c>
    </row>
    <row r="76" spans="11:12" x14ac:dyDescent="0.2">
      <c r="K76" t="s">
        <v>65</v>
      </c>
      <c r="L76" s="1">
        <f>B22*B20*B37</f>
        <v>7.2900000000000006E-2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Brenton Arnaboldi</cp:lastModifiedBy>
  <dcterms:created xsi:type="dcterms:W3CDTF">2024-12-13T14:17:30Z</dcterms:created>
  <dcterms:modified xsi:type="dcterms:W3CDTF">2025-12-08T13:32:46Z</dcterms:modified>
</cp:coreProperties>
</file>