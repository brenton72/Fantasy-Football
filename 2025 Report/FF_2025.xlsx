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brenton/Documents/GitHub/Fantasy-Football/2025 Report/"/>
    </mc:Choice>
  </mc:AlternateContent>
  <xr:revisionPtr revIDLastSave="0" documentId="13_ncr:1_{341E9407-65A5-4B4E-B995-B51FBB2FF598}" xr6:coauthVersionLast="47" xr6:coauthVersionMax="47" xr10:uidLastSave="{00000000-0000-0000-0000-000000000000}"/>
  <bookViews>
    <workbookView xWindow="35020" yWindow="500" windowWidth="26600" windowHeight="19960" tabRatio="500" firstSheet="13" activeTab="35" xr2:uid="{00000000-000D-0000-FFFF-FFFF00000000}"/>
  </bookViews>
  <sheets>
    <sheet name="summary" sheetId="22" r:id="rId1"/>
    <sheet name="h2h" sheetId="1" r:id="rId2"/>
    <sheet name="positional_raw" sheetId="3" r:id="rId3"/>
    <sheet name="positional_clean_2025" sheetId="41" r:id="rId4"/>
    <sheet name="top scoring games" sheetId="40" r:id="rId5"/>
    <sheet name="top scores-playoffs" sheetId="48" r:id="rId6"/>
    <sheet name="player_trends" sheetId="45" r:id="rId7"/>
    <sheet name="pa" sheetId="2" r:id="rId8"/>
    <sheet name="pa chart" sheetId="49" r:id="rId9"/>
    <sheet name="champions" sheetId="24" r:id="rId10"/>
    <sheet name="playoff record" sheetId="30" r:id="rId11"/>
    <sheet name="sims" sheetId="23" r:id="rId12"/>
    <sheet name="sims_teams" sheetId="47" r:id="rId13"/>
    <sheet name="wins_per_team" sheetId="25" r:id="rId14"/>
    <sheet name="11+" sheetId="26" r:id="rId15"/>
    <sheet name="half-split" sheetId="29" r:id="rId16"/>
    <sheet name="Tightest games" sheetId="36" r:id="rId17"/>
    <sheet name="win streaks" sheetId="32" r:id="rId18"/>
    <sheet name="sacko" sheetId="39" r:id="rId19"/>
    <sheet name="pivotwk2" sheetId="5" state="hidden" r:id="rId20"/>
    <sheet name="pivotwk3" sheetId="7" state="hidden" r:id="rId21"/>
    <sheet name="pivotwk4" sheetId="8" state="hidden" r:id="rId22"/>
    <sheet name="pivotwk5" sheetId="9" state="hidden" r:id="rId23"/>
    <sheet name="pivotwk6" sheetId="10" state="hidden" r:id="rId24"/>
    <sheet name="wk7pivot" sheetId="12" state="hidden" r:id="rId25"/>
    <sheet name="wk8pivot" sheetId="13" state="hidden" r:id="rId26"/>
    <sheet name="wk9pivot" sheetId="15" state="hidden" r:id="rId27"/>
    <sheet name="wk10pivot" sheetId="16" state="hidden" r:id="rId28"/>
    <sheet name="wk11pivot" sheetId="17" state="hidden" r:id="rId29"/>
    <sheet name="wk12pivot" sheetId="18" state="hidden" r:id="rId30"/>
    <sheet name="wk13pivot" sheetId="19" state="hidden" r:id="rId31"/>
    <sheet name="wk14pivot" sheetId="20" state="hidden" r:id="rId32"/>
    <sheet name="4 game stretch" sheetId="27" r:id="rId33"/>
    <sheet name="4 game stretch clean" sheetId="28" r:id="rId34"/>
    <sheet name="8 game stretch" sheetId="55" r:id="rId35"/>
    <sheet name="8 game clean" sheetId="56" r:id="rId36"/>
    <sheet name="best-worst teams" sheetId="34" r:id="rId37"/>
    <sheet name="9th place" sheetId="46" r:id="rId38"/>
    <sheet name="cam" sheetId="50" r:id="rId39"/>
    <sheet name="start vs finish" sheetId="51" r:id="rId40"/>
    <sheet name="start vs finish clean" sheetId="52" r:id="rId41"/>
    <sheet name="std dev_raw" sheetId="53" r:id="rId42"/>
    <sheet name="std dev" sheetId="54" r:id="rId43"/>
  </sheets>
  <definedNames>
    <definedName name="_xlnm._FilterDatabase" localSheetId="32" hidden="1">'4 game stretch'!$A$1:$P$61</definedName>
    <definedName name="_xlnm._FilterDatabase" localSheetId="1" hidden="1">h2h!$A$1:$N$503</definedName>
    <definedName name="_xlnm._FilterDatabase" localSheetId="7" hidden="1">pa!$A$1:$G$169</definedName>
    <definedName name="_xlnm._FilterDatabase" localSheetId="6" hidden="1">player_trends!$A$2:$H$341</definedName>
    <definedName name="_xlnm._FilterDatabase" localSheetId="2" hidden="1">positional_raw!$A$1:$G$3681</definedName>
    <definedName name="_xlnm._FilterDatabase" localSheetId="39" hidden="1">'start vs finish'!$A$1:$F$169</definedName>
    <definedName name="_xlnm._FilterDatabase" localSheetId="41" hidden="1">'std dev_raw'!$A$1:$D$61</definedName>
    <definedName name="_xlnm._FilterDatabase" localSheetId="13" hidden="1">wins_per_team!$A$1:$G$169</definedName>
  </definedNames>
  <calcPr calcId="191029"/>
  <pivotCaches>
    <pivotCache cacheId="0" r:id="rId44"/>
    <pivotCache cacheId="1" r:id="rId45"/>
    <pivotCache cacheId="2" r:id="rId46"/>
    <pivotCache cacheId="3" r:id="rId47"/>
    <pivotCache cacheId="4" r:id="rId48"/>
    <pivotCache cacheId="5" r:id="rId49"/>
    <pivotCache cacheId="6" r:id="rId50"/>
    <pivotCache cacheId="7" r:id="rId51"/>
    <pivotCache cacheId="8" r:id="rId52"/>
    <pivotCache cacheId="9" r:id="rId53"/>
    <pivotCache cacheId="10" r:id="rId54"/>
    <pivotCache cacheId="11" r:id="rId55"/>
    <pivotCache cacheId="12" r:id="rId56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5" i="55" l="1"/>
  <c r="L6" i="55"/>
  <c r="L7" i="55"/>
  <c r="L8" i="55"/>
  <c r="L4" i="55"/>
  <c r="L10" i="55"/>
  <c r="L11" i="55"/>
  <c r="L12" i="55"/>
  <c r="L14" i="55"/>
  <c r="L9" i="55"/>
  <c r="L15" i="55"/>
  <c r="L16" i="55"/>
  <c r="L17" i="55"/>
  <c r="L18" i="55"/>
  <c r="L13" i="55"/>
  <c r="L19" i="55"/>
  <c r="L21" i="55"/>
  <c r="L22" i="55"/>
  <c r="L24" i="55"/>
  <c r="L25" i="55"/>
  <c r="L26" i="55"/>
  <c r="L27" i="55"/>
  <c r="L20" i="55"/>
  <c r="L23" i="55"/>
  <c r="L29" i="55"/>
  <c r="L31" i="55"/>
  <c r="L32" i="55"/>
  <c r="L30" i="55"/>
  <c r="L33" i="55"/>
  <c r="L34" i="55"/>
  <c r="L35" i="55"/>
  <c r="L36" i="55"/>
  <c r="L37" i="55"/>
  <c r="L38" i="55"/>
  <c r="L39" i="55"/>
  <c r="L40" i="55"/>
  <c r="L42" i="55"/>
  <c r="L43" i="55"/>
  <c r="L44" i="55"/>
  <c r="L45" i="55"/>
  <c r="L28" i="55"/>
  <c r="L46" i="55"/>
  <c r="L47" i="55"/>
  <c r="L41" i="55"/>
  <c r="L48" i="55"/>
  <c r="L49" i="55"/>
  <c r="L51" i="55"/>
  <c r="L52" i="55"/>
  <c r="L54" i="55"/>
  <c r="L53" i="55"/>
  <c r="L50" i="55"/>
  <c r="L56" i="55"/>
  <c r="L57" i="55"/>
  <c r="L58" i="55"/>
  <c r="L59" i="55"/>
  <c r="L55" i="55"/>
  <c r="L60" i="55"/>
  <c r="L61" i="55"/>
  <c r="L62" i="55"/>
  <c r="L3" i="55"/>
  <c r="K5" i="55"/>
  <c r="K6" i="55"/>
  <c r="K7" i="55"/>
  <c r="K8" i="55"/>
  <c r="K4" i="55"/>
  <c r="K10" i="55"/>
  <c r="K11" i="55"/>
  <c r="K12" i="55"/>
  <c r="K14" i="55"/>
  <c r="K9" i="55"/>
  <c r="K15" i="55"/>
  <c r="K16" i="55"/>
  <c r="K17" i="55"/>
  <c r="K18" i="55"/>
  <c r="K13" i="55"/>
  <c r="K19" i="55"/>
  <c r="K21" i="55"/>
  <c r="K22" i="55"/>
  <c r="K24" i="55"/>
  <c r="K25" i="55"/>
  <c r="K26" i="55"/>
  <c r="K27" i="55"/>
  <c r="K20" i="55"/>
  <c r="K23" i="55"/>
  <c r="K29" i="55"/>
  <c r="K31" i="55"/>
  <c r="K32" i="55"/>
  <c r="K30" i="55"/>
  <c r="K33" i="55"/>
  <c r="K34" i="55"/>
  <c r="K35" i="55"/>
  <c r="K36" i="55"/>
  <c r="K37" i="55"/>
  <c r="K38" i="55"/>
  <c r="K39" i="55"/>
  <c r="K40" i="55"/>
  <c r="K42" i="55"/>
  <c r="K43" i="55"/>
  <c r="K44" i="55"/>
  <c r="K45" i="55"/>
  <c r="K28" i="55"/>
  <c r="K46" i="55"/>
  <c r="K47" i="55"/>
  <c r="K41" i="55"/>
  <c r="K48" i="55"/>
  <c r="K49" i="55"/>
  <c r="K51" i="55"/>
  <c r="K52" i="55"/>
  <c r="K54" i="55"/>
  <c r="K53" i="55"/>
  <c r="K50" i="55"/>
  <c r="K56" i="55"/>
  <c r="K57" i="55"/>
  <c r="K58" i="55"/>
  <c r="K59" i="55"/>
  <c r="K55" i="55"/>
  <c r="K60" i="55"/>
  <c r="K61" i="55"/>
  <c r="K62" i="55"/>
  <c r="K3" i="55"/>
  <c r="D34" i="29"/>
  <c r="E34" i="29" s="1"/>
  <c r="C34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G7" i="25" l="1"/>
  <c r="G24" i="25"/>
  <c r="G17" i="25"/>
  <c r="G13" i="25"/>
  <c r="G4" i="25"/>
  <c r="G166" i="25"/>
  <c r="G163" i="25"/>
  <c r="G151" i="25"/>
  <c r="G142" i="25"/>
  <c r="G12" i="25"/>
  <c r="G153" i="25"/>
  <c r="G168" i="25"/>
  <c r="G2" i="25"/>
  <c r="G159" i="25"/>
  <c r="G156" i="25"/>
  <c r="G154" i="25"/>
  <c r="G149" i="25"/>
  <c r="G6" i="25"/>
  <c r="G5" i="25"/>
  <c r="G143" i="25"/>
  <c r="G22" i="25"/>
  <c r="G160" i="25"/>
  <c r="G139" i="25"/>
  <c r="G167" i="25"/>
  <c r="G10" i="25"/>
  <c r="G21" i="25"/>
  <c r="G23" i="25"/>
  <c r="G135" i="25"/>
  <c r="G138" i="25"/>
  <c r="G148" i="25"/>
  <c r="G9" i="25"/>
  <c r="G152" i="25"/>
  <c r="G150" i="25"/>
  <c r="G134" i="25"/>
  <c r="G164" i="25"/>
  <c r="G155" i="25"/>
  <c r="G3" i="25"/>
  <c r="G140" i="25"/>
  <c r="G19" i="25"/>
  <c r="G136" i="25"/>
  <c r="G15" i="25"/>
  <c r="G11" i="25"/>
  <c r="G141" i="25"/>
  <c r="G165" i="25"/>
  <c r="G161" i="25"/>
  <c r="G145" i="25"/>
  <c r="G162" i="25"/>
  <c r="G147" i="25"/>
  <c r="G16" i="25" l="1"/>
  <c r="G137" i="25"/>
  <c r="G8" i="25"/>
  <c r="G146" i="25"/>
  <c r="G14" i="25"/>
  <c r="G25" i="25"/>
  <c r="G18" i="25"/>
  <c r="G169" i="25"/>
  <c r="G158" i="25"/>
  <c r="G157" i="25"/>
  <c r="G144" i="25"/>
  <c r="G20" i="25"/>
  <c r="H54" i="36"/>
  <c r="H53" i="36"/>
  <c r="H52" i="36"/>
  <c r="H51" i="36"/>
  <c r="H50" i="36"/>
  <c r="H49" i="36"/>
  <c r="H48" i="36"/>
  <c r="H47" i="36"/>
  <c r="H46" i="36"/>
  <c r="H45" i="36"/>
  <c r="P19" i="27" l="1"/>
  <c r="P17" i="27"/>
  <c r="P48" i="27"/>
  <c r="P34" i="27"/>
  <c r="P10" i="27"/>
  <c r="P54" i="27"/>
  <c r="P60" i="27"/>
  <c r="P58" i="27"/>
  <c r="P14" i="27"/>
  <c r="P28" i="27"/>
  <c r="P39" i="27"/>
  <c r="P52" i="27"/>
  <c r="O19" i="27"/>
  <c r="O17" i="27"/>
  <c r="O48" i="27"/>
  <c r="O34" i="27"/>
  <c r="O10" i="27"/>
  <c r="O54" i="27"/>
  <c r="O60" i="27"/>
  <c r="O58" i="27"/>
  <c r="O14" i="27"/>
  <c r="O28" i="27"/>
  <c r="O39" i="27"/>
  <c r="O52" i="27"/>
  <c r="J15" i="23"/>
  <c r="J14" i="23"/>
  <c r="J13" i="23"/>
  <c r="J12" i="23"/>
  <c r="J11" i="23"/>
  <c r="J9" i="23"/>
  <c r="J8" i="23"/>
  <c r="J7" i="23"/>
  <c r="J6" i="23"/>
  <c r="J5" i="23"/>
  <c r="H41" i="36"/>
  <c r="H40" i="36"/>
  <c r="H39" i="36"/>
  <c r="H38" i="36"/>
  <c r="H37" i="36"/>
  <c r="H36" i="36"/>
  <c r="H35" i="36"/>
  <c r="H34" i="36"/>
  <c r="H33" i="36"/>
  <c r="H32" i="36"/>
  <c r="H19" i="36"/>
  <c r="H20" i="36"/>
  <c r="H21" i="36"/>
  <c r="H22" i="36"/>
  <c r="H23" i="36"/>
  <c r="H24" i="36"/>
  <c r="H25" i="36"/>
  <c r="H26" i="36"/>
  <c r="H27" i="36"/>
  <c r="H18" i="36"/>
  <c r="D16" i="29"/>
  <c r="C16" i="29"/>
  <c r="H10" i="30" l="1"/>
  <c r="E134" i="2"/>
  <c r="G134" i="2" s="1"/>
  <c r="E113" i="2"/>
  <c r="G113" i="2" s="1"/>
  <c r="E159" i="2"/>
  <c r="G159" i="2" s="1"/>
  <c r="E63" i="2"/>
  <c r="G63" i="2" s="1"/>
  <c r="E132" i="2"/>
  <c r="G132" i="2" s="1"/>
  <c r="E48" i="2"/>
  <c r="G48" i="2" s="1"/>
  <c r="E16" i="2"/>
  <c r="G16" i="2" s="1"/>
  <c r="E44" i="2"/>
  <c r="G44" i="2" s="1"/>
  <c r="E80" i="2"/>
  <c r="G80" i="2" s="1"/>
  <c r="E93" i="2"/>
  <c r="G93" i="2" s="1"/>
  <c r="E18" i="2"/>
  <c r="G18" i="2" s="1"/>
  <c r="E117" i="2"/>
  <c r="G117" i="2" s="1"/>
  <c r="H27" i="40"/>
  <c r="H26" i="40"/>
  <c r="H25" i="40"/>
  <c r="H24" i="40"/>
  <c r="H23" i="40"/>
  <c r="H22" i="40"/>
  <c r="H21" i="40"/>
  <c r="H20" i="40"/>
  <c r="H19" i="40"/>
  <c r="H18" i="40"/>
  <c r="H13" i="40"/>
  <c r="H12" i="40"/>
  <c r="H11" i="40"/>
  <c r="H10" i="40"/>
  <c r="H9" i="40"/>
  <c r="H8" i="40"/>
  <c r="H7" i="40"/>
  <c r="H6" i="40"/>
  <c r="H5" i="40"/>
  <c r="H4" i="40"/>
  <c r="G12" i="22"/>
  <c r="G13" i="22"/>
  <c r="G14" i="22"/>
  <c r="G15" i="22"/>
  <c r="G16" i="22"/>
  <c r="G11" i="22"/>
  <c r="G8" i="22"/>
  <c r="G9" i="22"/>
  <c r="G10" i="22"/>
  <c r="G7" i="22"/>
  <c r="G6" i="22"/>
  <c r="G5" i="22"/>
  <c r="G2" i="1"/>
  <c r="G3" i="1"/>
  <c r="G4" i="1"/>
  <c r="G205" i="1"/>
  <c r="G6" i="1"/>
  <c r="G7" i="1"/>
  <c r="G8" i="1"/>
  <c r="G452" i="1"/>
  <c r="G9" i="1"/>
  <c r="G10" i="1"/>
  <c r="G11" i="1"/>
  <c r="G12" i="1"/>
  <c r="G469" i="1"/>
  <c r="G443" i="1"/>
  <c r="G385" i="1"/>
  <c r="G14" i="1"/>
  <c r="G489" i="1"/>
  <c r="G15" i="1"/>
  <c r="G16" i="1"/>
  <c r="G17" i="1"/>
  <c r="G496" i="1"/>
  <c r="G18" i="1"/>
  <c r="G412" i="1"/>
  <c r="G19" i="1"/>
  <c r="G20" i="1"/>
  <c r="G22" i="1"/>
  <c r="G24" i="1"/>
  <c r="G25" i="1"/>
  <c r="G26" i="1"/>
  <c r="G27" i="1"/>
  <c r="G375" i="1"/>
  <c r="G28" i="1"/>
  <c r="G29" i="1"/>
  <c r="G30" i="1"/>
  <c r="G500" i="1"/>
  <c r="G31" i="1"/>
  <c r="G359" i="1"/>
  <c r="G32" i="1"/>
  <c r="G424" i="1"/>
  <c r="G34" i="1"/>
  <c r="G35" i="1"/>
  <c r="G36" i="1"/>
  <c r="G37" i="1"/>
  <c r="G447" i="1"/>
  <c r="G38" i="1"/>
  <c r="G39" i="1"/>
  <c r="G437" i="1"/>
  <c r="G40" i="1"/>
  <c r="G41" i="1"/>
  <c r="G42" i="1"/>
  <c r="G43" i="1"/>
  <c r="G44" i="1"/>
  <c r="G414" i="1"/>
  <c r="G45" i="1"/>
  <c r="G46" i="1"/>
  <c r="G47" i="1"/>
  <c r="G48" i="1"/>
  <c r="G49" i="1"/>
  <c r="G50" i="1"/>
  <c r="G51" i="1"/>
  <c r="G52" i="1"/>
  <c r="G53" i="1"/>
  <c r="G55" i="1"/>
  <c r="G365" i="1"/>
  <c r="G56" i="1"/>
  <c r="G57" i="1"/>
  <c r="G58" i="1"/>
  <c r="G59" i="1"/>
  <c r="G60" i="1"/>
  <c r="G61" i="1"/>
  <c r="G62" i="1"/>
  <c r="G63" i="1"/>
  <c r="G473" i="1"/>
  <c r="G64" i="1"/>
  <c r="G65" i="1"/>
  <c r="G66" i="1"/>
  <c r="G67" i="1"/>
  <c r="G68" i="1"/>
  <c r="G69" i="1"/>
  <c r="G70" i="1"/>
  <c r="G346" i="1"/>
  <c r="G415" i="1"/>
  <c r="G26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8" i="1"/>
  <c r="G89" i="1"/>
  <c r="G90" i="1"/>
  <c r="G91" i="1"/>
  <c r="G92" i="1"/>
  <c r="G93" i="1"/>
  <c r="G94" i="1"/>
  <c r="G95" i="1"/>
  <c r="G96" i="1"/>
  <c r="G97" i="1"/>
  <c r="G98" i="1"/>
  <c r="G99" i="1"/>
  <c r="G265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246" i="1"/>
  <c r="G121" i="1"/>
  <c r="G122" i="1"/>
  <c r="G232" i="1"/>
  <c r="G123" i="1"/>
  <c r="G124" i="1"/>
  <c r="G125" i="1"/>
  <c r="G126" i="1"/>
  <c r="G127" i="1"/>
  <c r="G128" i="1"/>
  <c r="G129" i="1"/>
  <c r="G130" i="1"/>
  <c r="G131" i="1"/>
  <c r="G132" i="1"/>
  <c r="G133" i="1"/>
  <c r="G135" i="1"/>
  <c r="G136" i="1"/>
  <c r="G391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3" i="1"/>
  <c r="G438" i="1"/>
  <c r="G155" i="1"/>
  <c r="G156" i="1"/>
  <c r="G157" i="1"/>
  <c r="G158" i="1"/>
  <c r="G465" i="1"/>
  <c r="G159" i="1"/>
  <c r="G160" i="1"/>
  <c r="G162" i="1"/>
  <c r="G163" i="1"/>
  <c r="G164" i="1"/>
  <c r="G165" i="1"/>
  <c r="G166" i="1"/>
  <c r="G256" i="1"/>
  <c r="G167" i="1"/>
  <c r="G168" i="1"/>
  <c r="G169" i="1"/>
  <c r="G170" i="1"/>
  <c r="G171" i="1"/>
  <c r="G172" i="1"/>
  <c r="G173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2" i="1"/>
  <c r="G193" i="1"/>
  <c r="G194" i="1"/>
  <c r="G195" i="1"/>
  <c r="G196" i="1"/>
  <c r="G197" i="1"/>
  <c r="G198" i="1"/>
  <c r="G448" i="1"/>
  <c r="G199" i="1"/>
  <c r="G200" i="1"/>
  <c r="G202" i="1"/>
  <c r="G204" i="1"/>
  <c r="G71" i="1"/>
  <c r="G206" i="1"/>
  <c r="G207" i="1"/>
  <c r="G208" i="1"/>
  <c r="G209" i="1"/>
  <c r="G72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33" i="1"/>
  <c r="G227" i="1"/>
  <c r="G228" i="1"/>
  <c r="G201" i="1"/>
  <c r="G230" i="1"/>
  <c r="G231" i="1"/>
  <c r="G234" i="1"/>
  <c r="G235" i="1"/>
  <c r="G236" i="1"/>
  <c r="G237" i="1"/>
  <c r="G238" i="1"/>
  <c r="G239" i="1"/>
  <c r="G240" i="1"/>
  <c r="G241" i="1"/>
  <c r="G33" i="1"/>
  <c r="G191" i="1"/>
  <c r="G243" i="1"/>
  <c r="G244" i="1"/>
  <c r="G245" i="1"/>
  <c r="G247" i="1"/>
  <c r="G367" i="1"/>
  <c r="G248" i="1"/>
  <c r="G249" i="1"/>
  <c r="G250" i="1"/>
  <c r="G251" i="1"/>
  <c r="G252" i="1"/>
  <c r="G253" i="1"/>
  <c r="G254" i="1"/>
  <c r="G255" i="1"/>
  <c r="G257" i="1"/>
  <c r="G258" i="1"/>
  <c r="G259" i="1"/>
  <c r="G229" i="1"/>
  <c r="G260" i="1"/>
  <c r="G261" i="1"/>
  <c r="G134" i="1"/>
  <c r="G263" i="1"/>
  <c r="G264" i="1"/>
  <c r="G503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174" i="1"/>
  <c r="G290" i="1"/>
  <c r="G291" i="1"/>
  <c r="G292" i="1"/>
  <c r="G293" i="1"/>
  <c r="G294" i="1"/>
  <c r="G295" i="1"/>
  <c r="G296" i="1"/>
  <c r="G297" i="1"/>
  <c r="G298" i="1"/>
  <c r="G154" i="1"/>
  <c r="G300" i="1"/>
  <c r="G301" i="1"/>
  <c r="G302" i="1"/>
  <c r="G303" i="1"/>
  <c r="G304" i="1"/>
  <c r="G305" i="1"/>
  <c r="G306" i="1"/>
  <c r="G307" i="1"/>
  <c r="G308" i="1"/>
  <c r="G5" i="1"/>
  <c r="G310" i="1"/>
  <c r="G311" i="1"/>
  <c r="G312" i="1"/>
  <c r="G313" i="1"/>
  <c r="G314" i="1"/>
  <c r="G315" i="1"/>
  <c r="G242" i="1"/>
  <c r="G317" i="1"/>
  <c r="G318" i="1"/>
  <c r="G319" i="1"/>
  <c r="G320" i="1"/>
  <c r="G321" i="1"/>
  <c r="G203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16" i="1"/>
  <c r="G347" i="1"/>
  <c r="G348" i="1"/>
  <c r="G349" i="1"/>
  <c r="G350" i="1"/>
  <c r="G351" i="1"/>
  <c r="G352" i="1"/>
  <c r="G353" i="1"/>
  <c r="G354" i="1"/>
  <c r="G355" i="1"/>
  <c r="G451" i="1"/>
  <c r="G356" i="1"/>
  <c r="G357" i="1"/>
  <c r="G87" i="1"/>
  <c r="G358" i="1"/>
  <c r="G360" i="1"/>
  <c r="G361" i="1"/>
  <c r="G440" i="1"/>
  <c r="G363" i="1"/>
  <c r="G364" i="1"/>
  <c r="G366" i="1"/>
  <c r="G441" i="1"/>
  <c r="G379" i="1"/>
  <c r="G370" i="1"/>
  <c r="G371" i="1"/>
  <c r="G372" i="1"/>
  <c r="G373" i="1"/>
  <c r="G374" i="1"/>
  <c r="G376" i="1"/>
  <c r="G377" i="1"/>
  <c r="G378" i="1"/>
  <c r="G362" i="1"/>
  <c r="G486" i="1"/>
  <c r="G381" i="1"/>
  <c r="G382" i="1"/>
  <c r="G383" i="1"/>
  <c r="G384" i="1"/>
  <c r="G408" i="1"/>
  <c r="G386" i="1"/>
  <c r="G387" i="1"/>
  <c r="G161" i="1"/>
  <c r="G388" i="1"/>
  <c r="G422" i="1"/>
  <c r="G390" i="1"/>
  <c r="G392" i="1"/>
  <c r="G393" i="1"/>
  <c r="G394" i="1"/>
  <c r="G395" i="1"/>
  <c r="G152" i="1"/>
  <c r="G396" i="1"/>
  <c r="G397" i="1"/>
  <c r="G436" i="1"/>
  <c r="G399" i="1"/>
  <c r="G380" i="1"/>
  <c r="G401" i="1"/>
  <c r="G402" i="1"/>
  <c r="G403" i="1"/>
  <c r="G404" i="1"/>
  <c r="G405" i="1"/>
  <c r="G450" i="1"/>
  <c r="G407" i="1"/>
  <c r="G309" i="1"/>
  <c r="G409" i="1"/>
  <c r="G410" i="1"/>
  <c r="G54" i="1"/>
  <c r="G411" i="1"/>
  <c r="G413" i="1"/>
  <c r="G416" i="1"/>
  <c r="G502" i="1"/>
  <c r="G418" i="1"/>
  <c r="G406" i="1"/>
  <c r="G398" i="1"/>
  <c r="G421" i="1"/>
  <c r="G420" i="1"/>
  <c r="G423" i="1"/>
  <c r="G100" i="1"/>
  <c r="G425" i="1"/>
  <c r="G426" i="1"/>
  <c r="G427" i="1"/>
  <c r="G428" i="1"/>
  <c r="G429" i="1"/>
  <c r="G13" i="1"/>
  <c r="G431" i="1"/>
  <c r="G432" i="1"/>
  <c r="G433" i="1"/>
  <c r="G434" i="1"/>
  <c r="G435" i="1"/>
  <c r="G497" i="1"/>
  <c r="G499" i="1"/>
  <c r="G439" i="1"/>
  <c r="G471" i="1"/>
  <c r="G417" i="1"/>
  <c r="G442" i="1"/>
  <c r="G444" i="1"/>
  <c r="G445" i="1"/>
  <c r="G446" i="1"/>
  <c r="G449" i="1"/>
  <c r="G474" i="1"/>
  <c r="G453" i="1"/>
  <c r="G454" i="1"/>
  <c r="G455" i="1"/>
  <c r="G456" i="1"/>
  <c r="G23" i="1"/>
  <c r="G457" i="1"/>
  <c r="G458" i="1"/>
  <c r="G459" i="1"/>
  <c r="G21" i="1"/>
  <c r="G460" i="1"/>
  <c r="G461" i="1"/>
  <c r="G462" i="1"/>
  <c r="G463" i="1"/>
  <c r="G464" i="1"/>
  <c r="G466" i="1"/>
  <c r="G467" i="1"/>
  <c r="G468" i="1"/>
  <c r="G389" i="1"/>
  <c r="G472" i="1"/>
  <c r="G430" i="1"/>
  <c r="G475" i="1"/>
  <c r="G476" i="1"/>
  <c r="G477" i="1"/>
  <c r="G478" i="1"/>
  <c r="G479" i="1"/>
  <c r="G480" i="1"/>
  <c r="G481" i="1"/>
  <c r="G482" i="1"/>
  <c r="G483" i="1"/>
  <c r="G484" i="1"/>
  <c r="G485" i="1"/>
  <c r="G419" i="1"/>
  <c r="G488" i="1"/>
  <c r="G490" i="1"/>
  <c r="G491" i="1"/>
  <c r="G492" i="1"/>
  <c r="G493" i="1"/>
  <c r="G494" i="1"/>
  <c r="G495" i="1"/>
  <c r="G400" i="1"/>
  <c r="G498" i="1"/>
  <c r="G210" i="1"/>
  <c r="G501" i="1"/>
  <c r="G369" i="1"/>
  <c r="G470" i="1"/>
  <c r="G299" i="1"/>
  <c r="G368" i="1"/>
  <c r="H368" i="1"/>
  <c r="H299" i="1"/>
  <c r="K368" i="1"/>
  <c r="K299" i="1"/>
  <c r="G3" i="45"/>
  <c r="G4" i="45"/>
  <c r="G226" i="45"/>
  <c r="G163" i="45"/>
  <c r="G5" i="45"/>
  <c r="G6" i="45"/>
  <c r="G303" i="45"/>
  <c r="G7" i="45"/>
  <c r="G8" i="45"/>
  <c r="G196" i="45"/>
  <c r="G185" i="45"/>
  <c r="G9" i="45"/>
  <c r="G174" i="45"/>
  <c r="G10" i="45"/>
  <c r="G307" i="45"/>
  <c r="G11" i="45"/>
  <c r="G12" i="45"/>
  <c r="G273" i="45"/>
  <c r="G13" i="45"/>
  <c r="G192" i="45"/>
  <c r="G219" i="45"/>
  <c r="G340" i="45"/>
  <c r="G14" i="45"/>
  <c r="G15" i="45"/>
  <c r="G173" i="45"/>
  <c r="G16" i="45"/>
  <c r="G176" i="45"/>
  <c r="G17" i="45"/>
  <c r="G18" i="45"/>
  <c r="G19" i="45"/>
  <c r="G257" i="45"/>
  <c r="G170" i="45"/>
  <c r="G20" i="45"/>
  <c r="G228" i="45"/>
  <c r="G21" i="45"/>
  <c r="G22" i="45"/>
  <c r="G23" i="45"/>
  <c r="G283" i="45"/>
  <c r="G231" i="45"/>
  <c r="G295" i="45"/>
  <c r="G24" i="45"/>
  <c r="G25" i="45"/>
  <c r="G202" i="45"/>
  <c r="G289" i="45"/>
  <c r="G197" i="45"/>
  <c r="G290" i="45"/>
  <c r="G171" i="45"/>
  <c r="G26" i="45"/>
  <c r="G324" i="45"/>
  <c r="G27" i="45"/>
  <c r="G28" i="45"/>
  <c r="G29" i="45"/>
  <c r="G255" i="45"/>
  <c r="G30" i="45"/>
  <c r="G31" i="45"/>
  <c r="G32" i="45"/>
  <c r="G218" i="45"/>
  <c r="G33" i="45"/>
  <c r="G224" i="45"/>
  <c r="G299" i="45"/>
  <c r="G334" i="45"/>
  <c r="G34" i="45"/>
  <c r="G35" i="45"/>
  <c r="G293" i="45"/>
  <c r="G330" i="45"/>
  <c r="G235" i="45"/>
  <c r="G242" i="45"/>
  <c r="G165" i="45"/>
  <c r="G168" i="45"/>
  <c r="G232" i="45"/>
  <c r="G341" i="45"/>
  <c r="G36" i="45"/>
  <c r="G251" i="45"/>
  <c r="G37" i="45"/>
  <c r="G38" i="45"/>
  <c r="G39" i="45"/>
  <c r="G327" i="45"/>
  <c r="G258" i="45"/>
  <c r="G210" i="45"/>
  <c r="G40" i="45"/>
  <c r="G178" i="45"/>
  <c r="G284" i="45"/>
  <c r="G325" i="45"/>
  <c r="G241" i="45"/>
  <c r="G298" i="45"/>
  <c r="G41" i="45"/>
  <c r="G193" i="45"/>
  <c r="G42" i="45"/>
  <c r="G328" i="45"/>
  <c r="G43" i="45"/>
  <c r="G207" i="45"/>
  <c r="G245" i="45"/>
  <c r="G329" i="45"/>
  <c r="G44" i="45"/>
  <c r="G179" i="45"/>
  <c r="G45" i="45"/>
  <c r="G248" i="45"/>
  <c r="G46" i="45"/>
  <c r="G216" i="45"/>
  <c r="G287" i="45"/>
  <c r="G47" i="45"/>
  <c r="G199" i="45"/>
  <c r="G48" i="45"/>
  <c r="G302" i="45"/>
  <c r="G240" i="45"/>
  <c r="G49" i="45"/>
  <c r="G50" i="45"/>
  <c r="G253" i="45"/>
  <c r="G51" i="45"/>
  <c r="G282" i="45"/>
  <c r="G250" i="45"/>
  <c r="G52" i="45"/>
  <c r="G53" i="45"/>
  <c r="G190" i="45"/>
  <c r="G54" i="45"/>
  <c r="G55" i="45"/>
  <c r="G56" i="45"/>
  <c r="G57" i="45"/>
  <c r="G58" i="45"/>
  <c r="G59" i="45"/>
  <c r="G60" i="45"/>
  <c r="G259" i="45"/>
  <c r="G209" i="45"/>
  <c r="G61" i="45"/>
  <c r="G62" i="45"/>
  <c r="G233" i="45"/>
  <c r="G331" i="45"/>
  <c r="G244" i="45"/>
  <c r="G187" i="45"/>
  <c r="G317" i="45"/>
  <c r="G63" i="45"/>
  <c r="G64" i="45"/>
  <c r="G314" i="45"/>
  <c r="G65" i="45"/>
  <c r="G265" i="45"/>
  <c r="G304" i="45"/>
  <c r="G275" i="45"/>
  <c r="G66" i="45"/>
  <c r="G276" i="45"/>
  <c r="G323" i="45"/>
  <c r="G198" i="45"/>
  <c r="G217" i="45"/>
  <c r="G67" i="45"/>
  <c r="G68" i="45"/>
  <c r="G167" i="45"/>
  <c r="G286" i="45"/>
  <c r="G319" i="45"/>
  <c r="G225" i="45"/>
  <c r="G69" i="45"/>
  <c r="G271" i="45"/>
  <c r="G70" i="45"/>
  <c r="G177" i="45"/>
  <c r="G71" i="45"/>
  <c r="G72" i="45"/>
  <c r="G318" i="45"/>
  <c r="G182" i="45"/>
  <c r="G252" i="45"/>
  <c r="G158" i="45"/>
  <c r="G215" i="45"/>
  <c r="G73" i="45"/>
  <c r="G264" i="45"/>
  <c r="G195" i="45"/>
  <c r="G180" i="45"/>
  <c r="G74" i="45"/>
  <c r="G268" i="45"/>
  <c r="G75" i="45"/>
  <c r="G321" i="45"/>
  <c r="G249" i="45"/>
  <c r="G256" i="45"/>
  <c r="G76" i="45"/>
  <c r="G77" i="45"/>
  <c r="G322" i="45"/>
  <c r="G78" i="45"/>
  <c r="G236" i="45"/>
  <c r="G184" i="45"/>
  <c r="G281" i="45"/>
  <c r="G79" i="45"/>
  <c r="G80" i="45"/>
  <c r="G164" i="45"/>
  <c r="G81" i="45"/>
  <c r="G305" i="45"/>
  <c r="G175" i="45"/>
  <c r="G243" i="45"/>
  <c r="G309" i="45"/>
  <c r="G156" i="45"/>
  <c r="G339" i="45"/>
  <c r="G189" i="45"/>
  <c r="G82" i="45"/>
  <c r="G83" i="45"/>
  <c r="G320" i="45"/>
  <c r="G220" i="45"/>
  <c r="G277" i="45"/>
  <c r="G84" i="45"/>
  <c r="G85" i="45"/>
  <c r="G239" i="45"/>
  <c r="G313" i="45"/>
  <c r="G237" i="45"/>
  <c r="G191" i="45"/>
  <c r="G279" i="45"/>
  <c r="G86" i="45"/>
  <c r="G87" i="45"/>
  <c r="G278" i="45"/>
  <c r="G300" i="45"/>
  <c r="G292" i="45"/>
  <c r="G88" i="45"/>
  <c r="G89" i="45"/>
  <c r="G90" i="45"/>
  <c r="G312" i="45"/>
  <c r="G246" i="45"/>
  <c r="G203" i="45"/>
  <c r="G338" i="45"/>
  <c r="G297" i="45"/>
  <c r="G262" i="45"/>
  <c r="G186" i="45"/>
  <c r="G162" i="45"/>
  <c r="G91" i="45"/>
  <c r="G260" i="45"/>
  <c r="G92" i="45"/>
  <c r="G93" i="45"/>
  <c r="G337" i="45"/>
  <c r="G94" i="45"/>
  <c r="G269" i="45"/>
  <c r="G95" i="45"/>
  <c r="G96" i="45"/>
  <c r="G97" i="45"/>
  <c r="G98" i="45"/>
  <c r="G157" i="45"/>
  <c r="G214" i="45"/>
  <c r="G99" i="45"/>
  <c r="G100" i="45"/>
  <c r="G101" i="45"/>
  <c r="G234" i="45"/>
  <c r="G159" i="45"/>
  <c r="G311" i="45"/>
  <c r="G102" i="45"/>
  <c r="G288" i="45"/>
  <c r="G103" i="45"/>
  <c r="G308" i="45"/>
  <c r="G160" i="45"/>
  <c r="G254" i="45"/>
  <c r="G104" i="45"/>
  <c r="G105" i="45"/>
  <c r="G221" i="45"/>
  <c r="G106" i="45"/>
  <c r="G107" i="45"/>
  <c r="G108" i="45"/>
  <c r="G109" i="45"/>
  <c r="G110" i="45"/>
  <c r="G111" i="45"/>
  <c r="G112" i="45"/>
  <c r="G172" i="45"/>
  <c r="G113" i="45"/>
  <c r="G169" i="45"/>
  <c r="G332" i="45"/>
  <c r="G333" i="45"/>
  <c r="G181" i="45"/>
  <c r="G229" i="45"/>
  <c r="G114" i="45"/>
  <c r="G294" i="45"/>
  <c r="G115" i="45"/>
  <c r="G194" i="45"/>
  <c r="G285" i="45"/>
  <c r="G161" i="45"/>
  <c r="G116" i="45"/>
  <c r="G117" i="45"/>
  <c r="G326" i="45"/>
  <c r="G310" i="45"/>
  <c r="G188" i="45"/>
  <c r="G118" i="45"/>
  <c r="G272" i="45"/>
  <c r="G291" i="45"/>
  <c r="G119" i="45"/>
  <c r="G120" i="45"/>
  <c r="G121" i="45"/>
  <c r="G208" i="45"/>
  <c r="G266" i="45"/>
  <c r="G122" i="45"/>
  <c r="G335" i="45"/>
  <c r="G205" i="45"/>
  <c r="G123" i="45"/>
  <c r="G230" i="45"/>
  <c r="G124" i="45"/>
  <c r="G125" i="45"/>
  <c r="G126" i="45"/>
  <c r="G274" i="45"/>
  <c r="G127" i="45"/>
  <c r="G261" i="45"/>
  <c r="G128" i="45"/>
  <c r="G129" i="45"/>
  <c r="G130" i="45"/>
  <c r="G213" i="45"/>
  <c r="G336" i="45"/>
  <c r="G267" i="45"/>
  <c r="G131" i="45"/>
  <c r="G132" i="45"/>
  <c r="G133" i="45"/>
  <c r="G270" i="45"/>
  <c r="G134" i="45"/>
  <c r="G227" i="45"/>
  <c r="G211" i="45"/>
  <c r="G135" i="45"/>
  <c r="G263" i="45"/>
  <c r="G212" i="45"/>
  <c r="G136" i="45"/>
  <c r="G166" i="45"/>
  <c r="G137" i="45"/>
  <c r="G206" i="45"/>
  <c r="G138" i="45"/>
  <c r="G139" i="45"/>
  <c r="G140" i="45"/>
  <c r="G222" i="45"/>
  <c r="G141" i="45"/>
  <c r="G142" i="45"/>
  <c r="G204" i="45"/>
  <c r="G200" i="45"/>
  <c r="G143" i="45"/>
  <c r="G144" i="45"/>
  <c r="G145" i="45"/>
  <c r="G146" i="45"/>
  <c r="G147" i="45"/>
  <c r="G148" i="45"/>
  <c r="G238" i="45"/>
  <c r="G316" i="45"/>
  <c r="G183" i="45"/>
  <c r="G201" i="45"/>
  <c r="G149" i="45"/>
  <c r="G150" i="45"/>
  <c r="G151" i="45"/>
  <c r="G223" i="45"/>
  <c r="G152" i="45"/>
  <c r="G296" i="45"/>
  <c r="G301" i="45"/>
  <c r="G153" i="45"/>
  <c r="G280" i="45"/>
  <c r="G315" i="45"/>
  <c r="G154" i="45"/>
  <c r="G155" i="45"/>
  <c r="G247" i="45"/>
  <c r="G306" i="45"/>
  <c r="F3" i="45"/>
  <c r="F4" i="45"/>
  <c r="F226" i="45"/>
  <c r="F163" i="45"/>
  <c r="F5" i="45"/>
  <c r="F6" i="45"/>
  <c r="F303" i="45"/>
  <c r="F7" i="45"/>
  <c r="F8" i="45"/>
  <c r="F196" i="45"/>
  <c r="F185" i="45"/>
  <c r="F9" i="45"/>
  <c r="F174" i="45"/>
  <c r="F10" i="45"/>
  <c r="F307" i="45"/>
  <c r="F11" i="45"/>
  <c r="F12" i="45"/>
  <c r="F273" i="45"/>
  <c r="F13" i="45"/>
  <c r="F192" i="45"/>
  <c r="F219" i="45"/>
  <c r="F340" i="45"/>
  <c r="F14" i="45"/>
  <c r="F15" i="45"/>
  <c r="F173" i="45"/>
  <c r="F16" i="45"/>
  <c r="F176" i="45"/>
  <c r="F17" i="45"/>
  <c r="F18" i="45"/>
  <c r="F19" i="45"/>
  <c r="F257" i="45"/>
  <c r="F170" i="45"/>
  <c r="F20" i="45"/>
  <c r="F228" i="45"/>
  <c r="F21" i="45"/>
  <c r="F22" i="45"/>
  <c r="F23" i="45"/>
  <c r="F283" i="45"/>
  <c r="F231" i="45"/>
  <c r="F295" i="45"/>
  <c r="F24" i="45"/>
  <c r="F25" i="45"/>
  <c r="F202" i="45"/>
  <c r="F289" i="45"/>
  <c r="F197" i="45"/>
  <c r="F290" i="45"/>
  <c r="F171" i="45"/>
  <c r="F26" i="45"/>
  <c r="F324" i="45"/>
  <c r="F27" i="45"/>
  <c r="F28" i="45"/>
  <c r="F29" i="45"/>
  <c r="F255" i="45"/>
  <c r="F30" i="45"/>
  <c r="F31" i="45"/>
  <c r="F32" i="45"/>
  <c r="F218" i="45"/>
  <c r="F33" i="45"/>
  <c r="F224" i="45"/>
  <c r="F299" i="45"/>
  <c r="F334" i="45"/>
  <c r="F34" i="45"/>
  <c r="F35" i="45"/>
  <c r="F293" i="45"/>
  <c r="F330" i="45"/>
  <c r="F235" i="45"/>
  <c r="F242" i="45"/>
  <c r="F165" i="45"/>
  <c r="F168" i="45"/>
  <c r="F232" i="45"/>
  <c r="F341" i="45"/>
  <c r="F36" i="45"/>
  <c r="F251" i="45"/>
  <c r="F37" i="45"/>
  <c r="F38" i="45"/>
  <c r="F39" i="45"/>
  <c r="F327" i="45"/>
  <c r="F258" i="45"/>
  <c r="F210" i="45"/>
  <c r="F40" i="45"/>
  <c r="F178" i="45"/>
  <c r="F284" i="45"/>
  <c r="F325" i="45"/>
  <c r="F241" i="45"/>
  <c r="F298" i="45"/>
  <c r="F41" i="45"/>
  <c r="F193" i="45"/>
  <c r="F42" i="45"/>
  <c r="F328" i="45"/>
  <c r="F43" i="45"/>
  <c r="F207" i="45"/>
  <c r="F245" i="45"/>
  <c r="F329" i="45"/>
  <c r="F44" i="45"/>
  <c r="F179" i="45"/>
  <c r="F45" i="45"/>
  <c r="F248" i="45"/>
  <c r="F46" i="45"/>
  <c r="F216" i="45"/>
  <c r="F287" i="45"/>
  <c r="F47" i="45"/>
  <c r="F199" i="45"/>
  <c r="F48" i="45"/>
  <c r="F302" i="45"/>
  <c r="F240" i="45"/>
  <c r="F49" i="45"/>
  <c r="F50" i="45"/>
  <c r="F253" i="45"/>
  <c r="F51" i="45"/>
  <c r="F282" i="45"/>
  <c r="F250" i="45"/>
  <c r="F52" i="45"/>
  <c r="F53" i="45"/>
  <c r="F190" i="45"/>
  <c r="F54" i="45"/>
  <c r="F55" i="45"/>
  <c r="F56" i="45"/>
  <c r="F57" i="45"/>
  <c r="F58" i="45"/>
  <c r="F59" i="45"/>
  <c r="F60" i="45"/>
  <c r="F259" i="45"/>
  <c r="F209" i="45"/>
  <c r="F61" i="45"/>
  <c r="F62" i="45"/>
  <c r="F233" i="45"/>
  <c r="F331" i="45"/>
  <c r="F244" i="45"/>
  <c r="F187" i="45"/>
  <c r="F317" i="45"/>
  <c r="F63" i="45"/>
  <c r="F64" i="45"/>
  <c r="F314" i="45"/>
  <c r="F65" i="45"/>
  <c r="F265" i="45"/>
  <c r="F304" i="45"/>
  <c r="F275" i="45"/>
  <c r="F66" i="45"/>
  <c r="F276" i="45"/>
  <c r="F323" i="45"/>
  <c r="F198" i="45"/>
  <c r="F217" i="45"/>
  <c r="F67" i="45"/>
  <c r="F68" i="45"/>
  <c r="F167" i="45"/>
  <c r="F286" i="45"/>
  <c r="F319" i="45"/>
  <c r="F225" i="45"/>
  <c r="F69" i="45"/>
  <c r="F271" i="45"/>
  <c r="F70" i="45"/>
  <c r="F177" i="45"/>
  <c r="F71" i="45"/>
  <c r="F72" i="45"/>
  <c r="F318" i="45"/>
  <c r="F182" i="45"/>
  <c r="F252" i="45"/>
  <c r="F158" i="45"/>
  <c r="F215" i="45"/>
  <c r="F73" i="45"/>
  <c r="F264" i="45"/>
  <c r="F195" i="45"/>
  <c r="F180" i="45"/>
  <c r="F74" i="45"/>
  <c r="F268" i="45"/>
  <c r="F75" i="45"/>
  <c r="F321" i="45"/>
  <c r="F249" i="45"/>
  <c r="F256" i="45"/>
  <c r="F76" i="45"/>
  <c r="F77" i="45"/>
  <c r="F322" i="45"/>
  <c r="F78" i="45"/>
  <c r="F236" i="45"/>
  <c r="F184" i="45"/>
  <c r="F281" i="45"/>
  <c r="F79" i="45"/>
  <c r="F80" i="45"/>
  <c r="F164" i="45"/>
  <c r="F81" i="45"/>
  <c r="F305" i="45"/>
  <c r="F175" i="45"/>
  <c r="F243" i="45"/>
  <c r="F309" i="45"/>
  <c r="F156" i="45"/>
  <c r="F339" i="45"/>
  <c r="F189" i="45"/>
  <c r="F82" i="45"/>
  <c r="F83" i="45"/>
  <c r="F320" i="45"/>
  <c r="F220" i="45"/>
  <c r="F277" i="45"/>
  <c r="F84" i="45"/>
  <c r="F85" i="45"/>
  <c r="F239" i="45"/>
  <c r="F313" i="45"/>
  <c r="F237" i="45"/>
  <c r="F191" i="45"/>
  <c r="F279" i="45"/>
  <c r="F86" i="45"/>
  <c r="F87" i="45"/>
  <c r="F278" i="45"/>
  <c r="F300" i="45"/>
  <c r="F292" i="45"/>
  <c r="F88" i="45"/>
  <c r="F89" i="45"/>
  <c r="F90" i="45"/>
  <c r="F312" i="45"/>
  <c r="F246" i="45"/>
  <c r="F203" i="45"/>
  <c r="F338" i="45"/>
  <c r="F297" i="45"/>
  <c r="F262" i="45"/>
  <c r="F186" i="45"/>
  <c r="F162" i="45"/>
  <c r="F91" i="45"/>
  <c r="F260" i="45"/>
  <c r="F92" i="45"/>
  <c r="F93" i="45"/>
  <c r="F337" i="45"/>
  <c r="F94" i="45"/>
  <c r="F269" i="45"/>
  <c r="F95" i="45"/>
  <c r="F96" i="45"/>
  <c r="F97" i="45"/>
  <c r="F98" i="45"/>
  <c r="F157" i="45"/>
  <c r="F214" i="45"/>
  <c r="F99" i="45"/>
  <c r="F100" i="45"/>
  <c r="F101" i="45"/>
  <c r="F234" i="45"/>
  <c r="F159" i="45"/>
  <c r="F311" i="45"/>
  <c r="F102" i="45"/>
  <c r="F288" i="45"/>
  <c r="F103" i="45"/>
  <c r="F308" i="45"/>
  <c r="F160" i="45"/>
  <c r="F254" i="45"/>
  <c r="F104" i="45"/>
  <c r="F105" i="45"/>
  <c r="F221" i="45"/>
  <c r="F106" i="45"/>
  <c r="F107" i="45"/>
  <c r="F108" i="45"/>
  <c r="F109" i="45"/>
  <c r="F110" i="45"/>
  <c r="F111" i="45"/>
  <c r="F112" i="45"/>
  <c r="F172" i="45"/>
  <c r="F113" i="45"/>
  <c r="F169" i="45"/>
  <c r="F332" i="45"/>
  <c r="F333" i="45"/>
  <c r="F181" i="45"/>
  <c r="F229" i="45"/>
  <c r="F114" i="45"/>
  <c r="F294" i="45"/>
  <c r="F115" i="45"/>
  <c r="F194" i="45"/>
  <c r="F285" i="45"/>
  <c r="F161" i="45"/>
  <c r="F116" i="45"/>
  <c r="F117" i="45"/>
  <c r="F326" i="45"/>
  <c r="F310" i="45"/>
  <c r="F188" i="45"/>
  <c r="F118" i="45"/>
  <c r="F272" i="45"/>
  <c r="F291" i="45"/>
  <c r="F119" i="45"/>
  <c r="F120" i="45"/>
  <c r="F121" i="45"/>
  <c r="F208" i="45"/>
  <c r="F266" i="45"/>
  <c r="F122" i="45"/>
  <c r="F335" i="45"/>
  <c r="F205" i="45"/>
  <c r="F123" i="45"/>
  <c r="F230" i="45"/>
  <c r="F124" i="45"/>
  <c r="F125" i="45"/>
  <c r="F126" i="45"/>
  <c r="F274" i="45"/>
  <c r="F127" i="45"/>
  <c r="F261" i="45"/>
  <c r="F128" i="45"/>
  <c r="F129" i="45"/>
  <c r="F130" i="45"/>
  <c r="F213" i="45"/>
  <c r="F336" i="45"/>
  <c r="F267" i="45"/>
  <c r="F131" i="45"/>
  <c r="F132" i="45"/>
  <c r="F133" i="45"/>
  <c r="F270" i="45"/>
  <c r="F134" i="45"/>
  <c r="F227" i="45"/>
  <c r="F211" i="45"/>
  <c r="F135" i="45"/>
  <c r="F263" i="45"/>
  <c r="F212" i="45"/>
  <c r="F136" i="45"/>
  <c r="F166" i="45"/>
  <c r="F137" i="45"/>
  <c r="F206" i="45"/>
  <c r="F138" i="45"/>
  <c r="F139" i="45"/>
  <c r="F140" i="45"/>
  <c r="F222" i="45"/>
  <c r="F141" i="45"/>
  <c r="F142" i="45"/>
  <c r="F204" i="45"/>
  <c r="F200" i="45"/>
  <c r="F143" i="45"/>
  <c r="F144" i="45"/>
  <c r="F145" i="45"/>
  <c r="F146" i="45"/>
  <c r="F147" i="45"/>
  <c r="F148" i="45"/>
  <c r="F238" i="45"/>
  <c r="F316" i="45"/>
  <c r="F183" i="45"/>
  <c r="F201" i="45"/>
  <c r="F149" i="45"/>
  <c r="F150" i="45"/>
  <c r="F151" i="45"/>
  <c r="F223" i="45"/>
  <c r="F152" i="45"/>
  <c r="F296" i="45"/>
  <c r="F301" i="45"/>
  <c r="F153" i="45"/>
  <c r="F280" i="45"/>
  <c r="F315" i="45"/>
  <c r="F154" i="45"/>
  <c r="F155" i="45"/>
  <c r="F247" i="45"/>
  <c r="F306" i="45"/>
  <c r="K262" i="1"/>
  <c r="H262" i="1"/>
  <c r="K346" i="1"/>
  <c r="H346" i="1"/>
  <c r="K503" i="1"/>
  <c r="H503" i="1"/>
  <c r="K71" i="1"/>
  <c r="H71" i="1"/>
  <c r="H268" i="1"/>
  <c r="H70" i="1"/>
  <c r="H57" i="1"/>
  <c r="H22" i="1"/>
  <c r="H450" i="1"/>
  <c r="H280" i="1"/>
  <c r="K420" i="1"/>
  <c r="K235" i="1"/>
  <c r="K180" i="1"/>
  <c r="K441" i="1"/>
  <c r="K309" i="1"/>
  <c r="K207" i="1"/>
  <c r="K419" i="1"/>
  <c r="K440" i="1"/>
  <c r="K502" i="1"/>
  <c r="K12" i="1"/>
  <c r="K135" i="1"/>
  <c r="K90" i="1"/>
  <c r="K175" i="1"/>
  <c r="K320" i="1"/>
  <c r="K400" i="1"/>
  <c r="K10" i="1"/>
  <c r="K471" i="1"/>
  <c r="K245" i="1"/>
  <c r="K474" i="1"/>
  <c r="K422" i="1"/>
  <c r="K255" i="1"/>
  <c r="K288" i="1"/>
  <c r="K39" i="1"/>
  <c r="K281" i="1"/>
  <c r="K319" i="1"/>
  <c r="K283" i="1"/>
  <c r="K436" i="1"/>
  <c r="K221" i="1"/>
  <c r="K153" i="1"/>
  <c r="K215" i="1"/>
  <c r="K62" i="1"/>
  <c r="K248" i="1"/>
  <c r="K362" i="1"/>
  <c r="K293" i="1"/>
  <c r="K4" i="1"/>
  <c r="K486" i="1"/>
  <c r="K145" i="1"/>
  <c r="K237" i="1"/>
  <c r="K9" i="1"/>
  <c r="K190" i="1"/>
  <c r="K159" i="1"/>
  <c r="K249" i="1"/>
  <c r="K53" i="1"/>
  <c r="K369" i="1"/>
  <c r="K179" i="1"/>
  <c r="K127" i="1"/>
  <c r="K20" i="1"/>
  <c r="K398" i="1"/>
  <c r="K101" i="1"/>
  <c r="K355" i="1"/>
  <c r="K430" i="1"/>
  <c r="K85" i="1"/>
  <c r="K13" i="1"/>
  <c r="K406" i="1"/>
  <c r="K417" i="1"/>
  <c r="K280" i="1"/>
  <c r="K450" i="1"/>
  <c r="K22" i="1"/>
  <c r="K57" i="1"/>
  <c r="K70" i="1"/>
  <c r="K268" i="1"/>
  <c r="K379" i="1"/>
  <c r="K195" i="1"/>
  <c r="K497" i="1"/>
  <c r="K170" i="1"/>
  <c r="K408" i="1"/>
  <c r="K78" i="1"/>
  <c r="K318" i="1"/>
  <c r="K82" i="1"/>
  <c r="K136" i="1"/>
  <c r="K214" i="1"/>
  <c r="K322" i="1"/>
  <c r="K133" i="1"/>
  <c r="K385" i="1"/>
  <c r="K15" i="1"/>
  <c r="K94" i="1"/>
  <c r="K328" i="1"/>
  <c r="K380" i="1"/>
  <c r="K212" i="1"/>
  <c r="K389" i="1"/>
  <c r="K310" i="1"/>
  <c r="K226" i="1"/>
  <c r="K308" i="1"/>
  <c r="K261" i="1"/>
  <c r="H9" i="1"/>
  <c r="H190" i="1"/>
  <c r="H159" i="1"/>
  <c r="H249" i="1"/>
  <c r="H53" i="1"/>
  <c r="H369" i="1"/>
  <c r="H179" i="1"/>
  <c r="H127" i="1"/>
  <c r="H20" i="1"/>
  <c r="H398" i="1"/>
  <c r="H101" i="1"/>
  <c r="H355" i="1"/>
  <c r="H430" i="1"/>
  <c r="H85" i="1"/>
  <c r="H13" i="1"/>
  <c r="H406" i="1"/>
  <c r="H417" i="1"/>
  <c r="H308" i="1"/>
  <c r="H226" i="1"/>
  <c r="H310" i="1"/>
  <c r="H389" i="1"/>
  <c r="H212" i="1"/>
  <c r="H380" i="1"/>
  <c r="H328" i="1"/>
  <c r="H94" i="1"/>
  <c r="H15" i="1"/>
  <c r="H385" i="1"/>
  <c r="H133" i="1"/>
  <c r="H322" i="1"/>
  <c r="H214" i="1"/>
  <c r="H136" i="1"/>
  <c r="H82" i="1"/>
  <c r="H318" i="1"/>
  <c r="H78" i="1"/>
  <c r="H408" i="1"/>
  <c r="H170" i="1"/>
  <c r="H497" i="1"/>
  <c r="H195" i="1"/>
  <c r="H379" i="1"/>
  <c r="H420" i="1"/>
  <c r="H235" i="1"/>
  <c r="H180" i="1"/>
  <c r="H441" i="1"/>
  <c r="H309" i="1"/>
  <c r="H207" i="1"/>
  <c r="H419" i="1"/>
  <c r="H440" i="1"/>
  <c r="H502" i="1"/>
  <c r="H12" i="1"/>
  <c r="H135" i="1"/>
  <c r="H90" i="1"/>
  <c r="H175" i="1"/>
  <c r="H320" i="1"/>
  <c r="H400" i="1"/>
  <c r="H10" i="1"/>
  <c r="H471" i="1"/>
  <c r="H245" i="1"/>
  <c r="H474" i="1"/>
  <c r="H422" i="1"/>
  <c r="H255" i="1"/>
  <c r="H288" i="1"/>
  <c r="H39" i="1"/>
  <c r="H281" i="1"/>
  <c r="H319" i="1"/>
  <c r="H283" i="1"/>
  <c r="H436" i="1"/>
  <c r="H221" i="1"/>
  <c r="H153" i="1"/>
  <c r="H215" i="1"/>
  <c r="H62" i="1"/>
  <c r="H248" i="1"/>
  <c r="H362" i="1"/>
  <c r="H293" i="1"/>
  <c r="H4" i="1"/>
  <c r="H486" i="1"/>
  <c r="H145" i="1"/>
  <c r="H237" i="1"/>
  <c r="H261" i="1"/>
  <c r="H62" i="41"/>
  <c r="G62" i="41"/>
  <c r="F62" i="41"/>
  <c r="E62" i="41"/>
  <c r="D62" i="41"/>
  <c r="C62" i="41"/>
  <c r="H61" i="41"/>
  <c r="G61" i="41"/>
  <c r="F61" i="41"/>
  <c r="E61" i="41"/>
  <c r="D61" i="41"/>
  <c r="C61" i="41"/>
  <c r="H60" i="41"/>
  <c r="G60" i="41"/>
  <c r="F60" i="41"/>
  <c r="E60" i="41"/>
  <c r="D60" i="41"/>
  <c r="C60" i="41"/>
  <c r="H59" i="41"/>
  <c r="G59" i="41"/>
  <c r="F59" i="41"/>
  <c r="E59" i="41"/>
  <c r="D59" i="41"/>
  <c r="C59" i="41"/>
  <c r="H58" i="41"/>
  <c r="G58" i="41"/>
  <c r="F58" i="41"/>
  <c r="E58" i="41"/>
  <c r="D58" i="41"/>
  <c r="C58" i="41"/>
  <c r="H57" i="41"/>
  <c r="G57" i="41"/>
  <c r="F57" i="41"/>
  <c r="E57" i="41"/>
  <c r="D57" i="41"/>
  <c r="C57" i="41"/>
  <c r="H56" i="41"/>
  <c r="G56" i="41"/>
  <c r="F56" i="41"/>
  <c r="E56" i="41"/>
  <c r="D56" i="41"/>
  <c r="C56" i="41"/>
  <c r="H55" i="41"/>
  <c r="G55" i="41"/>
  <c r="F55" i="41"/>
  <c r="E55" i="41"/>
  <c r="D55" i="41"/>
  <c r="C55" i="41"/>
  <c r="H54" i="41"/>
  <c r="G54" i="41"/>
  <c r="F54" i="41"/>
  <c r="E54" i="41"/>
  <c r="D54" i="41"/>
  <c r="C54" i="41"/>
  <c r="H53" i="41"/>
  <c r="G53" i="41"/>
  <c r="F53" i="41"/>
  <c r="E53" i="41"/>
  <c r="D53" i="41"/>
  <c r="C53" i="41"/>
  <c r="H52" i="41"/>
  <c r="G52" i="41"/>
  <c r="F52" i="41"/>
  <c r="E52" i="41"/>
  <c r="D52" i="41"/>
  <c r="C52" i="41"/>
  <c r="H51" i="41"/>
  <c r="G51" i="41"/>
  <c r="F51" i="41"/>
  <c r="E51" i="41"/>
  <c r="D51" i="41"/>
  <c r="C51" i="41"/>
  <c r="H19" i="41"/>
  <c r="H34" i="41" s="1"/>
  <c r="H48" i="41" s="1"/>
  <c r="G19" i="41"/>
  <c r="G20" i="41" s="1"/>
  <c r="F19" i="41"/>
  <c r="F34" i="41" s="1"/>
  <c r="F48" i="41" s="1"/>
  <c r="E19" i="41"/>
  <c r="E34" i="41" s="1"/>
  <c r="E48" i="41" s="1"/>
  <c r="D19" i="41"/>
  <c r="D20" i="41" s="1"/>
  <c r="C19" i="41"/>
  <c r="C34" i="41" s="1"/>
  <c r="C48" i="41" s="1"/>
  <c r="I18" i="41"/>
  <c r="J18" i="41" s="1"/>
  <c r="I17" i="41"/>
  <c r="J17" i="41" s="1"/>
  <c r="I16" i="41"/>
  <c r="J16" i="41" s="1"/>
  <c r="I15" i="41"/>
  <c r="J15" i="41" s="1"/>
  <c r="I14" i="41"/>
  <c r="J14" i="41" s="1"/>
  <c r="I13" i="41"/>
  <c r="J13" i="41" s="1"/>
  <c r="I12" i="41"/>
  <c r="J12" i="41" s="1"/>
  <c r="I11" i="41"/>
  <c r="J11" i="41" s="1"/>
  <c r="I10" i="41"/>
  <c r="J10" i="41" s="1"/>
  <c r="I9" i="41"/>
  <c r="J9" i="41" s="1"/>
  <c r="I8" i="41"/>
  <c r="J8" i="41" s="1"/>
  <c r="I7" i="41"/>
  <c r="J7" i="41" s="1"/>
  <c r="H13" i="36"/>
  <c r="H12" i="36"/>
  <c r="H11" i="36"/>
  <c r="H10" i="36"/>
  <c r="H9" i="36"/>
  <c r="H8" i="36"/>
  <c r="H7" i="36"/>
  <c r="H6" i="36"/>
  <c r="H5" i="36"/>
  <c r="H4" i="36"/>
  <c r="H20" i="30"/>
  <c r="H19" i="30"/>
  <c r="H13" i="30"/>
  <c r="H14" i="30"/>
  <c r="H18" i="30"/>
  <c r="H6" i="30"/>
  <c r="H8" i="30"/>
  <c r="H12" i="30"/>
  <c r="H17" i="30"/>
  <c r="H11" i="30"/>
  <c r="H16" i="30"/>
  <c r="H9" i="30"/>
  <c r="H15" i="30"/>
  <c r="H7" i="30"/>
  <c r="E7" i="29"/>
  <c r="E9" i="29"/>
  <c r="E12" i="29"/>
  <c r="E15" i="29"/>
  <c r="E6" i="29"/>
  <c r="E11" i="29"/>
  <c r="E5" i="29"/>
  <c r="E4" i="29"/>
  <c r="E13" i="29"/>
  <c r="E10" i="29"/>
  <c r="E14" i="29"/>
  <c r="E16" i="29"/>
  <c r="E8" i="29"/>
  <c r="P3" i="27"/>
  <c r="P4" i="27"/>
  <c r="P45" i="27"/>
  <c r="P12" i="27"/>
  <c r="P7" i="27"/>
  <c r="P6" i="27"/>
  <c r="P18" i="27"/>
  <c r="P53" i="27"/>
  <c r="P21" i="27"/>
  <c r="P57" i="27"/>
  <c r="P5" i="27"/>
  <c r="P50" i="27"/>
  <c r="P16" i="27"/>
  <c r="P56" i="27"/>
  <c r="P30" i="27"/>
  <c r="P49" i="27"/>
  <c r="P46" i="27"/>
  <c r="P42" i="27"/>
  <c r="P8" i="27"/>
  <c r="P33" i="27"/>
  <c r="P40" i="27"/>
  <c r="P11" i="27"/>
  <c r="P9" i="27"/>
  <c r="P15" i="27"/>
  <c r="P13" i="27"/>
  <c r="P55" i="27"/>
  <c r="P27" i="27"/>
  <c r="P43" i="27"/>
  <c r="P38" i="27"/>
  <c r="P23" i="27"/>
  <c r="P29" i="27"/>
  <c r="P44" i="27"/>
  <c r="P20" i="27"/>
  <c r="P36" i="27"/>
  <c r="P25" i="27"/>
  <c r="P32" i="27"/>
  <c r="P35" i="27"/>
  <c r="P31" i="27"/>
  <c r="P24" i="27"/>
  <c r="P37" i="27"/>
  <c r="P41" i="27"/>
  <c r="P26" i="27"/>
  <c r="P47" i="27"/>
  <c r="P59" i="27"/>
  <c r="P61" i="27"/>
  <c r="P51" i="27"/>
  <c r="P2" i="27"/>
  <c r="P22" i="27"/>
  <c r="O2" i="27"/>
  <c r="O30" i="27"/>
  <c r="O55" i="27"/>
  <c r="O31" i="27"/>
  <c r="O7" i="27"/>
  <c r="O12" i="27"/>
  <c r="O37" i="27"/>
  <c r="O41" i="27"/>
  <c r="O59" i="27"/>
  <c r="O26" i="27"/>
  <c r="O24" i="27"/>
  <c r="O5" i="27"/>
  <c r="O50" i="27"/>
  <c r="O49" i="27"/>
  <c r="O18" i="27"/>
  <c r="O20" i="27"/>
  <c r="O16" i="27"/>
  <c r="O38" i="27"/>
  <c r="O29" i="27"/>
  <c r="O15" i="27"/>
  <c r="O25" i="27"/>
  <c r="O44" i="27"/>
  <c r="O36" i="27"/>
  <c r="O33" i="27"/>
  <c r="O57" i="27"/>
  <c r="O8" i="27"/>
  <c r="O35" i="27"/>
  <c r="O32" i="27"/>
  <c r="O11" i="27"/>
  <c r="O9" i="27"/>
  <c r="O13" i="27"/>
  <c r="O46" i="27"/>
  <c r="O47" i="27"/>
  <c r="O43" i="27"/>
  <c r="O56" i="27"/>
  <c r="O4" i="27"/>
  <c r="O3" i="27"/>
  <c r="O22" i="27"/>
  <c r="O45" i="27"/>
  <c r="O27" i="27"/>
  <c r="O23" i="27"/>
  <c r="O6" i="27"/>
  <c r="O40" i="27"/>
  <c r="O53" i="27"/>
  <c r="O42" i="27"/>
  <c r="O61" i="27"/>
  <c r="O51" i="27"/>
  <c r="O21" i="27"/>
  <c r="F6" i="26"/>
  <c r="F11" i="26"/>
  <c r="F10" i="26"/>
  <c r="F9" i="26"/>
  <c r="F8" i="26"/>
  <c r="F7" i="26"/>
  <c r="J16" i="23"/>
  <c r="J10" i="23"/>
  <c r="G149" i="2"/>
  <c r="G154" i="2"/>
  <c r="G60" i="2"/>
  <c r="G35" i="2"/>
  <c r="G36" i="2"/>
  <c r="G52" i="2"/>
  <c r="G114" i="2"/>
  <c r="G78" i="2"/>
  <c r="G53" i="2"/>
  <c r="G12" i="2"/>
  <c r="G139" i="2"/>
  <c r="G153" i="2"/>
  <c r="G3" i="2"/>
  <c r="G4" i="2"/>
  <c r="G5" i="2"/>
  <c r="G6" i="2"/>
  <c r="G7" i="2"/>
  <c r="G8" i="2"/>
  <c r="G9" i="2"/>
  <c r="G10" i="2"/>
  <c r="G11" i="2"/>
  <c r="G13" i="2"/>
  <c r="G14" i="2"/>
  <c r="G15" i="2"/>
  <c r="G17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7" i="2"/>
  <c r="G38" i="2"/>
  <c r="G39" i="2"/>
  <c r="G40" i="2"/>
  <c r="G41" i="2"/>
  <c r="G42" i="2"/>
  <c r="G43" i="2"/>
  <c r="G45" i="2"/>
  <c r="G46" i="2"/>
  <c r="G47" i="2"/>
  <c r="G49" i="2"/>
  <c r="G50" i="2"/>
  <c r="G51" i="2"/>
  <c r="G54" i="2"/>
  <c r="G55" i="2"/>
  <c r="G56" i="2"/>
  <c r="G57" i="2"/>
  <c r="G58" i="2"/>
  <c r="G59" i="2"/>
  <c r="G61" i="2"/>
  <c r="G62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9" i="2"/>
  <c r="G81" i="2"/>
  <c r="G82" i="2"/>
  <c r="G83" i="2"/>
  <c r="G84" i="2"/>
  <c r="G85" i="2"/>
  <c r="G86" i="2"/>
  <c r="G87" i="2"/>
  <c r="G88" i="2"/>
  <c r="G89" i="2"/>
  <c r="G90" i="2"/>
  <c r="G91" i="2"/>
  <c r="G92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5" i="2"/>
  <c r="G116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3" i="2"/>
  <c r="G135" i="2"/>
  <c r="G136" i="2"/>
  <c r="G137" i="2"/>
  <c r="G138" i="2"/>
  <c r="G140" i="2"/>
  <c r="G141" i="2"/>
  <c r="G142" i="2"/>
  <c r="G143" i="2"/>
  <c r="G144" i="2"/>
  <c r="G145" i="2"/>
  <c r="G146" i="2"/>
  <c r="G147" i="2"/>
  <c r="G148" i="2"/>
  <c r="G150" i="2"/>
  <c r="G151" i="2"/>
  <c r="G152" i="2"/>
  <c r="G155" i="2"/>
  <c r="G156" i="2"/>
  <c r="G157" i="2"/>
  <c r="G158" i="2"/>
  <c r="G160" i="2"/>
  <c r="G161" i="2"/>
  <c r="G162" i="2"/>
  <c r="G163" i="2"/>
  <c r="G164" i="2"/>
  <c r="G165" i="2"/>
  <c r="G166" i="2"/>
  <c r="G167" i="2"/>
  <c r="G168" i="2"/>
  <c r="G169" i="2"/>
  <c r="G2" i="2"/>
  <c r="K74" i="1"/>
  <c r="K305" i="1"/>
  <c r="K311" i="1"/>
  <c r="K95" i="1"/>
  <c r="K313" i="1"/>
  <c r="K307" i="1"/>
  <c r="K411" i="1"/>
  <c r="K184" i="1"/>
  <c r="K326" i="1"/>
  <c r="K457" i="1"/>
  <c r="K241" i="1"/>
  <c r="K492" i="1"/>
  <c r="K202" i="1"/>
  <c r="K125" i="1"/>
  <c r="K352" i="1"/>
  <c r="K416" i="1"/>
  <c r="K7" i="1"/>
  <c r="K142" i="1"/>
  <c r="K479" i="1"/>
  <c r="K302" i="1"/>
  <c r="K297" i="1"/>
  <c r="K273" i="1"/>
  <c r="K188" i="1"/>
  <c r="K399" i="1"/>
  <c r="K103" i="1"/>
  <c r="K128" i="1"/>
  <c r="K287" i="1"/>
  <c r="K463" i="1"/>
  <c r="K76" i="1"/>
  <c r="K274" i="1"/>
  <c r="K150" i="1"/>
  <c r="K139" i="1"/>
  <c r="K117" i="1"/>
  <c r="K259" i="1"/>
  <c r="K390" i="1"/>
  <c r="K107" i="1"/>
  <c r="K356" i="1"/>
  <c r="K314" i="1"/>
  <c r="K236" i="1"/>
  <c r="K426" i="1"/>
  <c r="K169" i="1"/>
  <c r="K435" i="1"/>
  <c r="K231" i="1"/>
  <c r="K387" i="1"/>
  <c r="K381" i="1"/>
  <c r="K446" i="1"/>
  <c r="K334" i="1"/>
  <c r="K409" i="1"/>
  <c r="K194" i="1"/>
  <c r="K354" i="1"/>
  <c r="K301" i="1"/>
  <c r="K350" i="1"/>
  <c r="K371" i="1"/>
  <c r="K335" i="1"/>
  <c r="K434" i="1"/>
  <c r="K171" i="1"/>
  <c r="K429" i="1"/>
  <c r="K160" i="1"/>
  <c r="K119" i="1"/>
  <c r="K421" i="1"/>
  <c r="K498" i="1"/>
  <c r="K418" i="1"/>
  <c r="K425" i="1"/>
  <c r="K166" i="1"/>
  <c r="K327" i="1"/>
  <c r="K200" i="1"/>
  <c r="K186" i="1"/>
  <c r="K17" i="1"/>
  <c r="K118" i="1"/>
  <c r="K230" i="1"/>
  <c r="K396" i="1"/>
  <c r="K402" i="1"/>
  <c r="K482" i="1"/>
  <c r="K204" i="1"/>
  <c r="K336" i="1"/>
  <c r="K89" i="1"/>
  <c r="K238" i="1"/>
  <c r="K141" i="1"/>
  <c r="K124" i="1"/>
  <c r="K484" i="1"/>
  <c r="K206" i="1"/>
  <c r="K49" i="1"/>
  <c r="K376" i="1"/>
  <c r="K96" i="1"/>
  <c r="K31" i="1"/>
  <c r="K348" i="1"/>
  <c r="K251" i="1"/>
  <c r="K92" i="1"/>
  <c r="K182" i="1"/>
  <c r="K265" i="1"/>
  <c r="K285" i="1"/>
  <c r="K72" i="1"/>
  <c r="K33" i="1"/>
  <c r="H265" i="1"/>
  <c r="H285" i="1"/>
  <c r="H72" i="1"/>
  <c r="H33" i="1"/>
  <c r="K394" i="1"/>
  <c r="H305" i="1"/>
  <c r="H74" i="1"/>
  <c r="H307" i="1"/>
  <c r="H95" i="1"/>
  <c r="H411" i="1"/>
  <c r="H492" i="1"/>
  <c r="H326" i="1"/>
  <c r="H457" i="1"/>
  <c r="H184" i="1"/>
  <c r="H241" i="1"/>
  <c r="H394" i="1"/>
  <c r="H416" i="1"/>
  <c r="H202" i="1"/>
  <c r="H352" i="1"/>
  <c r="H125" i="1"/>
  <c r="H7" i="1"/>
  <c r="H273" i="1"/>
  <c r="H479" i="1"/>
  <c r="H297" i="1"/>
  <c r="H302" i="1"/>
  <c r="H142" i="1"/>
  <c r="H188" i="1"/>
  <c r="H399" i="1"/>
  <c r="H76" i="1"/>
  <c r="H463" i="1"/>
  <c r="H287" i="1"/>
  <c r="H128" i="1"/>
  <c r="H103" i="1"/>
  <c r="H117" i="1"/>
  <c r="H390" i="1"/>
  <c r="H150" i="1"/>
  <c r="H274" i="1"/>
  <c r="H139" i="1"/>
  <c r="H259" i="1"/>
  <c r="H107" i="1"/>
  <c r="H356" i="1"/>
  <c r="H314" i="1"/>
  <c r="H236" i="1"/>
  <c r="H426" i="1"/>
  <c r="H169" i="1"/>
  <c r="H435" i="1"/>
  <c r="H231" i="1"/>
  <c r="H387" i="1"/>
  <c r="H381" i="1"/>
  <c r="H446" i="1"/>
  <c r="H334" i="1"/>
  <c r="H409" i="1"/>
  <c r="H194" i="1"/>
  <c r="H354" i="1"/>
  <c r="H301" i="1"/>
  <c r="H350" i="1"/>
  <c r="H371" i="1"/>
  <c r="H335" i="1"/>
  <c r="H434" i="1"/>
  <c r="H171" i="1"/>
  <c r="H429" i="1"/>
  <c r="H160" i="1"/>
  <c r="H119" i="1"/>
  <c r="H421" i="1"/>
  <c r="H498" i="1"/>
  <c r="H418" i="1"/>
  <c r="H425" i="1"/>
  <c r="H166" i="1"/>
  <c r="H327" i="1"/>
  <c r="H200" i="1"/>
  <c r="H186" i="1"/>
  <c r="H17" i="1"/>
  <c r="H118" i="1"/>
  <c r="H230" i="1"/>
  <c r="H396" i="1"/>
  <c r="H402" i="1"/>
  <c r="H482" i="1"/>
  <c r="H204" i="1"/>
  <c r="H336" i="1"/>
  <c r="H89" i="1"/>
  <c r="H238" i="1"/>
  <c r="H141" i="1"/>
  <c r="H124" i="1"/>
  <c r="H484" i="1"/>
  <c r="H206" i="1"/>
  <c r="H49" i="1"/>
  <c r="H376" i="1"/>
  <c r="H96" i="1"/>
  <c r="H31" i="1"/>
  <c r="H348" i="1"/>
  <c r="H251" i="1"/>
  <c r="H92" i="1"/>
  <c r="H182" i="1"/>
  <c r="H311" i="1"/>
  <c r="H313" i="1"/>
  <c r="K473" i="1"/>
  <c r="H473" i="1"/>
  <c r="K203" i="1"/>
  <c r="H203" i="1"/>
  <c r="K232" i="1"/>
  <c r="H232" i="1"/>
  <c r="K246" i="1"/>
  <c r="H246" i="1"/>
  <c r="K452" i="1"/>
  <c r="H452" i="1"/>
  <c r="K365" i="1"/>
  <c r="H365" i="1"/>
  <c r="K367" i="1"/>
  <c r="H367" i="1"/>
  <c r="K451" i="1"/>
  <c r="H451" i="1"/>
  <c r="K487" i="1"/>
  <c r="H487" i="1"/>
  <c r="G487" i="1"/>
  <c r="K465" i="1"/>
  <c r="H465" i="1"/>
  <c r="K496" i="1"/>
  <c r="H496" i="1"/>
  <c r="K414" i="1"/>
  <c r="H414" i="1"/>
  <c r="K174" i="1"/>
  <c r="H174" i="1"/>
  <c r="K443" i="1"/>
  <c r="H443" i="1"/>
  <c r="K391" i="1"/>
  <c r="H391" i="1"/>
  <c r="K152" i="1"/>
  <c r="H152" i="1"/>
  <c r="K469" i="1"/>
  <c r="H469" i="1"/>
  <c r="K21" i="1"/>
  <c r="H21" i="1"/>
  <c r="K256" i="1"/>
  <c r="H256" i="1"/>
  <c r="K359" i="1"/>
  <c r="H359" i="1"/>
  <c r="K415" i="1"/>
  <c r="H415" i="1"/>
  <c r="K448" i="1"/>
  <c r="H448" i="1"/>
  <c r="K87" i="1"/>
  <c r="H87" i="1"/>
  <c r="K500" i="1"/>
  <c r="H500" i="1"/>
  <c r="K191" i="1"/>
  <c r="H191" i="1"/>
  <c r="K229" i="1"/>
  <c r="H229" i="1"/>
  <c r="K375" i="1"/>
  <c r="H375" i="1"/>
  <c r="K447" i="1"/>
  <c r="H447" i="1"/>
  <c r="K437" i="1"/>
  <c r="H437" i="1"/>
  <c r="K23" i="1"/>
  <c r="H23" i="1"/>
  <c r="K412" i="1"/>
  <c r="H412" i="1"/>
  <c r="K161" i="1"/>
  <c r="H161" i="1"/>
  <c r="K54" i="1"/>
  <c r="H54" i="1"/>
  <c r="K489" i="1"/>
  <c r="H489" i="1"/>
  <c r="K233" i="1"/>
  <c r="H233" i="1"/>
  <c r="K201" i="1"/>
  <c r="H201" i="1"/>
  <c r="K499" i="1"/>
  <c r="H499" i="1"/>
  <c r="K242" i="1"/>
  <c r="H242" i="1"/>
  <c r="K438" i="1"/>
  <c r="H438" i="1"/>
  <c r="K5" i="1"/>
  <c r="H5" i="1"/>
  <c r="K58" i="1"/>
  <c r="H58" i="1"/>
  <c r="K93" i="1"/>
  <c r="H93" i="1"/>
  <c r="K493" i="1"/>
  <c r="H493" i="1"/>
  <c r="K6" i="1"/>
  <c r="H6" i="1"/>
  <c r="K260" i="1"/>
  <c r="H260" i="1"/>
  <c r="K341" i="1"/>
  <c r="H341" i="1"/>
  <c r="K225" i="1"/>
  <c r="H225" i="1"/>
  <c r="K475" i="1"/>
  <c r="H475" i="1"/>
  <c r="K323" i="1"/>
  <c r="H323" i="1"/>
  <c r="K464" i="1"/>
  <c r="H464" i="1"/>
  <c r="K338" i="1"/>
  <c r="H338" i="1"/>
  <c r="K459" i="1"/>
  <c r="H459" i="1"/>
  <c r="K223" i="1"/>
  <c r="H223" i="1"/>
  <c r="K490" i="1"/>
  <c r="H490" i="1"/>
  <c r="K289" i="1"/>
  <c r="H289" i="1"/>
  <c r="K257" i="1"/>
  <c r="H257" i="1"/>
  <c r="K41" i="1"/>
  <c r="H41" i="1"/>
  <c r="K51" i="1"/>
  <c r="H51" i="1"/>
  <c r="K373" i="1"/>
  <c r="H373" i="1"/>
  <c r="K198" i="1"/>
  <c r="H198" i="1"/>
  <c r="K189" i="1"/>
  <c r="H189" i="1"/>
  <c r="K461" i="1"/>
  <c r="H461" i="1"/>
  <c r="K116" i="1"/>
  <c r="H116" i="1"/>
  <c r="K279" i="1"/>
  <c r="H279" i="1"/>
  <c r="K162" i="1"/>
  <c r="H162" i="1"/>
  <c r="K63" i="1"/>
  <c r="H63" i="1"/>
  <c r="K244" i="1"/>
  <c r="H244" i="1"/>
  <c r="K28" i="1"/>
  <c r="H28" i="1"/>
  <c r="K253" i="1"/>
  <c r="H253" i="1"/>
  <c r="K250" i="1"/>
  <c r="H250" i="1"/>
  <c r="K481" i="1"/>
  <c r="H481" i="1"/>
  <c r="K42" i="1"/>
  <c r="H42" i="1"/>
  <c r="K120" i="1"/>
  <c r="H120" i="1"/>
  <c r="K168" i="1"/>
  <c r="H168" i="1"/>
  <c r="K155" i="1"/>
  <c r="H155" i="1"/>
  <c r="K147" i="1"/>
  <c r="H147" i="1"/>
  <c r="K55" i="1"/>
  <c r="H55" i="1"/>
  <c r="K34" i="1"/>
  <c r="H34" i="1"/>
  <c r="K480" i="1"/>
  <c r="H480" i="1"/>
  <c r="K291" i="1"/>
  <c r="H291" i="1"/>
  <c r="K267" i="1"/>
  <c r="H267" i="1"/>
  <c r="K66" i="1"/>
  <c r="H66" i="1"/>
  <c r="K69" i="1"/>
  <c r="H69" i="1"/>
  <c r="K24" i="1"/>
  <c r="H24" i="1"/>
  <c r="K483" i="1"/>
  <c r="H483" i="1"/>
  <c r="K3" i="1"/>
  <c r="H3" i="1"/>
  <c r="K178" i="1"/>
  <c r="H178" i="1"/>
  <c r="K156" i="1"/>
  <c r="H156" i="1"/>
  <c r="K468" i="1"/>
  <c r="H468" i="1"/>
  <c r="K14" i="1"/>
  <c r="H14" i="1"/>
  <c r="K347" i="1"/>
  <c r="H347" i="1"/>
  <c r="K86" i="1"/>
  <c r="H86" i="1"/>
  <c r="K222" i="1"/>
  <c r="H222" i="1"/>
  <c r="K386" i="1"/>
  <c r="H386" i="1"/>
  <c r="K453" i="1"/>
  <c r="H453" i="1"/>
  <c r="K143" i="1"/>
  <c r="H143" i="1"/>
  <c r="K266" i="1"/>
  <c r="H266" i="1"/>
  <c r="K357" i="1"/>
  <c r="H357" i="1"/>
  <c r="K342" i="1"/>
  <c r="H342" i="1"/>
  <c r="K382" i="1"/>
  <c r="H382" i="1"/>
  <c r="K98" i="1"/>
  <c r="H98" i="1"/>
  <c r="K113" i="1"/>
  <c r="H113" i="1"/>
  <c r="K65" i="1"/>
  <c r="H65" i="1"/>
  <c r="K432" i="1"/>
  <c r="H432" i="1"/>
  <c r="K456" i="1"/>
  <c r="H456" i="1"/>
  <c r="K264" i="1"/>
  <c r="H264" i="1"/>
  <c r="K393" i="1"/>
  <c r="H393" i="1"/>
  <c r="K272" i="1"/>
  <c r="H272" i="1"/>
  <c r="K59" i="1"/>
  <c r="H59" i="1"/>
  <c r="K173" i="1"/>
  <c r="H173" i="1"/>
  <c r="K363" i="1"/>
  <c r="H363" i="1"/>
  <c r="K488" i="1"/>
  <c r="H488" i="1"/>
  <c r="K104" i="1"/>
  <c r="H104" i="1"/>
  <c r="K97" i="1"/>
  <c r="H97" i="1"/>
  <c r="K185" i="1"/>
  <c r="H185" i="1"/>
  <c r="K144" i="1"/>
  <c r="H144" i="1"/>
  <c r="K112" i="1"/>
  <c r="H112" i="1"/>
  <c r="K61" i="1"/>
  <c r="H61" i="1"/>
  <c r="K38" i="1"/>
  <c r="H38" i="1"/>
  <c r="K476" i="1"/>
  <c r="H476" i="1"/>
  <c r="K286" i="1"/>
  <c r="H286" i="1"/>
  <c r="K325" i="1"/>
  <c r="H325" i="1"/>
  <c r="K332" i="1"/>
  <c r="H332" i="1"/>
  <c r="K439" i="1"/>
  <c r="H439" i="1"/>
  <c r="K220" i="1"/>
  <c r="H220" i="1"/>
  <c r="K102" i="1"/>
  <c r="H102" i="1"/>
  <c r="K410" i="1"/>
  <c r="H410" i="1"/>
  <c r="K501" i="1"/>
  <c r="H501" i="1"/>
  <c r="K270" i="1"/>
  <c r="H270" i="1"/>
  <c r="K407" i="1"/>
  <c r="H407" i="1"/>
  <c r="K470" i="1"/>
  <c r="H470" i="1"/>
  <c r="K210" i="1"/>
  <c r="H210" i="1"/>
  <c r="K316" i="1"/>
  <c r="H316" i="1"/>
  <c r="K424" i="1"/>
  <c r="H424" i="1"/>
  <c r="K276" i="1"/>
  <c r="H276" i="1"/>
  <c r="K462" i="1"/>
  <c r="H462" i="1"/>
  <c r="K217" i="1"/>
  <c r="H217" i="1"/>
  <c r="K247" i="1"/>
  <c r="H247" i="1"/>
  <c r="K353" i="1"/>
  <c r="H353" i="1"/>
  <c r="K50" i="1"/>
  <c r="H50" i="1"/>
  <c r="K449" i="1"/>
  <c r="H449" i="1"/>
  <c r="K16" i="1"/>
  <c r="H16" i="1"/>
  <c r="K321" i="1"/>
  <c r="H321" i="1"/>
  <c r="K46" i="1"/>
  <c r="H46" i="1"/>
  <c r="K172" i="1"/>
  <c r="H172" i="1"/>
  <c r="K269" i="1"/>
  <c r="H269" i="1"/>
  <c r="K99" i="1"/>
  <c r="H99" i="1"/>
  <c r="K19" i="1"/>
  <c r="H19" i="1"/>
  <c r="K331" i="1"/>
  <c r="H331" i="1"/>
  <c r="K445" i="1"/>
  <c r="H445" i="1"/>
  <c r="K383" i="1"/>
  <c r="H383" i="1"/>
  <c r="K131" i="1"/>
  <c r="H131" i="1"/>
  <c r="K37" i="1"/>
  <c r="H37" i="1"/>
  <c r="K163" i="1"/>
  <c r="H163" i="1"/>
  <c r="K454" i="1"/>
  <c r="H454" i="1"/>
  <c r="K467" i="1"/>
  <c r="H467" i="1"/>
  <c r="K224" i="1"/>
  <c r="H224" i="1"/>
  <c r="K339" i="1"/>
  <c r="H339" i="1"/>
  <c r="K472" i="1"/>
  <c r="H472" i="1"/>
  <c r="K68" i="1"/>
  <c r="H68" i="1"/>
  <c r="K81" i="1"/>
  <c r="H81" i="1"/>
  <c r="K165" i="1"/>
  <c r="H165" i="1"/>
  <c r="K358" i="1"/>
  <c r="H358" i="1"/>
  <c r="K177" i="1"/>
  <c r="H177" i="1"/>
  <c r="K45" i="1"/>
  <c r="H45" i="1"/>
  <c r="K216" i="1"/>
  <c r="H216" i="1"/>
  <c r="K292" i="1"/>
  <c r="H292" i="1"/>
  <c r="K340" i="1"/>
  <c r="H340" i="1"/>
  <c r="K444" i="1"/>
  <c r="H444" i="1"/>
  <c r="K263" i="1"/>
  <c r="H263" i="1"/>
  <c r="K18" i="1"/>
  <c r="H18" i="1"/>
  <c r="K278" i="1"/>
  <c r="H278" i="1"/>
  <c r="K254" i="1"/>
  <c r="H254" i="1"/>
  <c r="K374" i="1"/>
  <c r="H374" i="1"/>
  <c r="K401" i="1"/>
  <c r="H401" i="1"/>
  <c r="K392" i="1"/>
  <c r="H392" i="1"/>
  <c r="K106" i="1"/>
  <c r="H106" i="1"/>
  <c r="K25" i="1"/>
  <c r="H25" i="1"/>
  <c r="K132" i="1"/>
  <c r="H132" i="1"/>
  <c r="K11" i="1"/>
  <c r="H11" i="1"/>
  <c r="K337" i="1"/>
  <c r="H337" i="1"/>
  <c r="K83" i="1"/>
  <c r="H83" i="1"/>
  <c r="K126" i="1"/>
  <c r="H126" i="1"/>
  <c r="K77" i="1"/>
  <c r="H77" i="1"/>
  <c r="K123" i="1"/>
  <c r="H123" i="1"/>
  <c r="K157" i="1"/>
  <c r="H157" i="1"/>
  <c r="K176" i="1"/>
  <c r="H176" i="1"/>
  <c r="K294" i="1"/>
  <c r="H294" i="1"/>
  <c r="K146" i="1"/>
  <c r="H146" i="1"/>
  <c r="K317" i="1"/>
  <c r="H317" i="1"/>
  <c r="K282" i="1"/>
  <c r="H282" i="1"/>
  <c r="K137" i="1"/>
  <c r="H137" i="1"/>
  <c r="K377" i="1"/>
  <c r="H377" i="1"/>
  <c r="K384" i="1"/>
  <c r="H384" i="1"/>
  <c r="K333" i="1"/>
  <c r="H333" i="1"/>
  <c r="K239" i="1"/>
  <c r="H239" i="1"/>
  <c r="K26" i="1"/>
  <c r="H26" i="1"/>
  <c r="K349" i="1"/>
  <c r="H349" i="1"/>
  <c r="K60" i="1"/>
  <c r="H60" i="1"/>
  <c r="K304" i="1"/>
  <c r="H304" i="1"/>
  <c r="K329" i="1"/>
  <c r="H329" i="1"/>
  <c r="K30" i="1"/>
  <c r="H30" i="1"/>
  <c r="K491" i="1"/>
  <c r="H491" i="1"/>
  <c r="K67" i="1"/>
  <c r="H67" i="1"/>
  <c r="K36" i="1"/>
  <c r="H36" i="1"/>
  <c r="K284" i="1"/>
  <c r="H284" i="1"/>
  <c r="K296" i="1"/>
  <c r="H296" i="1"/>
  <c r="K433" i="1"/>
  <c r="H433" i="1"/>
  <c r="K298" i="1"/>
  <c r="H298" i="1"/>
  <c r="K130" i="1"/>
  <c r="H130" i="1"/>
  <c r="K275" i="1"/>
  <c r="H275" i="1"/>
  <c r="K122" i="1"/>
  <c r="H122" i="1"/>
  <c r="K110" i="1"/>
  <c r="H110" i="1"/>
  <c r="K431" i="1"/>
  <c r="H431" i="1"/>
  <c r="K442" i="1"/>
  <c r="H442" i="1"/>
  <c r="K388" i="1"/>
  <c r="H388" i="1"/>
  <c r="K40" i="1"/>
  <c r="H40" i="1"/>
  <c r="K114" i="1"/>
  <c r="H114" i="1"/>
  <c r="K370" i="1"/>
  <c r="H370" i="1"/>
  <c r="K455" i="1"/>
  <c r="H455" i="1"/>
  <c r="K43" i="1"/>
  <c r="H43" i="1"/>
  <c r="K300" i="1"/>
  <c r="H300" i="1"/>
  <c r="K187" i="1"/>
  <c r="H187" i="1"/>
  <c r="K47" i="1"/>
  <c r="H47" i="1"/>
  <c r="K100" i="1"/>
  <c r="H100" i="1"/>
  <c r="K154" i="1"/>
  <c r="H154" i="1"/>
  <c r="K134" i="1"/>
  <c r="H134" i="1"/>
  <c r="K205" i="1"/>
  <c r="H205" i="1"/>
  <c r="K271" i="1"/>
  <c r="H271" i="1"/>
  <c r="K360" i="1"/>
  <c r="H360" i="1"/>
  <c r="K403" i="1"/>
  <c r="H403" i="1"/>
  <c r="K234" i="1"/>
  <c r="H234" i="1"/>
  <c r="K485" i="1"/>
  <c r="H485" i="1"/>
  <c r="K149" i="1"/>
  <c r="H149" i="1"/>
  <c r="K75" i="1"/>
  <c r="H75" i="1"/>
  <c r="K111" i="1"/>
  <c r="H111" i="1"/>
  <c r="K290" i="1"/>
  <c r="H290" i="1"/>
  <c r="K213" i="1"/>
  <c r="H213" i="1"/>
  <c r="K148" i="1"/>
  <c r="H148" i="1"/>
  <c r="K56" i="1"/>
  <c r="H56" i="1"/>
  <c r="K52" i="1"/>
  <c r="H52" i="1"/>
  <c r="K478" i="1"/>
  <c r="H478" i="1"/>
  <c r="K208" i="1"/>
  <c r="H208" i="1"/>
  <c r="K91" i="1"/>
  <c r="H91" i="1"/>
  <c r="K167" i="1"/>
  <c r="H167" i="1"/>
  <c r="K121" i="1"/>
  <c r="H121" i="1"/>
  <c r="K227" i="1"/>
  <c r="H227" i="1"/>
  <c r="K252" i="1"/>
  <c r="H252" i="1"/>
  <c r="K44" i="1"/>
  <c r="H44" i="1"/>
  <c r="K35" i="1"/>
  <c r="H35" i="1"/>
  <c r="K79" i="1"/>
  <c r="H79" i="1"/>
  <c r="K306" i="1"/>
  <c r="H306" i="1"/>
  <c r="K115" i="1"/>
  <c r="H115" i="1"/>
  <c r="K366" i="1"/>
  <c r="H366" i="1"/>
  <c r="K397" i="1"/>
  <c r="H397" i="1"/>
  <c r="K330" i="1"/>
  <c r="H330" i="1"/>
  <c r="K192" i="1"/>
  <c r="H192" i="1"/>
  <c r="K199" i="1"/>
  <c r="H199" i="1"/>
  <c r="K218" i="1"/>
  <c r="H218" i="1"/>
  <c r="K378" i="1"/>
  <c r="H378" i="1"/>
  <c r="K158" i="1"/>
  <c r="H158" i="1"/>
  <c r="K324" i="1"/>
  <c r="H324" i="1"/>
  <c r="K105" i="1"/>
  <c r="H105" i="1"/>
  <c r="K345" i="1"/>
  <c r="H345" i="1"/>
  <c r="K428" i="1"/>
  <c r="H428" i="1"/>
  <c r="K197" i="1"/>
  <c r="H197" i="1"/>
  <c r="K32" i="1"/>
  <c r="H32" i="1"/>
  <c r="K427" i="1"/>
  <c r="H427" i="1"/>
  <c r="K48" i="1"/>
  <c r="H48" i="1"/>
  <c r="K151" i="1"/>
  <c r="H151" i="1"/>
  <c r="K64" i="1"/>
  <c r="H64" i="1"/>
  <c r="K211" i="1"/>
  <c r="H211" i="1"/>
  <c r="K413" i="1"/>
  <c r="H413" i="1"/>
  <c r="K243" i="1"/>
  <c r="H243" i="1"/>
  <c r="K494" i="1"/>
  <c r="H494" i="1"/>
  <c r="K395" i="1"/>
  <c r="H395" i="1"/>
  <c r="K240" i="1"/>
  <c r="H240" i="1"/>
  <c r="K29" i="1"/>
  <c r="H29" i="1"/>
  <c r="K343" i="1"/>
  <c r="H343" i="1"/>
  <c r="K181" i="1"/>
  <c r="H181" i="1"/>
  <c r="K140" i="1"/>
  <c r="H140" i="1"/>
  <c r="K129" i="1"/>
  <c r="H129" i="1"/>
  <c r="K228" i="1"/>
  <c r="H228" i="1"/>
  <c r="K344" i="1"/>
  <c r="H344" i="1"/>
  <c r="K466" i="1"/>
  <c r="H466" i="1"/>
  <c r="K315" i="1"/>
  <c r="H315" i="1"/>
  <c r="K460" i="1"/>
  <c r="H460" i="1"/>
  <c r="K73" i="1"/>
  <c r="H73" i="1"/>
  <c r="K312" i="1"/>
  <c r="H312" i="1"/>
  <c r="K405" i="1"/>
  <c r="H405" i="1"/>
  <c r="K109" i="1"/>
  <c r="H109" i="1"/>
  <c r="K458" i="1"/>
  <c r="H458" i="1"/>
  <c r="K8" i="1"/>
  <c r="H8" i="1"/>
  <c r="K404" i="1"/>
  <c r="H404" i="1"/>
  <c r="K495" i="1"/>
  <c r="H495" i="1"/>
  <c r="K477" i="1"/>
  <c r="H477" i="1"/>
  <c r="K108" i="1"/>
  <c r="H108" i="1"/>
  <c r="K84" i="1"/>
  <c r="H84" i="1"/>
  <c r="K277" i="1"/>
  <c r="H277" i="1"/>
  <c r="K193" i="1"/>
  <c r="H193" i="1"/>
  <c r="K295" i="1"/>
  <c r="H295" i="1"/>
  <c r="K209" i="1"/>
  <c r="H209" i="1"/>
  <c r="K164" i="1"/>
  <c r="H164" i="1"/>
  <c r="K196" i="1"/>
  <c r="H196" i="1"/>
  <c r="K351" i="1"/>
  <c r="H351" i="1"/>
  <c r="K364" i="1"/>
  <c r="H364" i="1"/>
  <c r="K27" i="1"/>
  <c r="H27" i="1"/>
  <c r="K423" i="1"/>
  <c r="H423" i="1"/>
  <c r="K183" i="1"/>
  <c r="H183" i="1"/>
  <c r="K372" i="1"/>
  <c r="H372" i="1"/>
  <c r="K2" i="1"/>
  <c r="H2" i="1"/>
  <c r="K219" i="1"/>
  <c r="H219" i="1"/>
  <c r="K303" i="1"/>
  <c r="H303" i="1"/>
  <c r="K80" i="1"/>
  <c r="H80" i="1"/>
  <c r="K88" i="1"/>
  <c r="H88" i="1"/>
  <c r="K361" i="1"/>
  <c r="H361" i="1"/>
  <c r="K258" i="1"/>
  <c r="H258" i="1"/>
  <c r="K138" i="1"/>
  <c r="H138" i="1"/>
  <c r="H238" i="45" l="1"/>
  <c r="H127" i="45"/>
  <c r="H121" i="45"/>
  <c r="H308" i="45"/>
  <c r="H98" i="45"/>
  <c r="H320" i="45"/>
  <c r="H317" i="45"/>
  <c r="H44" i="45"/>
  <c r="H284" i="45"/>
  <c r="H290" i="45"/>
  <c r="H228" i="45"/>
  <c r="H220" i="45"/>
  <c r="H315" i="45"/>
  <c r="H67" i="45"/>
  <c r="H280" i="45"/>
  <c r="H80" i="45"/>
  <c r="H217" i="45"/>
  <c r="H261" i="45"/>
  <c r="H160" i="45"/>
  <c r="H179" i="45"/>
  <c r="H171" i="45"/>
  <c r="H222" i="45"/>
  <c r="H208" i="45"/>
  <c r="H172" i="45"/>
  <c r="H162" i="45"/>
  <c r="H164" i="45"/>
  <c r="H318" i="45"/>
  <c r="H63" i="45"/>
  <c r="H50" i="45"/>
  <c r="H325" i="45"/>
  <c r="H341" i="45"/>
  <c r="H224" i="45"/>
  <c r="H153" i="45"/>
  <c r="H148" i="45"/>
  <c r="H139" i="45"/>
  <c r="H270" i="45"/>
  <c r="H274" i="45"/>
  <c r="H120" i="45"/>
  <c r="H194" i="45"/>
  <c r="H111" i="45"/>
  <c r="H103" i="45"/>
  <c r="H97" i="45"/>
  <c r="H262" i="45"/>
  <c r="H87" i="45"/>
  <c r="H83" i="45"/>
  <c r="H79" i="45"/>
  <c r="H268" i="45"/>
  <c r="H71" i="45"/>
  <c r="H198" i="45"/>
  <c r="H187" i="45"/>
  <c r="H56" i="45"/>
  <c r="H240" i="45"/>
  <c r="H329" i="45"/>
  <c r="H178" i="45"/>
  <c r="H168" i="45"/>
  <c r="H218" i="45"/>
  <c r="H197" i="45"/>
  <c r="H20" i="45"/>
  <c r="H219" i="45"/>
  <c r="H8" i="45"/>
  <c r="H21" i="45"/>
  <c r="H340" i="45"/>
  <c r="H14" i="45"/>
  <c r="H134" i="45"/>
  <c r="H196" i="45"/>
  <c r="H296" i="45"/>
  <c r="H146" i="45"/>
  <c r="H206" i="45"/>
  <c r="H132" i="45"/>
  <c r="H125" i="45"/>
  <c r="H291" i="45"/>
  <c r="H294" i="45"/>
  <c r="H109" i="45"/>
  <c r="H102" i="45"/>
  <c r="H95" i="45"/>
  <c r="H338" i="45"/>
  <c r="H279" i="45"/>
  <c r="H189" i="45"/>
  <c r="H184" i="45"/>
  <c r="H180" i="45"/>
  <c r="H70" i="45"/>
  <c r="H276" i="45"/>
  <c r="H331" i="45"/>
  <c r="H54" i="45"/>
  <c r="H48" i="45"/>
  <c r="H207" i="45"/>
  <c r="H210" i="45"/>
  <c r="H242" i="45"/>
  <c r="H31" i="45"/>
  <c r="H202" i="45"/>
  <c r="H257" i="45"/>
  <c r="H13" i="45"/>
  <c r="H303" i="45"/>
  <c r="H112" i="45"/>
  <c r="H227" i="45"/>
  <c r="H161" i="45"/>
  <c r="H157" i="45"/>
  <c r="H300" i="45"/>
  <c r="H321" i="45"/>
  <c r="H58" i="45"/>
  <c r="H285" i="45"/>
  <c r="H186" i="45"/>
  <c r="H75" i="45"/>
  <c r="H72" i="45"/>
  <c r="H57" i="45"/>
  <c r="H49" i="45"/>
  <c r="H232" i="45"/>
  <c r="H33" i="45"/>
  <c r="H316" i="45"/>
  <c r="H185" i="45"/>
  <c r="H140" i="45"/>
  <c r="H278" i="45"/>
  <c r="H301" i="45"/>
  <c r="H147" i="45"/>
  <c r="H138" i="45"/>
  <c r="H133" i="45"/>
  <c r="H126" i="45"/>
  <c r="H119" i="45"/>
  <c r="H115" i="45"/>
  <c r="H110" i="45"/>
  <c r="H288" i="45"/>
  <c r="H96" i="45"/>
  <c r="H297" i="45"/>
  <c r="H86" i="45"/>
  <c r="H82" i="45"/>
  <c r="H281" i="45"/>
  <c r="H74" i="45"/>
  <c r="H177" i="45"/>
  <c r="H323" i="45"/>
  <c r="H244" i="45"/>
  <c r="H55" i="45"/>
  <c r="H302" i="45"/>
  <c r="H245" i="45"/>
  <c r="H40" i="45"/>
  <c r="H165" i="45"/>
  <c r="H32" i="45"/>
  <c r="H289" i="45"/>
  <c r="H170" i="45"/>
  <c r="H192" i="45"/>
  <c r="H7" i="45"/>
  <c r="H114" i="45"/>
  <c r="H269" i="45"/>
  <c r="H339" i="45"/>
  <c r="H195" i="45"/>
  <c r="H271" i="45"/>
  <c r="H190" i="45"/>
  <c r="H258" i="45"/>
  <c r="H235" i="45"/>
  <c r="H25" i="45"/>
  <c r="H19" i="45"/>
  <c r="H273" i="45"/>
  <c r="H6" i="45"/>
  <c r="H124" i="45"/>
  <c r="H199" i="45"/>
  <c r="H223" i="45"/>
  <c r="H144" i="45"/>
  <c r="H166" i="45"/>
  <c r="H267" i="45"/>
  <c r="H230" i="45"/>
  <c r="H118" i="45"/>
  <c r="H229" i="45"/>
  <c r="H107" i="45"/>
  <c r="H159" i="45"/>
  <c r="H94" i="45"/>
  <c r="H246" i="45"/>
  <c r="H237" i="45"/>
  <c r="H156" i="45"/>
  <c r="H78" i="45"/>
  <c r="H264" i="45"/>
  <c r="H69" i="45"/>
  <c r="H275" i="45"/>
  <c r="H62" i="45"/>
  <c r="H53" i="45"/>
  <c r="H47" i="45"/>
  <c r="H328" i="45"/>
  <c r="H327" i="45"/>
  <c r="H330" i="45"/>
  <c r="H255" i="45"/>
  <c r="H24" i="45"/>
  <c r="H18" i="45"/>
  <c r="H12" i="45"/>
  <c r="H5" i="45"/>
  <c r="H152" i="45"/>
  <c r="H137" i="45"/>
  <c r="H108" i="45"/>
  <c r="H311" i="45"/>
  <c r="H203" i="45"/>
  <c r="H191" i="45"/>
  <c r="H236" i="45"/>
  <c r="H30" i="45"/>
  <c r="H151" i="45"/>
  <c r="H143" i="45"/>
  <c r="H136" i="45"/>
  <c r="H336" i="45"/>
  <c r="H123" i="45"/>
  <c r="H188" i="45"/>
  <c r="H181" i="45"/>
  <c r="H106" i="45"/>
  <c r="H234" i="45"/>
  <c r="H337" i="45"/>
  <c r="H312" i="45"/>
  <c r="H313" i="45"/>
  <c r="H309" i="45"/>
  <c r="H322" i="45"/>
  <c r="H73" i="45"/>
  <c r="H225" i="45"/>
  <c r="H304" i="45"/>
  <c r="H61" i="45"/>
  <c r="H52" i="45"/>
  <c r="H287" i="45"/>
  <c r="H42" i="45"/>
  <c r="H39" i="45"/>
  <c r="H293" i="45"/>
  <c r="H29" i="45"/>
  <c r="H295" i="45"/>
  <c r="H17" i="45"/>
  <c r="H11" i="45"/>
  <c r="H163" i="45"/>
  <c r="H131" i="45"/>
  <c r="H233" i="45"/>
  <c r="H154" i="45"/>
  <c r="H183" i="45"/>
  <c r="H141" i="45"/>
  <c r="H211" i="45"/>
  <c r="H128" i="45"/>
  <c r="H266" i="45"/>
  <c r="H116" i="45"/>
  <c r="H113" i="45"/>
  <c r="H254" i="45"/>
  <c r="H214" i="45"/>
  <c r="H91" i="45"/>
  <c r="H292" i="45"/>
  <c r="H277" i="45"/>
  <c r="H81" i="45"/>
  <c r="H249" i="45"/>
  <c r="H182" i="45"/>
  <c r="H68" i="45"/>
  <c r="H64" i="45"/>
  <c r="H59" i="45"/>
  <c r="H253" i="45"/>
  <c r="H45" i="45"/>
  <c r="H241" i="45"/>
  <c r="H36" i="45"/>
  <c r="H299" i="45"/>
  <c r="H26" i="45"/>
  <c r="H22" i="45"/>
  <c r="H15" i="45"/>
  <c r="H9" i="45"/>
  <c r="H306" i="45"/>
  <c r="H150" i="45"/>
  <c r="H200" i="45"/>
  <c r="H212" i="45"/>
  <c r="H213" i="45"/>
  <c r="H205" i="45"/>
  <c r="H310" i="45"/>
  <c r="H333" i="45"/>
  <c r="H221" i="45"/>
  <c r="H101" i="45"/>
  <c r="H93" i="45"/>
  <c r="H90" i="45"/>
  <c r="H239" i="45"/>
  <c r="H243" i="45"/>
  <c r="H77" i="45"/>
  <c r="H215" i="45"/>
  <c r="H319" i="45"/>
  <c r="H265" i="45"/>
  <c r="H209" i="45"/>
  <c r="H250" i="45"/>
  <c r="H216" i="45"/>
  <c r="H193" i="45"/>
  <c r="H38" i="45"/>
  <c r="H35" i="45"/>
  <c r="H28" i="45"/>
  <c r="H231" i="45"/>
  <c r="H176" i="45"/>
  <c r="H307" i="45"/>
  <c r="H226" i="45"/>
  <c r="H272" i="45"/>
  <c r="H66" i="45"/>
  <c r="H247" i="45"/>
  <c r="H149" i="45"/>
  <c r="H204" i="45"/>
  <c r="H263" i="45"/>
  <c r="H130" i="45"/>
  <c r="H335" i="45"/>
  <c r="H326" i="45"/>
  <c r="H332" i="45"/>
  <c r="H105" i="45"/>
  <c r="H100" i="45"/>
  <c r="H92" i="45"/>
  <c r="H89" i="45"/>
  <c r="H85" i="45"/>
  <c r="H175" i="45"/>
  <c r="H76" i="45"/>
  <c r="H158" i="45"/>
  <c r="H286" i="45"/>
  <c r="H65" i="45"/>
  <c r="H259" i="45"/>
  <c r="H282" i="45"/>
  <c r="H46" i="45"/>
  <c r="H41" i="45"/>
  <c r="H37" i="45"/>
  <c r="H34" i="45"/>
  <c r="H27" i="45"/>
  <c r="H283" i="45"/>
  <c r="H16" i="45"/>
  <c r="H10" i="45"/>
  <c r="H4" i="45"/>
  <c r="H145" i="45"/>
  <c r="H43" i="45"/>
  <c r="H155" i="45"/>
  <c r="H201" i="45"/>
  <c r="H142" i="45"/>
  <c r="H135" i="45"/>
  <c r="H129" i="45"/>
  <c r="H122" i="45"/>
  <c r="H117" i="45"/>
  <c r="H169" i="45"/>
  <c r="H104" i="45"/>
  <c r="H99" i="45"/>
  <c r="H260" i="45"/>
  <c r="H88" i="45"/>
  <c r="H84" i="45"/>
  <c r="H305" i="45"/>
  <c r="H256" i="45"/>
  <c r="H252" i="45"/>
  <c r="H167" i="45"/>
  <c r="H314" i="45"/>
  <c r="H60" i="45"/>
  <c r="H51" i="45"/>
  <c r="H248" i="45"/>
  <c r="H298" i="45"/>
  <c r="H251" i="45"/>
  <c r="H334" i="45"/>
  <c r="H324" i="45"/>
  <c r="H23" i="45"/>
  <c r="H173" i="45"/>
  <c r="H174" i="45"/>
  <c r="H3" i="45"/>
  <c r="D26" i="41"/>
  <c r="D40" i="41" s="1"/>
  <c r="C23" i="41"/>
  <c r="C37" i="41" s="1"/>
  <c r="H20" i="41"/>
  <c r="G32" i="41"/>
  <c r="G46" i="41" s="1"/>
  <c r="D27" i="41"/>
  <c r="D41" i="41" s="1"/>
  <c r="D28" i="41"/>
  <c r="D42" i="41" s="1"/>
  <c r="D29" i="41"/>
  <c r="D43" i="41" s="1"/>
  <c r="D33" i="41"/>
  <c r="D47" i="41" s="1"/>
  <c r="C29" i="41"/>
  <c r="C43" i="41" s="1"/>
  <c r="G30" i="41"/>
  <c r="G44" i="41" s="1"/>
  <c r="G34" i="41"/>
  <c r="G48" i="41" s="1"/>
  <c r="J48" i="41" s="1"/>
  <c r="G26" i="41"/>
  <c r="G40" i="41" s="1"/>
  <c r="G24" i="41"/>
  <c r="G38" i="41" s="1"/>
  <c r="G28" i="41"/>
  <c r="G42" i="41" s="1"/>
  <c r="D34" i="41"/>
  <c r="D48" i="41" s="1"/>
  <c r="K48" i="41" s="1"/>
  <c r="D30" i="41"/>
  <c r="D44" i="41" s="1"/>
  <c r="D23" i="41"/>
  <c r="D37" i="41" s="1"/>
  <c r="K37" i="41" s="1"/>
  <c r="D24" i="41"/>
  <c r="D38" i="41" s="1"/>
  <c r="D31" i="41"/>
  <c r="D45" i="41" s="1"/>
  <c r="D32" i="41"/>
  <c r="D46" i="41" s="1"/>
  <c r="D25" i="41"/>
  <c r="D39" i="41" s="1"/>
  <c r="C25" i="41"/>
  <c r="C39" i="41" s="1"/>
  <c r="C31" i="41"/>
  <c r="C45" i="41" s="1"/>
  <c r="C27" i="41"/>
  <c r="C41" i="41" s="1"/>
  <c r="C33" i="41"/>
  <c r="C47" i="41" s="1"/>
  <c r="F23" i="41"/>
  <c r="F37" i="41" s="1"/>
  <c r="F25" i="41"/>
  <c r="F39" i="41" s="1"/>
  <c r="F27" i="41"/>
  <c r="F41" i="41" s="1"/>
  <c r="F29" i="41"/>
  <c r="F43" i="41" s="1"/>
  <c r="F31" i="41"/>
  <c r="F45" i="41" s="1"/>
  <c r="F33" i="41"/>
  <c r="F47" i="41" s="1"/>
  <c r="I19" i="41"/>
  <c r="G23" i="41"/>
  <c r="G37" i="41" s="1"/>
  <c r="G25" i="41"/>
  <c r="G39" i="41" s="1"/>
  <c r="G27" i="41"/>
  <c r="G41" i="41" s="1"/>
  <c r="G29" i="41"/>
  <c r="G43" i="41" s="1"/>
  <c r="G31" i="41"/>
  <c r="G45" i="41" s="1"/>
  <c r="G33" i="41"/>
  <c r="G47" i="41" s="1"/>
  <c r="C20" i="41"/>
  <c r="H23" i="41"/>
  <c r="H37" i="41" s="1"/>
  <c r="H25" i="41"/>
  <c r="H39" i="41" s="1"/>
  <c r="H27" i="41"/>
  <c r="H41" i="41" s="1"/>
  <c r="H29" i="41"/>
  <c r="H43" i="41" s="1"/>
  <c r="H31" i="41"/>
  <c r="H45" i="41" s="1"/>
  <c r="H33" i="41"/>
  <c r="H47" i="41" s="1"/>
  <c r="E23" i="41"/>
  <c r="E37" i="41" s="1"/>
  <c r="E25" i="41"/>
  <c r="E39" i="41" s="1"/>
  <c r="E27" i="41"/>
  <c r="E41" i="41" s="1"/>
  <c r="E29" i="41"/>
  <c r="E43" i="41" s="1"/>
  <c r="E31" i="41"/>
  <c r="E45" i="41" s="1"/>
  <c r="E33" i="41"/>
  <c r="E47" i="41" s="1"/>
  <c r="C24" i="41"/>
  <c r="C38" i="41" s="1"/>
  <c r="C26" i="41"/>
  <c r="C40" i="41" s="1"/>
  <c r="C28" i="41"/>
  <c r="C42" i="41" s="1"/>
  <c r="C30" i="41"/>
  <c r="C44" i="41" s="1"/>
  <c r="C32" i="41"/>
  <c r="C46" i="41" s="1"/>
  <c r="E20" i="41"/>
  <c r="F20" i="41"/>
  <c r="E24" i="41"/>
  <c r="E38" i="41" s="1"/>
  <c r="E26" i="41"/>
  <c r="E40" i="41" s="1"/>
  <c r="E28" i="41"/>
  <c r="E42" i="41" s="1"/>
  <c r="E30" i="41"/>
  <c r="E44" i="41" s="1"/>
  <c r="E32" i="41"/>
  <c r="E46" i="41" s="1"/>
  <c r="F24" i="41"/>
  <c r="F38" i="41" s="1"/>
  <c r="F26" i="41"/>
  <c r="F40" i="41" s="1"/>
  <c r="F28" i="41"/>
  <c r="F42" i="41" s="1"/>
  <c r="F30" i="41"/>
  <c r="F44" i="41" s="1"/>
  <c r="F32" i="41"/>
  <c r="F46" i="41" s="1"/>
  <c r="H24" i="41"/>
  <c r="H38" i="41" s="1"/>
  <c r="H26" i="41"/>
  <c r="H40" i="41" s="1"/>
  <c r="H28" i="41"/>
  <c r="H42" i="41" s="1"/>
  <c r="H30" i="41"/>
  <c r="H44" i="41" s="1"/>
  <c r="H32" i="41"/>
  <c r="H46" i="41" s="1"/>
  <c r="K41" i="41" l="1"/>
  <c r="I48" i="41"/>
  <c r="K47" i="41"/>
  <c r="K45" i="41"/>
  <c r="K43" i="41"/>
  <c r="I43" i="41"/>
  <c r="K39" i="41"/>
  <c r="J37" i="41"/>
  <c r="I45" i="41"/>
  <c r="I39" i="41"/>
  <c r="I37" i="41"/>
  <c r="K40" i="41"/>
  <c r="I40" i="41"/>
  <c r="K38" i="41"/>
  <c r="I38" i="41"/>
  <c r="J45" i="41"/>
  <c r="K46" i="41"/>
  <c r="I46" i="41"/>
  <c r="K42" i="41"/>
  <c r="I42" i="41"/>
  <c r="J47" i="41"/>
  <c r="J42" i="41"/>
  <c r="I47" i="41"/>
  <c r="K44" i="41"/>
  <c r="I44" i="41"/>
  <c r="J46" i="41"/>
  <c r="J44" i="41"/>
  <c r="J41" i="41"/>
  <c r="I20" i="41"/>
  <c r="J43" i="41"/>
  <c r="J40" i="41"/>
  <c r="J38" i="41"/>
  <c r="J39" i="41"/>
  <c r="I41" i="41"/>
  <c r="K11" i="41" l="1"/>
  <c r="K7" i="41"/>
  <c r="K12" i="41"/>
  <c r="K10" i="41"/>
  <c r="K13" i="41"/>
  <c r="K15" i="41"/>
  <c r="K9" i="41"/>
  <c r="K17" i="41"/>
  <c r="K14" i="41"/>
  <c r="K18" i="41"/>
  <c r="K16" i="41"/>
  <c r="K8" i="41"/>
</calcChain>
</file>

<file path=xl/sharedStrings.xml><?xml version="1.0" encoding="utf-8"?>
<sst xmlns="http://schemas.openxmlformats.org/spreadsheetml/2006/main" count="20103" uniqueCount="685">
  <si>
    <t>Year</t>
  </si>
  <si>
    <t>Week</t>
  </si>
  <si>
    <t>TeamW</t>
  </si>
  <si>
    <t>TeamL</t>
  </si>
  <si>
    <t>ScoreW</t>
  </si>
  <si>
    <t>ScoreL</t>
  </si>
  <si>
    <t>Total</t>
  </si>
  <si>
    <t>Diff</t>
  </si>
  <si>
    <t>OwnerW</t>
  </si>
  <si>
    <t>OwnerL</t>
  </si>
  <si>
    <t>Owners</t>
  </si>
  <si>
    <t>Playoff</t>
  </si>
  <si>
    <t>Semi</t>
  </si>
  <si>
    <t>Final</t>
  </si>
  <si>
    <t>Gee Whiz Darnell</t>
  </si>
  <si>
    <t>Dak to Dak</t>
  </si>
  <si>
    <t>Brenton</t>
  </si>
  <si>
    <t>Mike</t>
  </si>
  <si>
    <t>GOBias Industries</t>
  </si>
  <si>
    <t>Shiva Volodarskaya</t>
  </si>
  <si>
    <t>Schulwolf</t>
  </si>
  <si>
    <t>Todd</t>
  </si>
  <si>
    <t>Jasjaap's Primo Team</t>
  </si>
  <si>
    <t>Schmop</t>
  </si>
  <si>
    <t>Jasjaap</t>
  </si>
  <si>
    <t>Burnett</t>
  </si>
  <si>
    <t>Sackwash Lyfe</t>
  </si>
  <si>
    <t>Champagne or Bust</t>
  </si>
  <si>
    <t>Tommy</t>
  </si>
  <si>
    <t>Eli</t>
  </si>
  <si>
    <t>Pay Dirt &amp; Pylons</t>
  </si>
  <si>
    <t>Mr. Fans Noodle Haus</t>
  </si>
  <si>
    <t>Cam</t>
  </si>
  <si>
    <t>Jay</t>
  </si>
  <si>
    <t>Brady = Washed Up III</t>
  </si>
  <si>
    <t>Herbin Legends</t>
  </si>
  <si>
    <t>Will</t>
  </si>
  <si>
    <t>Brand/Kevin</t>
  </si>
  <si>
    <t>Brady = Washed Up IV</t>
  </si>
  <si>
    <t>Pay Dirt &amp; Pylons II</t>
  </si>
  <si>
    <t>Null Hypothesis</t>
  </si>
  <si>
    <t>Jay/Brand</t>
  </si>
  <si>
    <t>Pierogi Night</t>
  </si>
  <si>
    <t>Movin' On Up</t>
  </si>
  <si>
    <t>PurpleVector Reunion Tour</t>
  </si>
  <si>
    <t>Kevin</t>
  </si>
  <si>
    <t>Schmaap</t>
  </si>
  <si>
    <t>Burnett/Jasjaap</t>
  </si>
  <si>
    <t>Brady really was washed…</t>
  </si>
  <si>
    <t>Brand</t>
  </si>
  <si>
    <t>Alternative Hypothesis</t>
  </si>
  <si>
    <t>2 Movin' 2 Up</t>
  </si>
  <si>
    <t>Pay Dirt &amp; Pylons III</t>
  </si>
  <si>
    <t>Brady = Washed Up II</t>
  </si>
  <si>
    <t>Wakandan Warriors</t>
  </si>
  <si>
    <t>Tom Brady = Washed Up</t>
  </si>
  <si>
    <t>LeSean Hara</t>
  </si>
  <si>
    <t>Burnett = Microdong</t>
  </si>
  <si>
    <t>Peyton Teabag Party</t>
  </si>
  <si>
    <t>Winners Circle</t>
  </si>
  <si>
    <t>Radical Shizzlam</t>
  </si>
  <si>
    <t>EBDB Vinegar Strokes</t>
  </si>
  <si>
    <t>Codola</t>
  </si>
  <si>
    <t>PVGP Allstar</t>
  </si>
  <si>
    <t>E.V.I.L</t>
  </si>
  <si>
    <t>Bullsack</t>
  </si>
  <si>
    <t>B' Word Fat</t>
  </si>
  <si>
    <t>The Comeback Kid</t>
  </si>
  <si>
    <t>Cheefin' Cheebahs</t>
  </si>
  <si>
    <t>Juleon</t>
  </si>
  <si>
    <t>HOLDmyDIIIIIIIICK</t>
  </si>
  <si>
    <t>Runcible Spooning</t>
  </si>
  <si>
    <t>Lannister Incest</t>
  </si>
  <si>
    <t>8Chane</t>
  </si>
  <si>
    <t>Bijan the second date</t>
  </si>
  <si>
    <t>Brady come back u can blame it</t>
  </si>
  <si>
    <t>Pay Dirt &amp; Pylons IV</t>
  </si>
  <si>
    <t>Grip Hamilton Memorial 5k</t>
  </si>
  <si>
    <t>Team</t>
  </si>
  <si>
    <t>Owner</t>
  </si>
  <si>
    <t>Points Against</t>
  </si>
  <si>
    <t>PPGA</t>
  </si>
  <si>
    <t>Baseline PPG</t>
  </si>
  <si>
    <t>PPG vs. Baseline</t>
  </si>
  <si>
    <t>Lesean Hara</t>
  </si>
  <si>
    <t>Turban Legends</t>
  </si>
  <si>
    <t>Taco's #1 Guest Bong</t>
  </si>
  <si>
    <t>Someone Has To Lose</t>
  </si>
  <si>
    <t>TheMarathonContinues</t>
  </si>
  <si>
    <t>Foster's Foster's</t>
  </si>
  <si>
    <t>While Brand Studies</t>
  </si>
  <si>
    <t>That Sackwash Feel</t>
  </si>
  <si>
    <t>Rudy's Revanchists</t>
  </si>
  <si>
    <t>Osborn</t>
  </si>
  <si>
    <t>Rudy's Revengencers</t>
  </si>
  <si>
    <t>Jasjaap Sanu</t>
  </si>
  <si>
    <t>Yes</t>
  </si>
  <si>
    <t>Lerner</t>
  </si>
  <si>
    <t>Kitchtits</t>
  </si>
  <si>
    <t>JaBlackus Russell</t>
  </si>
  <si>
    <t>Redemption317</t>
  </si>
  <si>
    <t>Kegel the Elf</t>
  </si>
  <si>
    <t>Cooper Clux Clan</t>
  </si>
  <si>
    <t>Oh Crud. David Brand</t>
  </si>
  <si>
    <t>Brother Omega</t>
  </si>
  <si>
    <t>E.V.I.L.</t>
  </si>
  <si>
    <t>Tynes of Blow</t>
  </si>
  <si>
    <t>Watch Me Pey Pey</t>
  </si>
  <si>
    <t>Big Whack</t>
  </si>
  <si>
    <t>Rafi Bombs!</t>
  </si>
  <si>
    <t>GoBias Industries</t>
  </si>
  <si>
    <t>Brady was Washed Up…</t>
  </si>
  <si>
    <t>Tom Brady=washed up</t>
  </si>
  <si>
    <t>Kevin's Optimal Team</t>
  </si>
  <si>
    <t>Team BULL</t>
  </si>
  <si>
    <t>HOLDmyDIIIIIIIIIICK</t>
  </si>
  <si>
    <t>I = Microdong</t>
  </si>
  <si>
    <t>Lowest of the Low</t>
  </si>
  <si>
    <t>57 Varieties</t>
  </si>
  <si>
    <t>Walk Means Anal</t>
  </si>
  <si>
    <t>ArchersOfLoafcrosse</t>
  </si>
  <si>
    <t>Brady come back you can blame it</t>
  </si>
  <si>
    <t>Group</t>
  </si>
  <si>
    <t>Points</t>
  </si>
  <si>
    <t>Player</t>
  </si>
  <si>
    <t>QB</t>
  </si>
  <si>
    <t>Trevor Lawrence</t>
  </si>
  <si>
    <t>RB</t>
  </si>
  <si>
    <t>WR</t>
  </si>
  <si>
    <t>TE</t>
  </si>
  <si>
    <t>DEF</t>
  </si>
  <si>
    <t>K</t>
  </si>
  <si>
    <t>Jayden Reed</t>
  </si>
  <si>
    <t>Tyreek Hill</t>
  </si>
  <si>
    <t>Zay Flowers</t>
  </si>
  <si>
    <t>Jerome Ford</t>
  </si>
  <si>
    <t>Javonte Williams</t>
  </si>
  <si>
    <t>Trey McBride</t>
  </si>
  <si>
    <t>Cincinnati</t>
  </si>
  <si>
    <t>Tyler Bass</t>
  </si>
  <si>
    <t xml:space="preserve">Year </t>
  </si>
  <si>
    <t>Dak Prescott</t>
  </si>
  <si>
    <t>Seattle</t>
  </si>
  <si>
    <t>Younghoe Koo</t>
  </si>
  <si>
    <t>Pat Freiermuth</t>
  </si>
  <si>
    <t>AJ Brown</t>
  </si>
  <si>
    <t>Deebo Samuel</t>
  </si>
  <si>
    <t>Rashee Rice</t>
  </si>
  <si>
    <t>De'Von Achane</t>
  </si>
  <si>
    <t>James Conner</t>
  </si>
  <si>
    <t>Patrick Mahomes</t>
  </si>
  <si>
    <t>Davante Adams</t>
  </si>
  <si>
    <t>Mike Evans</t>
  </si>
  <si>
    <t>Khalil Shakir</t>
  </si>
  <si>
    <t>Derrick Henry</t>
  </si>
  <si>
    <t>Tyjae Spears</t>
  </si>
  <si>
    <t>Sam LaPorta</t>
  </si>
  <si>
    <t>Buffalo</t>
  </si>
  <si>
    <t>Jason Sanders</t>
  </si>
  <si>
    <t>CJ Stroud</t>
  </si>
  <si>
    <t>George Pickens</t>
  </si>
  <si>
    <t>Chris Olave</t>
  </si>
  <si>
    <t>Marvin Harrison Jr</t>
  </si>
  <si>
    <t>Joe Mixon</t>
  </si>
  <si>
    <t>Isiah Pacheco</t>
  </si>
  <si>
    <t>Hunter Henry</t>
  </si>
  <si>
    <t>Justin Tucker</t>
  </si>
  <si>
    <t>Minnesota</t>
  </si>
  <si>
    <t>Jalen Hurts</t>
  </si>
  <si>
    <t>Jake Moody</t>
  </si>
  <si>
    <t>David Njoku</t>
  </si>
  <si>
    <t>Justin Jefferson</t>
  </si>
  <si>
    <t>DJ Moore</t>
  </si>
  <si>
    <t>DeMario Douglas</t>
  </si>
  <si>
    <t>Bijan Robinson</t>
  </si>
  <si>
    <t>Jaylen Warren</t>
  </si>
  <si>
    <t>Brock Purdy</t>
  </si>
  <si>
    <t>CeeDee Lamb</t>
  </si>
  <si>
    <t>Jaylen Waddle</t>
  </si>
  <si>
    <t>Puka Nacua</t>
  </si>
  <si>
    <t>Josh Jacobs</t>
  </si>
  <si>
    <t>David Montgomery</t>
  </si>
  <si>
    <t>Brock Bowers</t>
  </si>
  <si>
    <t>Jake Elliott</t>
  </si>
  <si>
    <t>Pittsburgh</t>
  </si>
  <si>
    <t>Caleb Williams</t>
  </si>
  <si>
    <t>Ladd McConkey</t>
  </si>
  <si>
    <t>Amon-Ra St. Brown</t>
  </si>
  <si>
    <t>Drake London</t>
  </si>
  <si>
    <t>Travis Etienne</t>
  </si>
  <si>
    <t>Zamir White</t>
  </si>
  <si>
    <t>Kyle Pitts</t>
  </si>
  <si>
    <t>Jason Myers</t>
  </si>
  <si>
    <t>Houston</t>
  </si>
  <si>
    <t>LA Chargers</t>
  </si>
  <si>
    <t>Ka'imi Fairbairn</t>
  </si>
  <si>
    <t>Mark Andrews</t>
  </si>
  <si>
    <t>Alvin Kamara</t>
  </si>
  <si>
    <t>Jonathan Taylor</t>
  </si>
  <si>
    <t>Stefon Diggs</t>
  </si>
  <si>
    <t>Christian Kirk</t>
  </si>
  <si>
    <t>Amari Cooper</t>
  </si>
  <si>
    <t>Lamar Jackson</t>
  </si>
  <si>
    <t>Jordan Love</t>
  </si>
  <si>
    <t>Cooper Kupp</t>
  </si>
  <si>
    <t>DeVonta Smith</t>
  </si>
  <si>
    <t>Chris Godwin</t>
  </si>
  <si>
    <t>Jahmyr Gibbs</t>
  </si>
  <si>
    <t>James Cook</t>
  </si>
  <si>
    <t>Dalton Kincaid</t>
  </si>
  <si>
    <t>Brandon Aubrey</t>
  </si>
  <si>
    <t>Dallas</t>
  </si>
  <si>
    <t>Josh Allen</t>
  </si>
  <si>
    <t>Evan Engram</t>
  </si>
  <si>
    <t>Harrison Butker</t>
  </si>
  <si>
    <t>San Francisco</t>
  </si>
  <si>
    <t>Saquon Barkley</t>
  </si>
  <si>
    <t>Rachaad White</t>
  </si>
  <si>
    <t>Malik Nabers</t>
  </si>
  <si>
    <t>DK Metcalf</t>
  </si>
  <si>
    <t>Romeo Doubs</t>
  </si>
  <si>
    <t>Anthony Richardson</t>
  </si>
  <si>
    <t>Jameson Williams</t>
  </si>
  <si>
    <t>Christian Watson</t>
  </si>
  <si>
    <t>Garrett Wilson</t>
  </si>
  <si>
    <t>Kenneth Walker</t>
  </si>
  <si>
    <t>Breece Hall</t>
  </si>
  <si>
    <t>Dallas Goedert</t>
  </si>
  <si>
    <t>Cairo Santos</t>
  </si>
  <si>
    <t>New Orleans</t>
  </si>
  <si>
    <t>Joe Burrow</t>
  </si>
  <si>
    <t>Ja'Marr Chase</t>
  </si>
  <si>
    <t>Nico Collins</t>
  </si>
  <si>
    <t>Andrei Iosivas</t>
  </si>
  <si>
    <t>Rhamondre Stevenson</t>
  </si>
  <si>
    <t>Aaron Jones</t>
  </si>
  <si>
    <t>George Kittle</t>
  </si>
  <si>
    <t>Evan McPherson</t>
  </si>
  <si>
    <t>Atlanta</t>
  </si>
  <si>
    <t>Jacksonville</t>
  </si>
  <si>
    <t>Ezekiel Elliott</t>
  </si>
  <si>
    <t>Baker Mayfield</t>
  </si>
  <si>
    <t>Chris Boswell</t>
  </si>
  <si>
    <t>Calvin Ridley</t>
  </si>
  <si>
    <t>Jordan Mason</t>
  </si>
  <si>
    <t>Dalton Schultz</t>
  </si>
  <si>
    <t>Demarcus Robinson</t>
  </si>
  <si>
    <t>Geno Smith</t>
  </si>
  <si>
    <t>Jaxon Smith-Njigba</t>
  </si>
  <si>
    <t>Travis Kelce</t>
  </si>
  <si>
    <t>Jayden Daniels</t>
  </si>
  <si>
    <t>Cleveland</t>
  </si>
  <si>
    <t>Najee Harris</t>
  </si>
  <si>
    <t>Indianapolis</t>
  </si>
  <si>
    <t>Michael Pittman</t>
  </si>
  <si>
    <t>Bucky Irving</t>
  </si>
  <si>
    <t>Kyren Williams</t>
  </si>
  <si>
    <t>Xavier Worthy</t>
  </si>
  <si>
    <t>Kyler Murray</t>
  </si>
  <si>
    <t>JK Dobbins</t>
  </si>
  <si>
    <t>Baltimore</t>
  </si>
  <si>
    <t>Brandon Aiyuk</t>
  </si>
  <si>
    <t>Rashid Shaheed</t>
  </si>
  <si>
    <t>Sum of Points</t>
  </si>
  <si>
    <t>Row Labels</t>
  </si>
  <si>
    <t>Grand Total</t>
  </si>
  <si>
    <t>Column Labels</t>
  </si>
  <si>
    <t>Avg</t>
  </si>
  <si>
    <t>vs. Avg</t>
  </si>
  <si>
    <t>Games Played</t>
  </si>
  <si>
    <t>rough</t>
  </si>
  <si>
    <t>Derek Carr</t>
  </si>
  <si>
    <t>Cam Akers</t>
  </si>
  <si>
    <t>Tampa Bay</t>
  </si>
  <si>
    <t>Tank Dell</t>
  </si>
  <si>
    <t>Carson Steele</t>
  </si>
  <si>
    <t>Tee Higgins</t>
  </si>
  <si>
    <t>Brian Thomas Jr</t>
  </si>
  <si>
    <t>D'Andre Swift</t>
  </si>
  <si>
    <t>Las Vegas</t>
  </si>
  <si>
    <t>Rome Odunze</t>
  </si>
  <si>
    <t>Chicago</t>
  </si>
  <si>
    <t>Zack Moss</t>
  </si>
  <si>
    <t>Jerry Jeudy</t>
  </si>
  <si>
    <t>Brandin Cooks</t>
  </si>
  <si>
    <t>Mike Gesicki</t>
  </si>
  <si>
    <t>Colby Parkinson</t>
  </si>
  <si>
    <t>Kansas City</t>
  </si>
  <si>
    <t>Courtland Sutton</t>
  </si>
  <si>
    <t>Miami</t>
  </si>
  <si>
    <t>Tyler Conklin</t>
  </si>
  <si>
    <t>Brian Robinson</t>
  </si>
  <si>
    <t>Jauan Jennings</t>
  </si>
  <si>
    <t>RB-Flex</t>
  </si>
  <si>
    <t>WR-Flex</t>
  </si>
  <si>
    <t>Terry McLaurin</t>
  </si>
  <si>
    <t>Gus Edwards</t>
  </si>
  <si>
    <t>TE-Flex</t>
  </si>
  <si>
    <t>Quentin Johnston</t>
  </si>
  <si>
    <t>Jake Ferguson</t>
  </si>
  <si>
    <t>Jalen Tolbert</t>
  </si>
  <si>
    <t>Diontae Johnson</t>
  </si>
  <si>
    <t>Tennessee</t>
  </si>
  <si>
    <t>Jakobi Meyers</t>
  </si>
  <si>
    <t>Keenan Allen</t>
  </si>
  <si>
    <t>Jordan Addison</t>
  </si>
  <si>
    <t>Chuba Hubbard</t>
  </si>
  <si>
    <t>New England</t>
  </si>
  <si>
    <t>Dontayvion Wicks</t>
  </si>
  <si>
    <t>Deshaun Watson</t>
  </si>
  <si>
    <t>Xavier Legette</t>
  </si>
  <si>
    <t>Justin Fields</t>
  </si>
  <si>
    <t>Tutu Atwell</t>
  </si>
  <si>
    <t>Kareem Hunt</t>
  </si>
  <si>
    <t>Chase Brown</t>
  </si>
  <si>
    <t>Wan'Dale Robinson</t>
  </si>
  <si>
    <t>Joe Flacco</t>
  </si>
  <si>
    <t>Zach Ertz</t>
  </si>
  <si>
    <t>Rico Dowdle</t>
  </si>
  <si>
    <t>Austin Seibert</t>
  </si>
  <si>
    <t>Jordan Whittington</t>
  </si>
  <si>
    <t>Keon Coleman</t>
  </si>
  <si>
    <t>Austin Ekeler</t>
  </si>
  <si>
    <t>Denver</t>
  </si>
  <si>
    <t>Tyler Lockett</t>
  </si>
  <si>
    <t>Sam Darnold</t>
  </si>
  <si>
    <t>Green Bay</t>
  </si>
  <si>
    <t>Tucker Kraft</t>
  </si>
  <si>
    <t>Darnell Mooney</t>
  </si>
  <si>
    <t>Michael Wilson</t>
  </si>
  <si>
    <t>Allen Lazard</t>
  </si>
  <si>
    <t>Cade Otton</t>
  </si>
  <si>
    <t>Trey Sermon</t>
  </si>
  <si>
    <t>per week</t>
  </si>
  <si>
    <t>Daniel Jones</t>
  </si>
  <si>
    <t>Tank Bigsby</t>
  </si>
  <si>
    <t>Josh Downs</t>
  </si>
  <si>
    <t>Ray-Ray McCloud</t>
  </si>
  <si>
    <t>Alexander Mattison</t>
  </si>
  <si>
    <t>Chase McLaughlin</t>
  </si>
  <si>
    <t>Braelon Allen</t>
  </si>
  <si>
    <t>Ty Johnson</t>
  </si>
  <si>
    <t>Brayden Narveson</t>
  </si>
  <si>
    <t>Tony Pollard</t>
  </si>
  <si>
    <t>Isaiah Likely</t>
  </si>
  <si>
    <t>Kirk Cousins</t>
  </si>
  <si>
    <t>DeAndre Hopkins</t>
  </si>
  <si>
    <t>Alec Pierce</t>
  </si>
  <si>
    <t>Tyrone Tracy</t>
  </si>
  <si>
    <t>Brandon McManus</t>
  </si>
  <si>
    <t>Cameron Dicker</t>
  </si>
  <si>
    <t>Tre Tucker</t>
  </si>
  <si>
    <t>LA Rams</t>
  </si>
  <si>
    <t>Bub Means</t>
  </si>
  <si>
    <t>Philadelphia</t>
  </si>
  <si>
    <t>skill</t>
  </si>
  <si>
    <t>luck</t>
  </si>
  <si>
    <t>Will Reichard</t>
  </si>
  <si>
    <t>Detroit</t>
  </si>
  <si>
    <t>Devonta Smith</t>
  </si>
  <si>
    <t>Tua Tagovailoa</t>
  </si>
  <si>
    <t>Nick Chubb</t>
  </si>
  <si>
    <t>Taysom Hill</t>
  </si>
  <si>
    <t>Ricky Pearsall</t>
  </si>
  <si>
    <t>Jalen McMillan</t>
  </si>
  <si>
    <t>D'Ernest Johnson</t>
  </si>
  <si>
    <t>NY Giants</t>
  </si>
  <si>
    <t>Cedric Tillman</t>
  </si>
  <si>
    <t>Bo Nix</t>
  </si>
  <si>
    <t>Roschon Johnson</t>
  </si>
  <si>
    <t>Parker Washington</t>
  </si>
  <si>
    <t>Devin Singletary</t>
  </si>
  <si>
    <t>Christian McCaffrey</t>
  </si>
  <si>
    <t>Cole Kmet</t>
  </si>
  <si>
    <t>Jake Bates</t>
  </si>
  <si>
    <t>Ray Davis</t>
  </si>
  <si>
    <t>TJ Hockenson</t>
  </si>
  <si>
    <t>Sterling Shepard</t>
  </si>
  <si>
    <t>Audric Estime</t>
  </si>
  <si>
    <t>Jonnu Smith</t>
  </si>
  <si>
    <t>Russell Wilson</t>
  </si>
  <si>
    <t>Raheem Mostert</t>
  </si>
  <si>
    <t>Marquez Valdes-Scantling</t>
  </si>
  <si>
    <t>Dawson Knox</t>
  </si>
  <si>
    <t>Rashod Bateman</t>
  </si>
  <si>
    <t>Washington</t>
  </si>
  <si>
    <t>Justin Herbert</t>
  </si>
  <si>
    <t>Gabe Davis</t>
  </si>
  <si>
    <t>Noah Brown</t>
  </si>
  <si>
    <t>Devaughn Vele</t>
  </si>
  <si>
    <t>Kayshon Boutte</t>
  </si>
  <si>
    <t>Elijah Moore</t>
  </si>
  <si>
    <t>Jared Goff</t>
  </si>
  <si>
    <t>Will Dissly</t>
  </si>
  <si>
    <t>Tommy DeVito</t>
  </si>
  <si>
    <t>Blank</t>
  </si>
  <si>
    <t>John Parker Romo</t>
  </si>
  <si>
    <t>Nick Westbrook-Ikhine</t>
  </si>
  <si>
    <t>Sincere McCormick</t>
  </si>
  <si>
    <t>Will Levis</t>
  </si>
  <si>
    <t>Ameer Abdullah</t>
  </si>
  <si>
    <t>Noah Gray</t>
  </si>
  <si>
    <t>Joshua Palmer</t>
  </si>
  <si>
    <t>Zach Charbonnet</t>
  </si>
  <si>
    <t>Adam Thielen</t>
  </si>
  <si>
    <t>Arizona</t>
  </si>
  <si>
    <t>Nick Folk</t>
  </si>
  <si>
    <t xml:space="preserve">Baltimore </t>
  </si>
  <si>
    <t>NY Jets</t>
  </si>
  <si>
    <t>Regular Season Standings</t>
  </si>
  <si>
    <t>Record</t>
  </si>
  <si>
    <t>Points For</t>
  </si>
  <si>
    <t>PPG</t>
  </si>
  <si>
    <t>Expected W-L</t>
  </si>
  <si>
    <t>Semifinals</t>
  </si>
  <si>
    <t>12-3</t>
  </si>
  <si>
    <t>Championship</t>
  </si>
  <si>
    <t>Grip Hamilton Memorial 5K</t>
  </si>
  <si>
    <t>Expected Wins</t>
  </si>
  <si>
    <t>Expected Losses</t>
  </si>
  <si>
    <t>Actual Record</t>
  </si>
  <si>
    <t>Total Points</t>
  </si>
  <si>
    <t>Playoffs
(% of sims)</t>
  </si>
  <si>
    <t>Sacko
(% of sims)</t>
  </si>
  <si>
    <t>Diff. Wins
(Act-Exp)</t>
  </si>
  <si>
    <t>Malik Washington</t>
  </si>
  <si>
    <t>Daniel Carlson</t>
  </si>
  <si>
    <t>Matthew Stafford</t>
  </si>
  <si>
    <t>Tyler Allgeier</t>
  </si>
  <si>
    <t>Isaac Guerendo</t>
  </si>
  <si>
    <t>Chig Okonkwo</t>
  </si>
  <si>
    <t>PPG Above Season Baseline</t>
  </si>
  <si>
    <t>Runcible Spooling</t>
  </si>
  <si>
    <t>Wins</t>
  </si>
  <si>
    <t>Losses</t>
  </si>
  <si>
    <t>WakandanWarriors</t>
  </si>
  <si>
    <t>That Sackwash Lyfe</t>
  </si>
  <si>
    <t>Someone Has to Lose</t>
  </si>
  <si>
    <t>Kitchitis</t>
  </si>
  <si>
    <t>Berghoff</t>
  </si>
  <si>
    <t>HOLDmyDIIIIIICK</t>
  </si>
  <si>
    <t xml:space="preserve">Dak to Dak </t>
  </si>
  <si>
    <t>Titles by Owner</t>
  </si>
  <si>
    <t># Titles</t>
  </si>
  <si>
    <t>Todd, Cam, Mike, Kevin, Brenton, Codola</t>
  </si>
  <si>
    <t>Burnett, Jasjaap, Eli, Tommy, Brand</t>
  </si>
  <si>
    <t>Will, Jay</t>
  </si>
  <si>
    <t>*Dotted line represents start of 0.5 PPR era</t>
  </si>
  <si>
    <t>Teams with +11 Wins, Regular Season</t>
  </si>
  <si>
    <t>Win %</t>
  </si>
  <si>
    <t>Title?</t>
  </si>
  <si>
    <t>No</t>
  </si>
  <si>
    <t>12-2</t>
  </si>
  <si>
    <t>New Drywall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</si>
  <si>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</si>
  <si>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</si>
  <si>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</si>
  <si>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</si>
  <si>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</si>
  <si>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</si>
  <si>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</si>
  <si>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</si>
  <si>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</si>
  <si>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</si>
  <si>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</si>
  <si>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</si>
  <si>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Pay Dirt and Pylons</t>
  </si>
  <si>
    <t>max</t>
  </si>
  <si>
    <t xml:space="preserve">Team </t>
  </si>
  <si>
    <t>Weeks</t>
  </si>
  <si>
    <t>2-5</t>
  </si>
  <si>
    <t>11-14</t>
  </si>
  <si>
    <r>
      <t xml:space="preserve">Best 4-Game Point Stretches, PPR era (2021-2024)
</t>
    </r>
    <r>
      <rPr>
        <sz val="10"/>
        <color theme="1"/>
        <rFont val="Calibri (Body)"/>
      </rPr>
      <t>Regular Season only</t>
    </r>
  </si>
  <si>
    <t>4-7</t>
  </si>
  <si>
    <t>Pay Dirt and Pylons IV</t>
  </si>
  <si>
    <t>10-13</t>
  </si>
  <si>
    <t>3-6</t>
  </si>
  <si>
    <t>12-15</t>
  </si>
  <si>
    <t>1-4</t>
  </si>
  <si>
    <t>min</t>
  </si>
  <si>
    <t>*Curiously, no teams from 2022 or 2023 on this list - parity was higher those years</t>
  </si>
  <si>
    <t>Weeks 1-7</t>
  </si>
  <si>
    <t>Change</t>
  </si>
  <si>
    <t>Average</t>
  </si>
  <si>
    <t>Appearances</t>
  </si>
  <si>
    <t>Titles</t>
  </si>
  <si>
    <t>W-L</t>
  </si>
  <si>
    <t>5-6</t>
  </si>
  <si>
    <t>1-5</t>
  </si>
  <si>
    <t>3-3</t>
  </si>
  <si>
    <t>2-4</t>
  </si>
  <si>
    <t>3-2</t>
  </si>
  <si>
    <t>2-2</t>
  </si>
  <si>
    <t>2-1</t>
  </si>
  <si>
    <t>0-1</t>
  </si>
  <si>
    <t>Win Streak</t>
  </si>
  <si>
    <t>6 (twice)</t>
  </si>
  <si>
    <t>PPG Above League Average</t>
  </si>
  <si>
    <t>Brady Washed Up II</t>
  </si>
  <si>
    <t>Rank</t>
  </si>
  <si>
    <t>Winning Team</t>
  </si>
  <si>
    <t>Losing Team</t>
  </si>
  <si>
    <t>Points (W)</t>
  </si>
  <si>
    <t>Points (L)</t>
  </si>
  <si>
    <t>Margin</t>
  </si>
  <si>
    <t>Tightest Games in 2024</t>
  </si>
  <si>
    <t>RB (top 2)</t>
  </si>
  <si>
    <t>TE (top 1)</t>
  </si>
  <si>
    <t>WR (top 3)</t>
  </si>
  <si>
    <t>Team Name</t>
  </si>
  <si>
    <t>PPG vs. League Avg</t>
  </si>
  <si>
    <t>PPG vs League Average</t>
  </si>
  <si>
    <t>Sacko Recipients by PPG vs. League Average</t>
  </si>
  <si>
    <t/>
  </si>
  <si>
    <r>
      <rPr>
        <b/>
        <sz val="12"/>
        <color theme="5"/>
        <rFont val="Calibri (Body)"/>
      </rPr>
      <t>Orange</t>
    </r>
    <r>
      <rPr>
        <sz val="12"/>
        <color theme="1"/>
        <rFont val="Calibri"/>
        <family val="2"/>
        <scheme val="minor"/>
      </rPr>
      <t xml:space="preserve"> indicates teams that had bad luck. </t>
    </r>
    <r>
      <rPr>
        <b/>
        <sz val="12"/>
        <color theme="4" tint="-0.249977111117893"/>
        <rFont val="Calibri (Body)"/>
      </rPr>
      <t>Blue</t>
    </r>
    <r>
      <rPr>
        <sz val="12"/>
        <color theme="1"/>
        <rFont val="Calibri"/>
        <family val="2"/>
        <scheme val="minor"/>
      </rPr>
      <t xml:space="preserve"> indicates teams that were lucky</t>
    </r>
  </si>
  <si>
    <t>Score - W</t>
  </si>
  <si>
    <t>Score - L</t>
  </si>
  <si>
    <t>Team - W</t>
  </si>
  <si>
    <t>Team - L</t>
  </si>
  <si>
    <t>Ashton Jeanty</t>
  </si>
  <si>
    <t>Will Lutz</t>
  </si>
  <si>
    <t>Blunt Dissection</t>
  </si>
  <si>
    <t>Tetairoa McMillan</t>
  </si>
  <si>
    <t>Tyler Loop</t>
  </si>
  <si>
    <t>Fuck wit Tre Day</t>
  </si>
  <si>
    <t>Tony Horton Hears a Who</t>
  </si>
  <si>
    <t>Pay Dirt &amp; Pylons V</t>
  </si>
  <si>
    <t>Emeka Egbuka</t>
  </si>
  <si>
    <t>TreVeyon Henderson</t>
  </si>
  <si>
    <t>Omarion Hampton</t>
  </si>
  <si>
    <t>Tyler Warren</t>
  </si>
  <si>
    <t>Dylan Sampson</t>
  </si>
  <si>
    <t>Matt Prater</t>
  </si>
  <si>
    <t>Cam Little</t>
  </si>
  <si>
    <t>RJ Harvey</t>
  </si>
  <si>
    <t>Brenton Strange</t>
  </si>
  <si>
    <t>Juwan Johnson</t>
  </si>
  <si>
    <t>Hollywood Brown</t>
  </si>
  <si>
    <t>Chad Ryland</t>
  </si>
  <si>
    <t>Travis Hunter</t>
  </si>
  <si>
    <t>Dont'e Thornton</t>
  </si>
  <si>
    <t>Aaron Rodgers</t>
  </si>
  <si>
    <t>Harold Fannin</t>
  </si>
  <si>
    <t>Trey Benson</t>
  </si>
  <si>
    <t>Jaxson Dart</t>
  </si>
  <si>
    <t>Quinshon Judkins</t>
  </si>
  <si>
    <t>Matthew Golden</t>
  </si>
  <si>
    <t>Cam Skattebo</t>
  </si>
  <si>
    <t>Spencer Shrader</t>
  </si>
  <si>
    <t>Jayden Higgins</t>
  </si>
  <si>
    <t>Michael Carter</t>
  </si>
  <si>
    <t>Jacory Croskey-Merritt</t>
  </si>
  <si>
    <t>Troy Franklin</t>
  </si>
  <si>
    <t>Joshua Karty</t>
  </si>
  <si>
    <t>Darius Slayton</t>
  </si>
  <si>
    <t>Emari Demercado</t>
  </si>
  <si>
    <t>Woody Marks</t>
  </si>
  <si>
    <t>Kendrick Bourne</t>
  </si>
  <si>
    <t>Darren Waller</t>
  </si>
  <si>
    <t>Eddy Pineiro</t>
  </si>
  <si>
    <t>Kenneth Gainwell</t>
  </si>
  <si>
    <t>Mason Taylor</t>
  </si>
  <si>
    <t>Matt Gay</t>
  </si>
  <si>
    <t>Parker Romo</t>
  </si>
  <si>
    <t>Tez Johnson</t>
  </si>
  <si>
    <t>Luke McCaffrey</t>
  </si>
  <si>
    <t>Jeremy McNichols</t>
  </si>
  <si>
    <t>Marcus Mariota</t>
  </si>
  <si>
    <t>Kimani Vidal</t>
  </si>
  <si>
    <t>Spencer Rattler</t>
  </si>
  <si>
    <t>Kyle Monangai</t>
  </si>
  <si>
    <t>Michael Badgley</t>
  </si>
  <si>
    <t>Theo Johnson</t>
  </si>
  <si>
    <t>Calvin Austin III</t>
  </si>
  <si>
    <t>Oronde Gadsden</t>
  </si>
  <si>
    <t>Chimere Dike</t>
  </si>
  <si>
    <t>Jacoby Brissett</t>
  </si>
  <si>
    <t>JJ McCarthy</t>
  </si>
  <si>
    <t>Bam Knight</t>
  </si>
  <si>
    <t>Samaje Perine</t>
  </si>
  <si>
    <t>Ryan Fitzgerald</t>
  </si>
  <si>
    <t>Michael Penix</t>
  </si>
  <si>
    <t>Drake Maye</t>
  </si>
  <si>
    <t>Bhayshul Tuten</t>
  </si>
  <si>
    <t>Carolina</t>
  </si>
  <si>
    <t>Colston Loveland</t>
  </si>
  <si>
    <t>Bryce Young</t>
  </si>
  <si>
    <t>Emanuel Wilson</t>
  </si>
  <si>
    <t>Sean Tucker</t>
  </si>
  <si>
    <t>Brian Thomas</t>
  </si>
  <si>
    <t>Devin Neal</t>
  </si>
  <si>
    <t xml:space="preserve">Atlanta </t>
  </si>
  <si>
    <t>Tyler Shough</t>
  </si>
  <si>
    <t>Jalen Coker</t>
  </si>
  <si>
    <t>2024-games</t>
  </si>
  <si>
    <t>2025-games</t>
  </si>
  <si>
    <t>2024-pts</t>
  </si>
  <si>
    <t>2025-pts</t>
  </si>
  <si>
    <t>10-4</t>
  </si>
  <si>
    <t>9-5</t>
  </si>
  <si>
    <t>7-7</t>
  </si>
  <si>
    <t>6-8</t>
  </si>
  <si>
    <t>5-9</t>
  </si>
  <si>
    <t>Top Scoring Games in League History, PPR Era (2021-2025)</t>
  </si>
  <si>
    <t>Lowest Scoring Games in League History, PPR Era (2021-2025)</t>
  </si>
  <si>
    <t>Champions, 2012-2025</t>
  </si>
  <si>
    <t>1-3</t>
  </si>
  <si>
    <t>3-5</t>
  </si>
  <si>
    <t>4-3</t>
  </si>
  <si>
    <t>6-3</t>
  </si>
  <si>
    <t>8-1</t>
  </si>
  <si>
    <r>
      <t xml:space="preserve">Playoff Records by Manager (2012-2025)
</t>
    </r>
    <r>
      <rPr>
        <sz val="8"/>
        <color theme="1"/>
        <rFont val="Calibri (Body)"/>
      </rPr>
      <t>(only counting Semifinals and Finals)</t>
    </r>
  </si>
  <si>
    <t>Biggest Dip in Performance, Weeks 1-7 vs. Weeks 8-14</t>
  </si>
  <si>
    <t>Weeks 8-14</t>
  </si>
  <si>
    <t>Tightest Games in 2025</t>
  </si>
  <si>
    <t>Tightest Games in PPR Era (2021-2025)</t>
  </si>
  <si>
    <t>Longest Win Streaks, PPR era (2021-2025)</t>
  </si>
  <si>
    <t>8-6</t>
  </si>
  <si>
    <t>Top 2 Bye 
(% of sims)</t>
  </si>
  <si>
    <r>
      <t xml:space="preserve">Season Simulations 
</t>
    </r>
    <r>
      <rPr>
        <sz val="9"/>
        <color theme="1"/>
        <rFont val="Calibri (Body)"/>
      </rPr>
      <t>(100,000 simulations of the season using actual matchups from Week 1-11, random matchups from Weeks 12-14)</t>
    </r>
  </si>
  <si>
    <t>First Round</t>
  </si>
  <si>
    <r>
      <t xml:space="preserve">Best 4-Game Point Stretches, PPR era (2021-2025)
</t>
    </r>
    <r>
      <rPr>
        <sz val="10"/>
        <color theme="1"/>
        <rFont val="Calibri (Body)"/>
      </rPr>
      <t>Regular Season only</t>
    </r>
  </si>
  <si>
    <t>6-9</t>
  </si>
  <si>
    <t>7-10</t>
  </si>
  <si>
    <r>
      <t xml:space="preserve">Worst 4-Game Point Stretches, PPR era (2021-2025)
</t>
    </r>
    <r>
      <rPr>
        <sz val="10"/>
        <color theme="1"/>
        <rFont val="Calibri (Body)"/>
      </rPr>
      <t>Regular Season only</t>
    </r>
  </si>
  <si>
    <t>8-11</t>
  </si>
  <si>
    <t>5-8</t>
  </si>
  <si>
    <t>9-12</t>
  </si>
  <si>
    <r>
      <t xml:space="preserve">Best Teams in DKEHeads History (2012-2025) </t>
    </r>
    <r>
      <rPr>
        <sz val="9"/>
        <color theme="1"/>
        <rFont val="Calibri (Body)"/>
      </rPr>
      <t>168 eligible teams</t>
    </r>
  </si>
  <si>
    <r>
      <t xml:space="preserve">Best Non-Playoff Teams in DKEHeads History (2012-2025) </t>
    </r>
    <r>
      <rPr>
        <sz val="9"/>
        <color theme="1"/>
        <rFont val="Calibri (Body)"/>
      </rPr>
      <t>110 eligible teams</t>
    </r>
  </si>
  <si>
    <r>
      <t xml:space="preserve">Worst Teams in DKEHeads History (2012-2025) </t>
    </r>
    <r>
      <rPr>
        <sz val="9"/>
        <color theme="1"/>
        <rFont val="Calibri (Body)"/>
      </rPr>
      <t>168 eligible teams</t>
    </r>
  </si>
  <si>
    <t>Tom Brady=Washed Up</t>
  </si>
  <si>
    <t>Peyton Teabag</t>
  </si>
  <si>
    <r>
      <t xml:space="preserve">Best Teams in PPR Era (2021-2025) </t>
    </r>
    <r>
      <rPr>
        <sz val="9"/>
        <color theme="1"/>
        <rFont val="Calibri (Body)"/>
      </rPr>
      <t>60 eligible teams</t>
    </r>
  </si>
  <si>
    <r>
      <t xml:space="preserve">Best Non-Playoff Teams in PPR era (2021-2025) </t>
    </r>
    <r>
      <rPr>
        <sz val="9"/>
        <color theme="1"/>
        <rFont val="Calibri (Body)"/>
      </rPr>
      <t>38 eligible teams</t>
    </r>
  </si>
  <si>
    <r>
      <t xml:space="preserve">Worst Teams in PPR Era (2021-2025) </t>
    </r>
    <r>
      <rPr>
        <sz val="9"/>
        <color theme="1"/>
        <rFont val="Calibri (Body)"/>
      </rPr>
      <t>60 eligible teams</t>
    </r>
  </si>
  <si>
    <r>
      <t xml:space="preserve">Worst Playoff Teams in DKEHeads History (2012-2025) </t>
    </r>
    <r>
      <rPr>
        <sz val="9"/>
        <color theme="1"/>
        <rFont val="Calibri (Body)"/>
      </rPr>
      <t>58 eligible teams</t>
    </r>
  </si>
  <si>
    <r>
      <t xml:space="preserve">Worst Playoff Teams in PPR Era (2021-2025) </t>
    </r>
    <r>
      <rPr>
        <sz val="9"/>
        <color theme="1"/>
        <rFont val="Calibri (Body)"/>
      </rPr>
      <t>22 eligible teams</t>
    </r>
  </si>
  <si>
    <t>9th Place Teams (2012-2025)</t>
  </si>
  <si>
    <t>Place</t>
  </si>
  <si>
    <t>Average PPG vs. League Baseline (by Place)</t>
  </si>
  <si>
    <r>
      <t xml:space="preserve">Top Single-Game Scores in League History
</t>
    </r>
    <r>
      <rPr>
        <sz val="12"/>
        <color theme="1"/>
        <rFont val="Calibri (Body)"/>
      </rPr>
      <t xml:space="preserve"> PPR Era (2021-2025)</t>
    </r>
  </si>
  <si>
    <r>
      <t xml:space="preserve">Lowest Single-Game Scores in League History
</t>
    </r>
    <r>
      <rPr>
        <sz val="12"/>
        <color theme="1"/>
        <rFont val="Calibri (Body)"/>
      </rPr>
      <t xml:space="preserve"> PPR Era (2021-2025)</t>
    </r>
  </si>
  <si>
    <t>Biggest Blowouts in PPR Era (2021-2025)</t>
  </si>
  <si>
    <t>Most Unlucky Teams, PPR Era (2021-2025)</t>
  </si>
  <si>
    <t>Difference:
Actual vs. Expected Wins</t>
  </si>
  <si>
    <t>Luckiest Teams, PPR Era (2021-2025)</t>
  </si>
  <si>
    <t>Round</t>
  </si>
  <si>
    <t>3rd Place</t>
  </si>
  <si>
    <t>1st Round</t>
  </si>
  <si>
    <r>
      <t xml:space="preserve">Top Playoff Scores in League History
</t>
    </r>
    <r>
      <rPr>
        <sz val="12"/>
        <color theme="1"/>
        <rFont val="Calibri (Body)"/>
      </rPr>
      <t xml:space="preserve"> PPR Era (2021-2025)</t>
    </r>
    <r>
      <rPr>
        <sz val="12"/>
        <color theme="1"/>
        <rFont val="Calibri"/>
        <family val="2"/>
        <scheme val="minor"/>
      </rPr>
      <t>, out of 44 performances</t>
    </r>
  </si>
  <si>
    <r>
      <t xml:space="preserve">Lowest Playoff Scores in League History
</t>
    </r>
    <r>
      <rPr>
        <sz val="12"/>
        <color theme="1"/>
        <rFont val="Calibri (Body)"/>
      </rPr>
      <t xml:space="preserve"> PPR Era (2021-2025)</t>
    </r>
    <r>
      <rPr>
        <sz val="12"/>
        <color theme="1"/>
        <rFont val="Calibri"/>
        <family val="2"/>
        <scheme val="minor"/>
      </rPr>
      <t>, out of 44 performances</t>
    </r>
  </si>
  <si>
    <t>Points Allowed by Team</t>
  </si>
  <si>
    <r>
      <t xml:space="preserve">Top Scores in Playoff Losses
</t>
    </r>
    <r>
      <rPr>
        <sz val="12"/>
        <color theme="1"/>
        <rFont val="Calibri (Body)"/>
      </rPr>
      <t>PPR Era (2021-2025)</t>
    </r>
    <r>
      <rPr>
        <sz val="12"/>
        <color theme="1"/>
        <rFont val="Calibri"/>
        <family val="2"/>
        <scheme val="minor"/>
      </rPr>
      <t>, out of 22 losing performances</t>
    </r>
  </si>
  <si>
    <t>PPG vs. League Baseline</t>
  </si>
  <si>
    <t>8-7</t>
  </si>
  <si>
    <t>7-8</t>
  </si>
  <si>
    <r>
      <t xml:space="preserve">Worst 4-Game Stretches to end the Regular Season
</t>
    </r>
    <r>
      <rPr>
        <sz val="9"/>
        <color theme="1"/>
        <rFont val="Calibri (Body)"/>
      </rPr>
      <t>PPR era (2021-2025)</t>
    </r>
  </si>
  <si>
    <t>Team_Name</t>
  </si>
  <si>
    <t>diff</t>
  </si>
  <si>
    <t>Biggest Drop in Production, Weeks 1-7 vs. 8-14</t>
  </si>
  <si>
    <t>PPG Weeks 1-7</t>
  </si>
  <si>
    <t>PPG Weeks 8-14</t>
  </si>
  <si>
    <t>Biggest Rise in Production, Weeks 1-7 vs. 8-14</t>
  </si>
  <si>
    <t>Biggest Improvement in Performance, Weeks 1-7 vs. Weeks 8-14</t>
  </si>
  <si>
    <t>Team-W</t>
  </si>
  <si>
    <t>Team-L</t>
  </si>
  <si>
    <t>Score-W</t>
  </si>
  <si>
    <t>Score-L</t>
  </si>
  <si>
    <t>Grip Hamilton Memorial 5K wins</t>
  </si>
  <si>
    <t>Std Dev</t>
  </si>
  <si>
    <r>
      <t xml:space="preserve">Teams with Lowest Variability in Weekly Scores
</t>
    </r>
    <r>
      <rPr>
        <sz val="11"/>
        <color theme="1"/>
        <rFont val="Calibri (Body)"/>
      </rPr>
      <t>PPR Era (2021-2025)</t>
    </r>
  </si>
  <si>
    <r>
      <rPr>
        <b/>
        <sz val="12"/>
        <color theme="4"/>
        <rFont val="Calibri (Body)"/>
      </rPr>
      <t>Blue</t>
    </r>
    <r>
      <rPr>
        <sz val="12"/>
        <color theme="1"/>
        <rFont val="Calibri"/>
        <family val="2"/>
        <scheme val="minor"/>
      </rPr>
      <t xml:space="preserve"> = more stable, </t>
    </r>
    <r>
      <rPr>
        <b/>
        <sz val="12"/>
        <color theme="5"/>
        <rFont val="Calibri (Body)"/>
      </rPr>
      <t>Orange</t>
    </r>
    <r>
      <rPr>
        <sz val="12"/>
        <color theme="1"/>
        <rFont val="Calibri"/>
        <family val="2"/>
        <scheme val="minor"/>
      </rPr>
      <t xml:space="preserve"> = more erratic</t>
    </r>
  </si>
  <si>
    <t>Teams by Variability in Weekly Scores, 2025</t>
  </si>
  <si>
    <t>x</t>
  </si>
  <si>
    <t>PPG vs. League Baseline, By Position</t>
  </si>
  <si>
    <t>League Average (per game)</t>
  </si>
  <si>
    <r>
      <t xml:space="preserve">Best 8-Game Point Stretches, PPR era (2021-2025)
</t>
    </r>
    <r>
      <rPr>
        <sz val="10"/>
        <color theme="1"/>
        <rFont val="Calibri (Body)"/>
      </rPr>
      <t>Regular Season only</t>
    </r>
  </si>
  <si>
    <t>6-13</t>
  </si>
  <si>
    <t>8-15</t>
  </si>
  <si>
    <t>3-10</t>
  </si>
  <si>
    <t>5-12</t>
  </si>
  <si>
    <t>1-8</t>
  </si>
  <si>
    <t>4-11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</si>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</sst>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\+0.0;\-0.0"/>
    <numFmt numFmtId="166" formatCode="\+0.00;\-0.00"/>
    <numFmt numFmtId="175" formatCode="\+0.00;\ \-0.00"/>
  </numFmts>
  <fonts count="3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Calibri (Body)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</font>
    <font>
      <sz val="8"/>
      <color theme="1"/>
      <name val="Calibri (Body)"/>
    </font>
    <font>
      <sz val="16"/>
      <color theme="1"/>
      <name val="Calibri"/>
      <family val="2"/>
      <scheme val="minor"/>
    </font>
    <font>
      <sz val="9"/>
      <color theme="1"/>
      <name val="Calibri (Body)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5"/>
      <name val="Calibri (Body)"/>
    </font>
    <font>
      <b/>
      <sz val="12"/>
      <color theme="4" tint="-0.249977111117893"/>
      <name val="Calibri (Body)"/>
    </font>
    <font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</font>
    <font>
      <sz val="13"/>
      <color theme="1"/>
      <name val="Helvetica"/>
      <family val="2"/>
    </font>
    <font>
      <sz val="12"/>
      <color theme="1"/>
      <name val="Calibri (Body)"/>
    </font>
    <font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 (Body)"/>
    </font>
    <font>
      <b/>
      <sz val="12"/>
      <color theme="4"/>
      <name val="Calibri (Body)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BBDC0"/>
        <bgColor rgb="FF000000"/>
      </patternFill>
    </fill>
    <fill>
      <patternFill patternType="solid">
        <fgColor rgb="FFFBC0C2"/>
        <bgColor rgb="FF000000"/>
      </patternFill>
    </fill>
    <fill>
      <patternFill patternType="solid">
        <fgColor rgb="FFFBD7DA"/>
        <bgColor rgb="FF000000"/>
      </patternFill>
    </fill>
    <fill>
      <patternFill patternType="solid">
        <fgColor rgb="FFFCDEE1"/>
        <bgColor rgb="FF000000"/>
      </patternFill>
    </fill>
    <fill>
      <patternFill patternType="solid">
        <fgColor rgb="FFFCE9EC"/>
        <bgColor rgb="FF000000"/>
      </patternFill>
    </fill>
    <fill>
      <patternFill patternType="solid">
        <fgColor rgb="FFFCF6F9"/>
        <bgColor rgb="FF000000"/>
      </patternFill>
    </fill>
    <fill>
      <patternFill patternType="solid">
        <fgColor rgb="FFF5F9F9"/>
        <bgColor rgb="FF000000"/>
      </patternFill>
    </fill>
    <fill>
      <patternFill patternType="solid">
        <fgColor rgb="FFDDEFE4"/>
        <bgColor rgb="FF000000"/>
      </patternFill>
    </fill>
    <fill>
      <patternFill patternType="solid">
        <fgColor rgb="FFDBEEE3"/>
        <bgColor rgb="FF000000"/>
      </patternFill>
    </fill>
    <fill>
      <patternFill patternType="solid">
        <fgColor rgb="FFD0EAD9"/>
        <bgColor rgb="FF000000"/>
      </patternFill>
    </fill>
    <fill>
      <patternFill patternType="solid">
        <fgColor rgb="FFCEE9D7"/>
        <bgColor rgb="FF000000"/>
      </patternFill>
    </fill>
    <fill>
      <patternFill patternType="solid">
        <fgColor rgb="FFA8D9B6"/>
        <bgColor rgb="FF000000"/>
      </patternFill>
    </fill>
  </fills>
  <borders count="24">
    <border>
      <left/>
      <right/>
      <top/>
      <bottom/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thin">
        <color theme="9" tint="-0.249977111117893"/>
      </top>
      <bottom style="thin">
        <color theme="9" tint="0.59999389629810485"/>
      </bottom>
      <diagonal/>
    </border>
    <border>
      <left style="thin">
        <color auto="1"/>
      </left>
      <right/>
      <top style="thin">
        <color auto="1"/>
      </top>
      <bottom style="thin">
        <color theme="9" tint="0.59999389629810485"/>
      </bottom>
      <diagonal/>
    </border>
    <border>
      <left/>
      <right/>
      <top style="thin">
        <color auto="1"/>
      </top>
      <bottom style="thin">
        <color theme="9" tint="0.59999389629810485"/>
      </bottom>
      <diagonal/>
    </border>
    <border>
      <left/>
      <right style="thin">
        <color auto="1"/>
      </right>
      <top style="thin">
        <color auto="1"/>
      </top>
      <bottom style="thin">
        <color theme="9" tint="0.59999389629810485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8">
    <xf numFmtId="0" fontId="0" fillId="0" borderId="0" xfId="0"/>
    <xf numFmtId="0" fontId="0" fillId="2" borderId="0" xfId="0" applyFill="1"/>
    <xf numFmtId="0" fontId="0" fillId="0" borderId="0" xfId="0" quotePrefix="1"/>
    <xf numFmtId="0" fontId="2" fillId="2" borderId="0" xfId="0" applyFont="1" applyFill="1" applyAlignment="1">
      <alignment horizontal="center" vertical="top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3" fillId="3" borderId="2" xfId="0" applyFont="1" applyFill="1" applyBorder="1"/>
    <xf numFmtId="1" fontId="0" fillId="0" borderId="0" xfId="0" applyNumberFormat="1"/>
    <xf numFmtId="0" fontId="3" fillId="3" borderId="0" xfId="0" applyFont="1" applyFill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0" fontId="3" fillId="3" borderId="11" xfId="0" applyFont="1" applyFill="1" applyBorder="1"/>
    <xf numFmtId="164" fontId="0" fillId="0" borderId="12" xfId="0" applyNumberFormat="1" applyBorder="1"/>
    <xf numFmtId="164" fontId="0" fillId="0" borderId="13" xfId="0" applyNumberFormat="1" applyBorder="1"/>
    <xf numFmtId="0" fontId="0" fillId="0" borderId="14" xfId="0" applyBorder="1" applyAlignment="1">
      <alignment horizontal="left"/>
    </xf>
    <xf numFmtId="1" fontId="0" fillId="0" borderId="15" xfId="0" applyNumberFormat="1" applyBorder="1"/>
    <xf numFmtId="1" fontId="0" fillId="0" borderId="16" xfId="0" applyNumberFormat="1" applyBorder="1"/>
    <xf numFmtId="0" fontId="0" fillId="0" borderId="8" xfId="0" applyBorder="1" applyAlignment="1">
      <alignment horizontal="left"/>
    </xf>
    <xf numFmtId="164" fontId="0" fillId="0" borderId="9" xfId="0" applyNumberFormat="1" applyBorder="1"/>
    <xf numFmtId="164" fontId="0" fillId="0" borderId="10" xfId="0" applyNumberFormat="1" applyBorder="1"/>
    <xf numFmtId="0" fontId="0" fillId="4" borderId="0" xfId="0" applyFill="1"/>
    <xf numFmtId="0" fontId="0" fillId="5" borderId="6" xfId="0" applyFill="1" applyBorder="1"/>
    <xf numFmtId="0" fontId="0" fillId="5" borderId="0" xfId="0" applyFill="1"/>
    <xf numFmtId="0" fontId="0" fillId="5" borderId="7" xfId="0" applyFill="1" applyBorder="1"/>
    <xf numFmtId="0" fontId="0" fillId="6" borderId="0" xfId="0" applyFill="1"/>
    <xf numFmtId="0" fontId="0" fillId="0" borderId="6" xfId="0" applyBorder="1"/>
    <xf numFmtId="0" fontId="0" fillId="0" borderId="7" xfId="0" applyBorder="1"/>
    <xf numFmtId="0" fontId="0" fillId="7" borderId="6" xfId="0" applyFill="1" applyBorder="1"/>
    <xf numFmtId="49" fontId="0" fillId="7" borderId="7" xfId="0" applyNumberFormat="1" applyFill="1" applyBorder="1" applyAlignment="1">
      <alignment horizontal="right"/>
    </xf>
    <xf numFmtId="0" fontId="4" fillId="0" borderId="6" xfId="0" applyFont="1" applyBorder="1"/>
    <xf numFmtId="0" fontId="0" fillId="8" borderId="0" xfId="0" applyFill="1"/>
    <xf numFmtId="49" fontId="0" fillId="7" borderId="9" xfId="0" applyNumberFormat="1" applyFill="1" applyBorder="1" applyAlignment="1">
      <alignment horizontal="right"/>
    </xf>
    <xf numFmtId="164" fontId="0" fillId="7" borderId="9" xfId="0" applyNumberFormat="1" applyFill="1" applyBorder="1"/>
    <xf numFmtId="0" fontId="0" fillId="0" borderId="10" xfId="0" applyBorder="1"/>
    <xf numFmtId="49" fontId="0" fillId="0" borderId="0" xfId="0" applyNumberFormat="1" applyAlignment="1">
      <alignment horizontal="right"/>
    </xf>
    <xf numFmtId="164" fontId="0" fillId="0" borderId="0" xfId="0" applyNumberFormat="1"/>
    <xf numFmtId="49" fontId="0" fillId="0" borderId="7" xfId="0" applyNumberFormat="1" applyBorder="1" applyAlignment="1">
      <alignment horizontal="right"/>
    </xf>
    <xf numFmtId="49" fontId="0" fillId="0" borderId="0" xfId="0" applyNumberFormat="1" applyAlignment="1">
      <alignment horizontal="right" vertical="center"/>
    </xf>
    <xf numFmtId="0" fontId="4" fillId="0" borderId="8" xfId="0" applyFont="1" applyBorder="1" applyAlignment="1">
      <alignment horizontal="left"/>
    </xf>
    <xf numFmtId="0" fontId="0" fillId="0" borderId="14" xfId="0" applyBorder="1"/>
    <xf numFmtId="2" fontId="0" fillId="0" borderId="16" xfId="0" applyNumberFormat="1" applyBorder="1"/>
    <xf numFmtId="0" fontId="4" fillId="0" borderId="7" xfId="0" applyFont="1" applyBorder="1"/>
    <xf numFmtId="0" fontId="2" fillId="5" borderId="6" xfId="0" applyFont="1" applyFill="1" applyBorder="1"/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/>
    </xf>
    <xf numFmtId="49" fontId="0" fillId="9" borderId="15" xfId="0" applyNumberFormat="1" applyFill="1" applyBorder="1" applyAlignment="1">
      <alignment horizontal="right"/>
    </xf>
    <xf numFmtId="9" fontId="0" fillId="0" borderId="15" xfId="1" applyFont="1" applyBorder="1"/>
    <xf numFmtId="9" fontId="0" fillId="0" borderId="0" xfId="1" applyFont="1" applyBorder="1"/>
    <xf numFmtId="9" fontId="0" fillId="0" borderId="9" xfId="1" applyFont="1" applyBorder="1"/>
    <xf numFmtId="9" fontId="0" fillId="0" borderId="0" xfId="1" applyFont="1"/>
    <xf numFmtId="49" fontId="0" fillId="0" borderId="9" xfId="0" applyNumberFormat="1" applyBorder="1" applyAlignment="1">
      <alignment horizontal="right"/>
    </xf>
    <xf numFmtId="9" fontId="0" fillId="7" borderId="0" xfId="1" applyFont="1" applyFill="1" applyBorder="1"/>
    <xf numFmtId="9" fontId="0" fillId="0" borderId="0" xfId="1" applyFont="1" applyFill="1" applyBorder="1"/>
    <xf numFmtId="0" fontId="2" fillId="5" borderId="7" xfId="0" applyFont="1" applyFill="1" applyBorder="1" applyAlignment="1">
      <alignment wrapText="1"/>
    </xf>
    <xf numFmtId="164" fontId="0" fillId="9" borderId="15" xfId="0" applyNumberFormat="1" applyFill="1" applyBorder="1"/>
    <xf numFmtId="2" fontId="0" fillId="9" borderId="15" xfId="0" applyNumberFormat="1" applyFill="1" applyBorder="1"/>
    <xf numFmtId="9" fontId="0" fillId="9" borderId="15" xfId="1" applyFont="1" applyFill="1" applyBorder="1"/>
    <xf numFmtId="9" fontId="0" fillId="7" borderId="9" xfId="1" applyFont="1" applyFill="1" applyBorder="1"/>
    <xf numFmtId="164" fontId="0" fillId="0" borderId="15" xfId="0" applyNumberFormat="1" applyBorder="1"/>
    <xf numFmtId="49" fontId="0" fillId="0" borderId="15" xfId="0" applyNumberFormat="1" applyBorder="1" applyAlignment="1">
      <alignment horizontal="right"/>
    </xf>
    <xf numFmtId="2" fontId="0" fillId="0" borderId="15" xfId="0" applyNumberFormat="1" applyBorder="1"/>
    <xf numFmtId="9" fontId="0" fillId="0" borderId="15" xfId="1" applyFont="1" applyFill="1" applyBorder="1"/>
    <xf numFmtId="0" fontId="0" fillId="5" borderId="8" xfId="0" applyFill="1" applyBorder="1"/>
    <xf numFmtId="0" fontId="0" fillId="5" borderId="9" xfId="0" applyFill="1" applyBorder="1"/>
    <xf numFmtId="164" fontId="0" fillId="0" borderId="7" xfId="0" applyNumberFormat="1" applyBorder="1"/>
    <xf numFmtId="0" fontId="0" fillId="0" borderId="21" xfId="0" applyBorder="1"/>
    <xf numFmtId="0" fontId="0" fillId="0" borderId="22" xfId="0" applyBorder="1"/>
    <xf numFmtId="0" fontId="0" fillId="0" borderId="8" xfId="0" applyBorder="1"/>
    <xf numFmtId="0" fontId="0" fillId="0" borderId="9" xfId="0" applyBorder="1"/>
    <xf numFmtId="0" fontId="6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5" borderId="8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8" fillId="5" borderId="10" xfId="0" applyFont="1" applyFill="1" applyBorder="1" applyAlignment="1">
      <alignment wrapText="1"/>
    </xf>
    <xf numFmtId="0" fontId="9" fillId="4" borderId="0" xfId="0" applyFont="1" applyFill="1" applyAlignment="1">
      <alignment vertical="center"/>
    </xf>
    <xf numFmtId="0" fontId="0" fillId="5" borderId="10" xfId="0" applyFill="1" applyBorder="1"/>
    <xf numFmtId="0" fontId="0" fillId="0" borderId="7" xfId="0" applyBorder="1" applyAlignment="1">
      <alignment horizontal="right"/>
    </xf>
    <xf numFmtId="0" fontId="0" fillId="0" borderId="10" xfId="0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0" xfId="0" applyFont="1"/>
    <xf numFmtId="49" fontId="4" fillId="0" borderId="0" xfId="0" applyNumberFormat="1" applyFont="1" applyAlignment="1">
      <alignment horizontal="right"/>
    </xf>
    <xf numFmtId="9" fontId="4" fillId="0" borderId="0" xfId="1" applyFont="1" applyBorder="1"/>
    <xf numFmtId="0" fontId="10" fillId="0" borderId="0" xfId="0" applyFont="1"/>
    <xf numFmtId="49" fontId="4" fillId="0" borderId="7" xfId="0" applyNumberFormat="1" applyFont="1" applyBorder="1" applyAlignment="1">
      <alignment horizontal="right"/>
    </xf>
    <xf numFmtId="49" fontId="0" fillId="0" borderId="10" xfId="0" applyNumberFormat="1" applyBorder="1" applyAlignment="1">
      <alignment horizontal="right"/>
    </xf>
    <xf numFmtId="0" fontId="0" fillId="4" borderId="0" xfId="0" applyFill="1" applyAlignment="1">
      <alignment horizontal="right"/>
    </xf>
    <xf numFmtId="0" fontId="12" fillId="4" borderId="0" xfId="0" applyFont="1" applyFill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0" xfId="0" applyBorder="1"/>
    <xf numFmtId="0" fontId="0" fillId="5" borderId="20" xfId="0" applyFill="1" applyBorder="1"/>
    <xf numFmtId="0" fontId="0" fillId="5" borderId="18" xfId="0" applyFill="1" applyBorder="1"/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0" borderId="16" xfId="0" applyBorder="1"/>
    <xf numFmtId="49" fontId="0" fillId="0" borderId="6" xfId="0" applyNumberFormat="1" applyBorder="1" applyAlignment="1">
      <alignment horizontal="right"/>
    </xf>
    <xf numFmtId="9" fontId="0" fillId="0" borderId="7" xfId="1" applyFont="1" applyBorder="1"/>
    <xf numFmtId="49" fontId="0" fillId="0" borderId="8" xfId="0" applyNumberFormat="1" applyBorder="1" applyAlignment="1">
      <alignment horizontal="right"/>
    </xf>
    <xf numFmtId="9" fontId="0" fillId="0" borderId="10" xfId="1" applyFont="1" applyBorder="1"/>
    <xf numFmtId="0" fontId="0" fillId="0" borderId="6" xfId="0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2" fontId="4" fillId="0" borderId="0" xfId="0" applyNumberFormat="1" applyFont="1"/>
    <xf numFmtId="164" fontId="4" fillId="0" borderId="7" xfId="0" applyNumberFormat="1" applyFont="1" applyBorder="1"/>
    <xf numFmtId="0" fontId="4" fillId="0" borderId="8" xfId="0" applyFont="1" applyBorder="1" applyAlignment="1">
      <alignment horizontal="center" vertical="top"/>
    </xf>
    <xf numFmtId="0" fontId="4" fillId="0" borderId="9" xfId="0" applyFont="1" applyBorder="1"/>
    <xf numFmtId="164" fontId="4" fillId="0" borderId="10" xfId="0" applyNumberFormat="1" applyFont="1" applyBorder="1"/>
    <xf numFmtId="0" fontId="0" fillId="5" borderId="9" xfId="0" applyFill="1" applyBorder="1" applyAlignment="1">
      <alignment horizontal="left"/>
    </xf>
    <xf numFmtId="0" fontId="7" fillId="5" borderId="10" xfId="0" applyFont="1" applyFill="1" applyBorder="1" applyAlignment="1">
      <alignment horizontal="left" wrapText="1"/>
    </xf>
    <xf numFmtId="0" fontId="0" fillId="0" borderId="8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5" xfId="0" applyBorder="1"/>
    <xf numFmtId="2" fontId="4" fillId="0" borderId="7" xfId="0" applyNumberFormat="1" applyFont="1" applyBorder="1"/>
    <xf numFmtId="0" fontId="0" fillId="4" borderId="0" xfId="0" applyFill="1" applyAlignment="1">
      <alignment horizontal="center" vertical="top"/>
    </xf>
    <xf numFmtId="2" fontId="0" fillId="4" borderId="0" xfId="0" applyNumberFormat="1" applyFill="1"/>
    <xf numFmtId="164" fontId="0" fillId="4" borderId="0" xfId="0" applyNumberFormat="1" applyFill="1"/>
    <xf numFmtId="0" fontId="15" fillId="4" borderId="15" xfId="0" applyFont="1" applyFill="1" applyBorder="1" applyAlignment="1">
      <alignment horizontal="center"/>
    </xf>
    <xf numFmtId="0" fontId="0" fillId="5" borderId="10" xfId="0" applyFill="1" applyBorder="1" applyAlignment="1">
      <alignment horizontal="left" wrapText="1"/>
    </xf>
    <xf numFmtId="0" fontId="17" fillId="0" borderId="0" xfId="0" applyFont="1"/>
    <xf numFmtId="164" fontId="17" fillId="0" borderId="0" xfId="0" applyNumberFormat="1" applyFont="1"/>
    <xf numFmtId="0" fontId="18" fillId="0" borderId="0" xfId="0" applyFont="1"/>
    <xf numFmtId="164" fontId="18" fillId="0" borderId="0" xfId="0" applyNumberFormat="1" applyFont="1"/>
    <xf numFmtId="0" fontId="17" fillId="0" borderId="6" xfId="0" applyFont="1" applyBorder="1"/>
    <xf numFmtId="164" fontId="17" fillId="0" borderId="7" xfId="0" applyNumberFormat="1" applyFont="1" applyBorder="1"/>
    <xf numFmtId="0" fontId="18" fillId="0" borderId="6" xfId="0" applyFont="1" applyBorder="1"/>
    <xf numFmtId="164" fontId="18" fillId="0" borderId="7" xfId="0" applyNumberFormat="1" applyFont="1" applyBorder="1"/>
    <xf numFmtId="0" fontId="17" fillId="0" borderId="8" xfId="0" applyFont="1" applyBorder="1"/>
    <xf numFmtId="0" fontId="17" fillId="0" borderId="9" xfId="0" applyFont="1" applyBorder="1"/>
    <xf numFmtId="164" fontId="17" fillId="0" borderId="10" xfId="0" applyNumberFormat="1" applyFont="1" applyBorder="1"/>
    <xf numFmtId="0" fontId="19" fillId="5" borderId="8" xfId="0" applyFont="1" applyFill="1" applyBorder="1" applyAlignment="1">
      <alignment horizontal="left"/>
    </xf>
    <xf numFmtId="0" fontId="19" fillId="5" borderId="9" xfId="0" applyFont="1" applyFill="1" applyBorder="1" applyAlignment="1">
      <alignment horizontal="center"/>
    </xf>
    <xf numFmtId="0" fontId="19" fillId="5" borderId="10" xfId="0" applyFont="1" applyFill="1" applyBorder="1" applyAlignment="1">
      <alignment horizontal="center" wrapText="1"/>
    </xf>
    <xf numFmtId="164" fontId="17" fillId="0" borderId="9" xfId="0" applyNumberFormat="1" applyFont="1" applyBorder="1"/>
    <xf numFmtId="0" fontId="0" fillId="4" borderId="0" xfId="0" quotePrefix="1" applyFill="1"/>
    <xf numFmtId="9" fontId="0" fillId="4" borderId="0" xfId="1" applyFont="1" applyFill="1"/>
    <xf numFmtId="0" fontId="0" fillId="4" borderId="0" xfId="0" applyFill="1" applyAlignment="1">
      <alignment horizontal="left" vertical="top"/>
    </xf>
    <xf numFmtId="0" fontId="22" fillId="10" borderId="8" xfId="0" applyFont="1" applyFill="1" applyBorder="1"/>
    <xf numFmtId="0" fontId="22" fillId="10" borderId="9" xfId="0" applyFont="1" applyFill="1" applyBorder="1"/>
    <xf numFmtId="0" fontId="22" fillId="10" borderId="10" xfId="0" applyFont="1" applyFill="1" applyBorder="1"/>
    <xf numFmtId="0" fontId="0" fillId="9" borderId="14" xfId="0" applyFill="1" applyBorder="1"/>
    <xf numFmtId="0" fontId="0" fillId="9" borderId="15" xfId="0" applyFill="1" applyBorder="1"/>
    <xf numFmtId="49" fontId="0" fillId="9" borderId="16" xfId="0" applyNumberFormat="1" applyFill="1" applyBorder="1" applyAlignment="1">
      <alignment horizontal="right"/>
    </xf>
    <xf numFmtId="0" fontId="0" fillId="9" borderId="6" xfId="0" applyFill="1" applyBorder="1"/>
    <xf numFmtId="49" fontId="0" fillId="9" borderId="7" xfId="0" applyNumberFormat="1" applyFill="1" applyBorder="1" applyAlignment="1">
      <alignment horizontal="right"/>
    </xf>
    <xf numFmtId="2" fontId="4" fillId="0" borderId="10" xfId="0" applyNumberFormat="1" applyFont="1" applyBorder="1"/>
    <xf numFmtId="165" fontId="0" fillId="0" borderId="7" xfId="0" applyNumberFormat="1" applyBorder="1" applyAlignment="1">
      <alignment wrapText="1"/>
    </xf>
    <xf numFmtId="165" fontId="0" fillId="0" borderId="7" xfId="0" applyNumberFormat="1" applyBorder="1"/>
    <xf numFmtId="165" fontId="0" fillId="0" borderId="23" xfId="0" applyNumberFormat="1" applyBorder="1"/>
    <xf numFmtId="165" fontId="0" fillId="0" borderId="10" xfId="0" applyNumberFormat="1" applyBorder="1"/>
    <xf numFmtId="0" fontId="23" fillId="0" borderId="6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right"/>
    </xf>
    <xf numFmtId="164" fontId="0" fillId="0" borderId="18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165" fontId="0" fillId="0" borderId="13" xfId="0" applyNumberFormat="1" applyBorder="1"/>
    <xf numFmtId="165" fontId="0" fillId="0" borderId="20" xfId="0" applyNumberFormat="1" applyBorder="1"/>
    <xf numFmtId="49" fontId="0" fillId="9" borderId="0" xfId="0" applyNumberFormat="1" applyFill="1" applyAlignment="1">
      <alignment horizontal="right"/>
    </xf>
    <xf numFmtId="2" fontId="0" fillId="9" borderId="0" xfId="0" applyNumberFormat="1" applyFill="1"/>
    <xf numFmtId="164" fontId="0" fillId="9" borderId="0" xfId="0" applyNumberFormat="1" applyFill="1"/>
    <xf numFmtId="49" fontId="0" fillId="7" borderId="0" xfId="0" applyNumberFormat="1" applyFill="1" applyAlignment="1">
      <alignment horizontal="right"/>
    </xf>
    <xf numFmtId="2" fontId="0" fillId="7" borderId="0" xfId="0" applyNumberFormat="1" applyFill="1"/>
    <xf numFmtId="164" fontId="0" fillId="7" borderId="0" xfId="0" applyNumberFormat="1" applyFill="1"/>
    <xf numFmtId="0" fontId="0" fillId="7" borderId="8" xfId="0" applyFill="1" applyBorder="1"/>
    <xf numFmtId="2" fontId="0" fillId="7" borderId="9" xfId="0" applyNumberFormat="1" applyFill="1" applyBorder="1"/>
    <xf numFmtId="49" fontId="0" fillId="7" borderId="10" xfId="0" applyNumberFormat="1" applyFill="1" applyBorder="1" applyAlignment="1">
      <alignment horizontal="right"/>
    </xf>
    <xf numFmtId="49" fontId="0" fillId="0" borderId="16" xfId="0" applyNumberFormat="1" applyBorder="1" applyAlignment="1">
      <alignment horizontal="right"/>
    </xf>
    <xf numFmtId="0" fontId="24" fillId="9" borderId="14" xfId="0" applyFont="1" applyFill="1" applyBorder="1" applyAlignment="1">
      <alignment horizontal="left" vertical="top"/>
    </xf>
    <xf numFmtId="0" fontId="24" fillId="9" borderId="8" xfId="0" applyFont="1" applyFill="1" applyBorder="1" applyAlignment="1">
      <alignment horizontal="left" vertical="top"/>
    </xf>
    <xf numFmtId="164" fontId="0" fillId="9" borderId="9" xfId="0" applyNumberFormat="1" applyFill="1" applyBorder="1"/>
    <xf numFmtId="49" fontId="0" fillId="9" borderId="9" xfId="0" applyNumberFormat="1" applyFill="1" applyBorder="1" applyAlignment="1">
      <alignment horizontal="right"/>
    </xf>
    <xf numFmtId="2" fontId="0" fillId="9" borderId="9" xfId="0" applyNumberFormat="1" applyFill="1" applyBorder="1"/>
    <xf numFmtId="9" fontId="0" fillId="9" borderId="9" xfId="1" applyFont="1" applyFill="1" applyBorder="1"/>
    <xf numFmtId="0" fontId="24" fillId="7" borderId="14" xfId="0" applyFont="1" applyFill="1" applyBorder="1" applyAlignment="1">
      <alignment horizontal="left" vertical="top"/>
    </xf>
    <xf numFmtId="164" fontId="0" fillId="7" borderId="15" xfId="0" applyNumberFormat="1" applyFill="1" applyBorder="1"/>
    <xf numFmtId="49" fontId="0" fillId="7" borderId="15" xfId="0" applyNumberFormat="1" applyFill="1" applyBorder="1" applyAlignment="1">
      <alignment horizontal="right"/>
    </xf>
    <xf numFmtId="2" fontId="0" fillId="7" borderId="15" xfId="0" applyNumberFormat="1" applyFill="1" applyBorder="1"/>
    <xf numFmtId="9" fontId="0" fillId="7" borderId="15" xfId="1" applyFont="1" applyFill="1" applyBorder="1"/>
    <xf numFmtId="0" fontId="24" fillId="7" borderId="6" xfId="0" applyFont="1" applyFill="1" applyBorder="1" applyAlignment="1">
      <alignment horizontal="left" vertical="top"/>
    </xf>
    <xf numFmtId="0" fontId="24" fillId="7" borderId="8" xfId="0" applyFont="1" applyFill="1" applyBorder="1" applyAlignment="1">
      <alignment horizontal="left" vertical="top"/>
    </xf>
    <xf numFmtId="0" fontId="24" fillId="0" borderId="14" xfId="0" applyFont="1" applyBorder="1" applyAlignment="1">
      <alignment horizontal="left" vertical="top"/>
    </xf>
    <xf numFmtId="0" fontId="24" fillId="0" borderId="6" xfId="0" applyFont="1" applyBorder="1" applyAlignment="1">
      <alignment horizontal="left" vertical="top"/>
    </xf>
    <xf numFmtId="0" fontId="24" fillId="0" borderId="8" xfId="0" applyFont="1" applyBorder="1" applyAlignment="1">
      <alignment horizontal="left" vertical="top"/>
    </xf>
    <xf numFmtId="9" fontId="0" fillId="0" borderId="9" xfId="1" applyFont="1" applyFill="1" applyBorder="1"/>
    <xf numFmtId="165" fontId="0" fillId="4" borderId="11" xfId="0" applyNumberFormat="1" applyFill="1" applyBorder="1"/>
    <xf numFmtId="165" fontId="0" fillId="4" borderId="13" xfId="0" applyNumberFormat="1" applyFill="1" applyBorder="1"/>
    <xf numFmtId="165" fontId="0" fillId="4" borderId="12" xfId="0" applyNumberFormat="1" applyFill="1" applyBorder="1"/>
    <xf numFmtId="0" fontId="23" fillId="0" borderId="7" xfId="0" applyFont="1" applyBorder="1" applyAlignment="1">
      <alignment horizontal="right" wrapText="1"/>
    </xf>
    <xf numFmtId="0" fontId="0" fillId="4" borderId="0" xfId="0" applyFill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4" fillId="0" borderId="14" xfId="0" applyFont="1" applyBorder="1"/>
    <xf numFmtId="2" fontId="4" fillId="0" borderId="16" xfId="0" applyNumberFormat="1" applyFont="1" applyBorder="1"/>
    <xf numFmtId="0" fontId="4" fillId="4" borderId="0" xfId="0" applyFont="1" applyFill="1" applyAlignment="1">
      <alignment horizontal="left"/>
    </xf>
    <xf numFmtId="2" fontId="4" fillId="4" borderId="0" xfId="0" applyNumberFormat="1" applyFont="1" applyFill="1"/>
    <xf numFmtId="164" fontId="0" fillId="0" borderId="1" xfId="0" applyNumberFormat="1" applyBorder="1"/>
    <xf numFmtId="0" fontId="10" fillId="0" borderId="6" xfId="0" applyFont="1" applyBorder="1"/>
    <xf numFmtId="0" fontId="4" fillId="0" borderId="8" xfId="0" applyFont="1" applyBorder="1"/>
    <xf numFmtId="49" fontId="4" fillId="0" borderId="10" xfId="0" applyNumberFormat="1" applyFont="1" applyBorder="1" applyAlignment="1">
      <alignment horizontal="right"/>
    </xf>
    <xf numFmtId="0" fontId="13" fillId="4" borderId="0" xfId="0" applyFont="1" applyFill="1"/>
    <xf numFmtId="164" fontId="4" fillId="0" borderId="0" xfId="0" applyNumberFormat="1" applyFont="1"/>
    <xf numFmtId="164" fontId="4" fillId="0" borderId="15" xfId="0" applyNumberFormat="1" applyFont="1" applyBorder="1"/>
    <xf numFmtId="0" fontId="10" fillId="0" borderId="14" xfId="0" applyFont="1" applyBorder="1"/>
    <xf numFmtId="164" fontId="4" fillId="0" borderId="9" xfId="0" applyNumberFormat="1" applyFont="1" applyBorder="1"/>
    <xf numFmtId="165" fontId="4" fillId="0" borderId="7" xfId="0" applyNumberFormat="1" applyFont="1" applyBorder="1"/>
    <xf numFmtId="165" fontId="4" fillId="0" borderId="10" xfId="0" applyNumberFormat="1" applyFont="1" applyBorder="1"/>
    <xf numFmtId="165" fontId="0" fillId="0" borderId="16" xfId="0" applyNumberFormat="1" applyBorder="1"/>
    <xf numFmtId="164" fontId="0" fillId="0" borderId="16" xfId="0" applyNumberFormat="1" applyBorder="1"/>
    <xf numFmtId="0" fontId="0" fillId="0" borderId="0" xfId="0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15" xfId="0" applyFont="1" applyBorder="1"/>
    <xf numFmtId="165" fontId="0" fillId="0" borderId="0" xfId="0" applyNumberFormat="1"/>
    <xf numFmtId="164" fontId="4" fillId="0" borderId="16" xfId="0" applyNumberFormat="1" applyFont="1" applyBorder="1"/>
    <xf numFmtId="0" fontId="7" fillId="5" borderId="7" xfId="0" applyFont="1" applyFill="1" applyBorder="1" applyAlignment="1">
      <alignment horizontal="left" wrapText="1"/>
    </xf>
    <xf numFmtId="0" fontId="0" fillId="5" borderId="0" xfId="0" applyFill="1" applyAlignment="1">
      <alignment horizontal="left"/>
    </xf>
    <xf numFmtId="0" fontId="25" fillId="0" borderId="0" xfId="0" applyFont="1"/>
    <xf numFmtId="0" fontId="10" fillId="0" borderId="8" xfId="0" applyFont="1" applyBorder="1"/>
    <xf numFmtId="0" fontId="25" fillId="4" borderId="0" xfId="0" applyFont="1" applyFill="1"/>
    <xf numFmtId="165" fontId="4" fillId="0" borderId="0" xfId="0" applyNumberFormat="1" applyFont="1"/>
    <xf numFmtId="0" fontId="13" fillId="0" borderId="6" xfId="0" applyFont="1" applyBorder="1"/>
    <xf numFmtId="166" fontId="0" fillId="0" borderId="16" xfId="0" applyNumberFormat="1" applyBorder="1"/>
    <xf numFmtId="166" fontId="0" fillId="0" borderId="7" xfId="0" applyNumberFormat="1" applyBorder="1"/>
    <xf numFmtId="166" fontId="4" fillId="0" borderId="7" xfId="0" applyNumberFormat="1" applyFont="1" applyBorder="1"/>
    <xf numFmtId="166" fontId="0" fillId="0" borderId="10" xfId="0" applyNumberFormat="1" applyBorder="1"/>
    <xf numFmtId="0" fontId="2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7" fillId="0" borderId="0" xfId="0" applyFont="1" applyAlignment="1">
      <alignment horizontal="left" vertical="top"/>
    </xf>
    <xf numFmtId="165" fontId="0" fillId="2" borderId="0" xfId="0" applyNumberFormat="1" applyFill="1"/>
    <xf numFmtId="0" fontId="0" fillId="5" borderId="10" xfId="0" applyFill="1" applyBorder="1" applyAlignment="1">
      <alignment wrapText="1"/>
    </xf>
    <xf numFmtId="165" fontId="4" fillId="0" borderId="16" xfId="0" applyNumberFormat="1" applyFont="1" applyBorder="1"/>
    <xf numFmtId="0" fontId="4" fillId="0" borderId="10" xfId="0" applyFont="1" applyBorder="1"/>
    <xf numFmtId="0" fontId="4" fillId="0" borderId="0" xfId="0" applyFont="1" applyAlignment="1">
      <alignment horizontal="right"/>
    </xf>
    <xf numFmtId="0" fontId="4" fillId="0" borderId="9" xfId="0" applyFont="1" applyBorder="1" applyAlignment="1">
      <alignment horizontal="right"/>
    </xf>
    <xf numFmtId="0" fontId="0" fillId="0" borderId="15" xfId="0" applyBorder="1" applyAlignment="1">
      <alignment horizontal="right"/>
    </xf>
    <xf numFmtId="165" fontId="2" fillId="2" borderId="0" xfId="0" applyNumberFormat="1" applyFont="1" applyFill="1" applyAlignment="1">
      <alignment horizontal="center" vertical="top"/>
    </xf>
    <xf numFmtId="0" fontId="22" fillId="0" borderId="6" xfId="0" applyFont="1" applyBorder="1"/>
    <xf numFmtId="0" fontId="18" fillId="10" borderId="8" xfId="0" applyFont="1" applyFill="1" applyBorder="1" applyAlignment="1">
      <alignment horizontal="center" vertical="top"/>
    </xf>
    <xf numFmtId="0" fontId="18" fillId="10" borderId="9" xfId="0" applyFont="1" applyFill="1" applyBorder="1" applyAlignment="1">
      <alignment horizontal="center" vertical="top"/>
    </xf>
    <xf numFmtId="165" fontId="18" fillId="10" borderId="10" xfId="0" applyNumberFormat="1" applyFont="1" applyFill="1" applyBorder="1" applyAlignment="1">
      <alignment horizontal="center" vertical="top"/>
    </xf>
    <xf numFmtId="0" fontId="22" fillId="0" borderId="14" xfId="0" applyFont="1" applyBorder="1"/>
    <xf numFmtId="0" fontId="22" fillId="0" borderId="15" xfId="0" applyFont="1" applyBorder="1"/>
    <xf numFmtId="2" fontId="22" fillId="0" borderId="15" xfId="0" applyNumberFormat="1" applyFont="1" applyBorder="1"/>
    <xf numFmtId="165" fontId="22" fillId="11" borderId="16" xfId="0" applyNumberFormat="1" applyFont="1" applyFill="1" applyBorder="1"/>
    <xf numFmtId="0" fontId="22" fillId="0" borderId="0" xfId="0" applyFont="1"/>
    <xf numFmtId="2" fontId="22" fillId="0" borderId="0" xfId="0" applyNumberFormat="1" applyFont="1"/>
    <xf numFmtId="165" fontId="22" fillId="12" borderId="7" xfId="0" applyNumberFormat="1" applyFont="1" applyFill="1" applyBorder="1"/>
    <xf numFmtId="165" fontId="22" fillId="13" borderId="7" xfId="0" applyNumberFormat="1" applyFont="1" applyFill="1" applyBorder="1"/>
    <xf numFmtId="165" fontId="22" fillId="14" borderId="7" xfId="0" applyNumberFormat="1" applyFont="1" applyFill="1" applyBorder="1"/>
    <xf numFmtId="165" fontId="22" fillId="15" borderId="7" xfId="0" applyNumberFormat="1" applyFont="1" applyFill="1" applyBorder="1"/>
    <xf numFmtId="165" fontId="22" fillId="16" borderId="7" xfId="0" applyNumberFormat="1" applyFont="1" applyFill="1" applyBorder="1"/>
    <xf numFmtId="165" fontId="22" fillId="17" borderId="7" xfId="0" applyNumberFormat="1" applyFont="1" applyFill="1" applyBorder="1"/>
    <xf numFmtId="165" fontId="22" fillId="18" borderId="7" xfId="0" applyNumberFormat="1" applyFont="1" applyFill="1" applyBorder="1"/>
    <xf numFmtId="165" fontId="22" fillId="19" borderId="7" xfId="0" applyNumberFormat="1" applyFont="1" applyFill="1" applyBorder="1"/>
    <xf numFmtId="165" fontId="22" fillId="20" borderId="7" xfId="0" applyNumberFormat="1" applyFont="1" applyFill="1" applyBorder="1"/>
    <xf numFmtId="165" fontId="22" fillId="21" borderId="7" xfId="0" applyNumberFormat="1" applyFont="1" applyFill="1" applyBorder="1"/>
    <xf numFmtId="0" fontId="28" fillId="0" borderId="8" xfId="0" applyFont="1" applyBorder="1"/>
    <xf numFmtId="0" fontId="28" fillId="0" borderId="9" xfId="0" applyFont="1" applyBorder="1"/>
    <xf numFmtId="2" fontId="28" fillId="0" borderId="9" xfId="0" applyNumberFormat="1" applyFont="1" applyBorder="1"/>
    <xf numFmtId="165" fontId="28" fillId="22" borderId="10" xfId="0" applyNumberFormat="1" applyFont="1" applyFill="1" applyBorder="1"/>
    <xf numFmtId="164" fontId="22" fillId="0" borderId="15" xfId="0" applyNumberFormat="1" applyFont="1" applyBorder="1"/>
    <xf numFmtId="164" fontId="22" fillId="0" borderId="0" xfId="0" applyNumberFormat="1" applyFont="1"/>
    <xf numFmtId="164" fontId="28" fillId="0" borderId="9" xfId="0" applyNumberFormat="1" applyFont="1" applyBorder="1"/>
    <xf numFmtId="0" fontId="0" fillId="0" borderId="9" xfId="0" applyBorder="1" applyAlignment="1">
      <alignment horizontal="right"/>
    </xf>
    <xf numFmtId="164" fontId="4" fillId="0" borderId="1" xfId="0" applyNumberFormat="1" applyFont="1" applyBorder="1"/>
    <xf numFmtId="0" fontId="4" fillId="0" borderId="0" xfId="0" applyFont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/>
    </xf>
    <xf numFmtId="0" fontId="15" fillId="2" borderId="15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center"/>
    </xf>
    <xf numFmtId="0" fontId="15" fillId="2" borderId="14" xfId="0" applyFont="1" applyFill="1" applyBorder="1" applyAlignment="1">
      <alignment horizontal="center" wrapText="1"/>
    </xf>
    <xf numFmtId="0" fontId="15" fillId="2" borderId="15" xfId="0" applyFont="1" applyFill="1" applyBorder="1" applyAlignment="1">
      <alignment horizontal="center" wrapText="1"/>
    </xf>
    <xf numFmtId="0" fontId="15" fillId="2" borderId="16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6" fillId="2" borderId="14" xfId="0" applyFont="1" applyFill="1" applyBorder="1" applyAlignment="1">
      <alignment horizontal="center" wrapText="1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2" borderId="16" xfId="0" applyFont="1" applyFill="1" applyBorder="1" applyAlignment="1">
      <alignment horizontal="center" wrapText="1"/>
    </xf>
    <xf numFmtId="0" fontId="0" fillId="0" borderId="0" xfId="0" applyBorder="1"/>
    <xf numFmtId="49" fontId="0" fillId="0" borderId="0" xfId="0" applyNumberFormat="1" applyBorder="1" applyAlignment="1">
      <alignment horizontal="right"/>
    </xf>
    <xf numFmtId="0" fontId="10" fillId="0" borderId="0" xfId="0" applyFont="1" applyBorder="1"/>
    <xf numFmtId="0" fontId="0" fillId="0" borderId="0" xfId="0" applyFill="1" applyBorder="1" applyAlignment="1">
      <alignment horizontal="center" wrapText="1"/>
    </xf>
    <xf numFmtId="0" fontId="4" fillId="0" borderId="0" xfId="0" applyFont="1" applyBorder="1"/>
    <xf numFmtId="0" fontId="0" fillId="0" borderId="1" xfId="0" applyFont="1" applyBorder="1" applyAlignment="1">
      <alignment horizontal="left"/>
    </xf>
    <xf numFmtId="164" fontId="0" fillId="0" borderId="1" xfId="0" applyNumberFormat="1" applyFont="1" applyBorder="1"/>
    <xf numFmtId="2" fontId="0" fillId="0" borderId="0" xfId="0" applyNumberFormat="1" applyFont="1"/>
    <xf numFmtId="164" fontId="0" fillId="0" borderId="6" xfId="0" applyNumberFormat="1" applyBorder="1"/>
    <xf numFmtId="164" fontId="4" fillId="0" borderId="6" xfId="0" applyNumberFormat="1" applyFont="1" applyBorder="1"/>
    <xf numFmtId="164" fontId="0" fillId="0" borderId="6" xfId="0" applyNumberFormat="1" applyFont="1" applyBorder="1"/>
    <xf numFmtId="164" fontId="0" fillId="0" borderId="0" xfId="0" applyNumberFormat="1" applyFont="1"/>
    <xf numFmtId="164" fontId="0" fillId="0" borderId="7" xfId="0" applyNumberFormat="1" applyFont="1" applyBorder="1"/>
    <xf numFmtId="0" fontId="29" fillId="0" borderId="20" xfId="0" applyFont="1" applyBorder="1" applyAlignment="1">
      <alignment horizontal="center" vertical="top"/>
    </xf>
    <xf numFmtId="0" fontId="29" fillId="5" borderId="8" xfId="0" applyFont="1" applyFill="1" applyBorder="1" applyAlignment="1">
      <alignment horizontal="center" vertical="top"/>
    </xf>
    <xf numFmtId="0" fontId="29" fillId="5" borderId="9" xfId="0" applyFont="1" applyFill="1" applyBorder="1" applyAlignment="1">
      <alignment horizontal="center" vertical="top"/>
    </xf>
    <xf numFmtId="0" fontId="29" fillId="5" borderId="10" xfId="0" applyFont="1" applyFill="1" applyBorder="1" applyAlignment="1">
      <alignment horizontal="center" vertical="top"/>
    </xf>
    <xf numFmtId="164" fontId="0" fillId="0" borderId="0" xfId="0" applyNumberFormat="1" applyBorder="1"/>
    <xf numFmtId="164" fontId="4" fillId="0" borderId="0" xfId="0" applyNumberFormat="1" applyFont="1" applyBorder="1"/>
    <xf numFmtId="175" fontId="0" fillId="0" borderId="0" xfId="0" applyNumberFormat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175" fontId="0" fillId="0" borderId="7" xfId="0" applyNumberFormat="1" applyBorder="1"/>
    <xf numFmtId="175" fontId="0" fillId="0" borderId="10" xfId="0" applyNumberFormat="1" applyBorder="1"/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164" fontId="0" fillId="0" borderId="12" xfId="0" applyNumberFormat="1" applyFont="1" applyBorder="1"/>
    <xf numFmtId="0" fontId="0" fillId="4" borderId="0" xfId="0" applyFill="1" applyBorder="1"/>
    <xf numFmtId="164" fontId="0" fillId="0" borderId="8" xfId="0" applyNumberFormat="1" applyFont="1" applyBorder="1"/>
    <xf numFmtId="164" fontId="0" fillId="0" borderId="9" xfId="0" applyNumberFormat="1" applyFont="1" applyBorder="1"/>
    <xf numFmtId="164" fontId="0" fillId="0" borderId="10" xfId="0" applyNumberFormat="1" applyFont="1" applyBorder="1"/>
    <xf numFmtId="165" fontId="0" fillId="0" borderId="0" xfId="0" applyNumberFormat="1" applyBorder="1"/>
    <xf numFmtId="164" fontId="0" fillId="0" borderId="19" xfId="0" applyNumberFormat="1" applyBorder="1"/>
    <xf numFmtId="0" fontId="0" fillId="0" borderId="0" xfId="0" applyFill="1" applyBorder="1"/>
    <xf numFmtId="49" fontId="4" fillId="0" borderId="16" xfId="0" applyNumberFormat="1" applyFont="1" applyBorder="1" applyAlignment="1">
      <alignment horizontal="right"/>
    </xf>
    <xf numFmtId="49" fontId="0" fillId="0" borderId="7" xfId="0" applyNumberFormat="1" applyFon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7"/>
  <colors>
    <mruColors>
      <color rgb="FFFFDDDC"/>
      <color rgb="FFFF6E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4.xml"/><Relationship Id="rId50" Type="http://schemas.openxmlformats.org/officeDocument/2006/relationships/pivotCacheDefinition" Target="pivotCache/pivotCacheDefinition7.xml"/><Relationship Id="rId55" Type="http://schemas.openxmlformats.org/officeDocument/2006/relationships/pivotCacheDefinition" Target="pivotCache/pivotCacheDefinition1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2.xml"/><Relationship Id="rId53" Type="http://schemas.openxmlformats.org/officeDocument/2006/relationships/pivotCacheDefinition" Target="pivotCache/pivotCacheDefinition10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5.xml"/><Relationship Id="rId56" Type="http://schemas.openxmlformats.org/officeDocument/2006/relationships/pivotCacheDefinition" Target="pivotCache/pivotCacheDefinition13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3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6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1.xml"/><Relationship Id="rId52" Type="http://schemas.openxmlformats.org/officeDocument/2006/relationships/pivotCacheDefinition" Target="pivotCache/pivotCacheDefinition9.xml"/><Relationship Id="rId60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45.71840208333" createdVersion="4" refreshedVersion="4" minRefreshableVersion="3" recordCount="216" xr:uid="{00000000-000A-0000-FFFF-FFFF00000000}">
  <cacheSource type="worksheet">
    <worksheetSource ref="A1:G240" sheet="positional_raw"/>
  </cacheSource>
  <cacheFields count="7">
    <cacheField name="Team" numFmtId="0">
      <sharedItems count="12">
        <s v="Gee Whiz Darnell"/>
        <s v="8Chane"/>
        <s v="Pierogi Night"/>
        <s v="Grip Hamilton Memorial 5k"/>
        <s v="Bijan the second date"/>
        <s v="Schmaap"/>
        <s v="Brady come back u can blame it"/>
        <s v="Mr. Fans Noodle Haus"/>
        <s v="GOBias Industries"/>
        <s v="Sackwash Lyfe"/>
        <s v="Herbin Legends"/>
        <s v="Pay Dirt &amp; Pylons IV"/>
      </sharedItems>
    </cacheField>
    <cacheField name="Owner" numFmtId="0">
      <sharedItems/>
    </cacheField>
    <cacheField name="Week" numFmtId="0">
      <sharedItems containsSemiMixedTypes="0" containsString="0" containsNumber="1" containsInteger="1" minValue="1" maxValue="2"/>
    </cacheField>
    <cacheField name="Group" numFmtId="0">
      <sharedItems count="6">
        <s v="QB"/>
        <s v="WR"/>
        <s v="RB"/>
        <s v="TE"/>
        <s v="DEF"/>
        <s v="K"/>
      </sharedItems>
    </cacheField>
    <cacheField name="Player" numFmtId="0">
      <sharedItems/>
    </cacheField>
    <cacheField name="Points" numFmtId="0">
      <sharedItems containsSemiMixedTypes="0" containsString="0" containsNumber="1" minValue="-3" maxValue="43"/>
    </cacheField>
    <cacheField name="Year 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46.369011342591" createdVersion="4" refreshedVersion="4" minRefreshableVersion="3" recordCount="324" xr:uid="{00000000-000A-0000-FFFF-FFFF01000000}">
  <cacheSource type="worksheet">
    <worksheetSource ref="A1:G360" sheet="positional_raw"/>
  </cacheSource>
  <cacheFields count="7">
    <cacheField name="Team" numFmtId="0">
      <sharedItems count="12">
        <s v="Gee Whiz Darnell"/>
        <s v="8Chane"/>
        <s v="Pierogi Night"/>
        <s v="Grip Hamilton Memorial 5k"/>
        <s v="Bijan the second date"/>
        <s v="Schmaap"/>
        <s v="Brady come back u can blame it"/>
        <s v="Mr. Fans Noodle Haus"/>
        <s v="GOBias Industries"/>
        <s v="Sackwash Lyfe"/>
        <s v="Herbin Legends"/>
        <s v="Pay Dirt &amp; Pylons IV"/>
      </sharedItems>
    </cacheField>
    <cacheField name="Owner" numFmtId="0">
      <sharedItems/>
    </cacheField>
    <cacheField name="Week" numFmtId="0">
      <sharedItems containsSemiMixedTypes="0" containsString="0" containsNumber="1" containsInteger="1" minValue="1" maxValue="3"/>
    </cacheField>
    <cacheField name="Group" numFmtId="0">
      <sharedItems count="6">
        <s v="QB"/>
        <s v="WR"/>
        <s v="RB"/>
        <s v="TE"/>
        <s v="DEF"/>
        <s v="K"/>
      </sharedItems>
    </cacheField>
    <cacheField name="Player" numFmtId="0">
      <sharedItems/>
    </cacheField>
    <cacheField name="Points" numFmtId="0">
      <sharedItems containsSemiMixedTypes="0" containsString="0" containsNumber="1" minValue="-6" maxValue="43"/>
    </cacheField>
    <cacheField name="Year 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46.369455902779" createdVersion="4" refreshedVersion="4" minRefreshableVersion="3" recordCount="444" xr:uid="{00000000-000A-0000-FFFF-FFFF02000000}">
  <cacheSource type="worksheet">
    <worksheetSource ref="A1:G481" sheet="positional_raw"/>
  </cacheSource>
  <cacheFields count="7">
    <cacheField name="Team" numFmtId="0">
      <sharedItems count="12">
        <s v="Gee Whiz Darnell"/>
        <s v="8Chane"/>
        <s v="Pierogi Night"/>
        <s v="Grip Hamilton Memorial 5k"/>
        <s v="Bijan the second date"/>
        <s v="Schmaap"/>
        <s v="Brady come back u can blame it"/>
        <s v="Mr. Fans Noodle Haus"/>
        <s v="GOBias Industries"/>
        <s v="Sackwash Lyfe"/>
        <s v="Herbin Legends"/>
        <s v="Pay Dirt &amp; Pylons IV"/>
      </sharedItems>
    </cacheField>
    <cacheField name="Owner" numFmtId="0">
      <sharedItems/>
    </cacheField>
    <cacheField name="Week" numFmtId="0">
      <sharedItems containsSemiMixedTypes="0" containsString="0" containsNumber="1" containsInteger="1" minValue="1" maxValue="4"/>
    </cacheField>
    <cacheField name="Group" numFmtId="0">
      <sharedItems count="9">
        <s v="QB"/>
        <s v="WR"/>
        <s v="RB"/>
        <s v="TE"/>
        <s v="DEF"/>
        <s v="K"/>
        <s v="WR-Flex"/>
        <s v="RB-Flex"/>
        <s v="TE-Flex"/>
      </sharedItems>
    </cacheField>
    <cacheField name="Player" numFmtId="0">
      <sharedItems/>
    </cacheField>
    <cacheField name="Points" numFmtId="0">
      <sharedItems containsSemiMixedTypes="0" containsString="0" containsNumber="1" minValue="-6" maxValue="43" count="235">
        <n v="11.28"/>
        <n v="31.1"/>
        <n v="22.5"/>
        <n v="8.1"/>
        <n v="15.9"/>
        <n v="2.8"/>
        <n v="5.5"/>
        <n v="3"/>
        <n v="10"/>
        <n v="11.46"/>
        <n v="20.399999999999999"/>
        <n v="16.2"/>
        <n v="13.8"/>
        <n v="19.5"/>
        <n v="17.8"/>
        <n v="4.7"/>
        <n v="4"/>
        <n v="14.64"/>
        <n v="8.4"/>
        <n v="20.6"/>
        <n v="11.7"/>
        <n v="10.6"/>
        <n v="5.2"/>
        <n v="6.5"/>
        <n v="9"/>
        <n v="6"/>
        <n v="18.66"/>
        <n v="10.5"/>
        <n v="2.1"/>
        <n v="0.9"/>
        <n v="25.3"/>
        <n v="14.8"/>
        <n v="8"/>
        <n v="23"/>
        <n v="16.420000000000002"/>
        <n v="13.9"/>
        <n v="7.5"/>
        <n v="2.2000000000000002"/>
        <n v="13.6"/>
        <n v="6.4"/>
        <n v="26"/>
        <n v="-2"/>
        <n v="10.34"/>
        <n v="11.1"/>
        <n v="13.7"/>
        <n v="6.2"/>
        <n v="11.4"/>
        <n v="15.8"/>
        <n v="8.8000000000000007"/>
        <n v="13"/>
        <n v="7.22"/>
        <n v="12.4"/>
        <n v="2.5"/>
        <n v="10.9"/>
        <n v="3.6"/>
        <n v="10.1"/>
        <n v="25.12"/>
        <n v="18.899999999999999"/>
        <n v="3.5"/>
        <n v="2.6"/>
        <n v="10.8"/>
        <n v="2.4"/>
        <n v="17"/>
        <n v="15"/>
        <n v="16.399999999999999"/>
        <n v="25"/>
        <n v="11.9"/>
        <n v="18.3"/>
        <n v="15.4"/>
        <n v="11.8"/>
        <n v="1.6"/>
        <n v="21"/>
        <n v="18"/>
        <n v="31.18"/>
        <n v="9.1"/>
        <n v="4.4000000000000004"/>
        <n v="7"/>
        <n v="32.200000000000003"/>
        <n v="1"/>
        <n v="26.08"/>
        <n v="21.9"/>
        <n v="17.899999999999999"/>
        <n v="5.0999999999999996"/>
        <n v="8.06"/>
        <n v="9.1999999999999993"/>
        <n v="14.7"/>
        <n v="4.0999999999999996"/>
        <n v="20.100000000000001"/>
        <n v="18.8"/>
        <n v="18.600000000000001"/>
        <n v="5.6"/>
        <n v="4.2"/>
        <n v="6.9"/>
        <n v="15.7"/>
        <n v="12.94"/>
        <n v="21.5"/>
        <n v="5.7"/>
        <n v="16.100000000000001"/>
        <n v="2.2999999999999998"/>
        <n v="12.92"/>
        <n v="14"/>
        <n v="16"/>
        <n v="22.7"/>
        <n v="5"/>
        <n v="16.38"/>
        <n v="0.4"/>
        <n v="43"/>
        <n v="14.5"/>
        <n v="7.1"/>
        <n v="20"/>
        <n v="23.82"/>
        <n v="21.3"/>
        <n v="8.3000000000000007"/>
        <n v="14.2"/>
        <n v="16.899999999999999"/>
        <n v="3.1"/>
        <n v="17.88"/>
        <n v="17.399999999999999"/>
        <n v="14.4"/>
        <n v="17.7"/>
        <n v="13.3"/>
        <n v="1.1000000000000001"/>
        <n v="12"/>
        <n v="13.44"/>
        <n v="21.2"/>
        <n v="17.100000000000001"/>
        <n v="28"/>
        <n v="14.1"/>
        <n v="5.3"/>
        <n v="-3"/>
        <n v="14.3"/>
        <n v="27"/>
        <n v="3.9"/>
        <n v="7.9"/>
        <n v="14.9"/>
        <n v="9.86"/>
        <n v="8.1999999999999993"/>
        <n v="20.9"/>
        <n v="11"/>
        <n v="2"/>
        <n v="9.76"/>
        <n v="23.9"/>
        <n v="23.7"/>
        <n v="3.2"/>
        <n v="15.6"/>
        <n v="13.2"/>
        <n v="0"/>
        <n v="28.54"/>
        <n v="23.5"/>
        <n v="6.3"/>
        <n v="19.600000000000001"/>
        <n v="13.96"/>
        <n v="13.1"/>
        <n v="7.98"/>
        <n v="3.8"/>
        <n v="8.9"/>
        <n v="9.4"/>
        <n v="8.5"/>
        <n v="9.8000000000000007"/>
        <n v="17.600000000000001"/>
        <n v="1.9"/>
        <n v="8.6999999999999993"/>
        <n v="29.9"/>
        <n v="4.5999999999999996"/>
        <n v="25.98"/>
        <n v="24.1"/>
        <n v="14.92"/>
        <n v="5.4"/>
        <n v="29.86"/>
        <n v="23.1"/>
        <n v="7.3"/>
        <n v="1.4"/>
        <n v="-6"/>
        <n v="10.94"/>
        <n v="11.2"/>
        <n v="12.2"/>
        <n v="19"/>
        <n v="11.36"/>
        <n v="5.9"/>
        <n v="24.2"/>
        <n v="25.36"/>
        <n v="26.8"/>
        <n v="23.3"/>
        <n v="28.06"/>
        <n v="6.7"/>
        <n v="18.2"/>
        <n v="16.7"/>
        <n v="11.6"/>
        <n v="-5"/>
        <n v="5.08"/>
        <n v="16.3"/>
        <n v="9.9"/>
        <n v="22"/>
        <n v="30.92"/>
        <n v="18.399999999999999"/>
        <n v="31.6"/>
        <n v="30.6"/>
        <n v="25.78"/>
        <n v="19.7"/>
        <n v="28.88"/>
        <n v="23.6"/>
        <n v="13.5"/>
        <n v="1.5"/>
        <n v="23.64"/>
        <n v="10.3"/>
        <n v="21.4"/>
        <n v="3.7"/>
        <n v="24.02"/>
        <n v="10.199999999999999"/>
        <n v="19.8"/>
        <n v="7.2"/>
        <n v="14.62"/>
        <n v="19.399999999999999"/>
        <n v="1.8"/>
        <n v="34.4"/>
        <n v="-0.9"/>
        <n v="16.32"/>
        <n v="17.5"/>
        <n v="9.6999999999999993"/>
        <n v="4.9000000000000004"/>
        <n v="16.739999999999998"/>
        <n v="9.98"/>
        <n v="27.1"/>
        <n v="7.4"/>
        <n v="12.5"/>
        <n v="5.8"/>
        <n v="21.6"/>
        <n v="17.78"/>
        <n v="15.2"/>
        <n v="12.6"/>
        <n v="-0.4"/>
        <n v="5.24"/>
        <n v="3.4"/>
        <n v="12.8"/>
        <n v="12.7"/>
      </sharedItems>
    </cacheField>
    <cacheField name="Year 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46.63415150463" createdVersion="4" refreshedVersion="4" minRefreshableVersion="3" recordCount="564" xr:uid="{00000000-000A-0000-FFFF-FFFF03000000}">
  <cacheSource type="worksheet">
    <worksheetSource ref="A1:G601" sheet="positional_raw"/>
  </cacheSource>
  <cacheFields count="7">
    <cacheField name="Team" numFmtId="0">
      <sharedItems count="12">
        <s v="Gee Whiz Darnell"/>
        <s v="8Chane"/>
        <s v="Pierogi Night"/>
        <s v="Grip Hamilton Memorial 5k"/>
        <s v="Bijan the second date"/>
        <s v="Schmaap"/>
        <s v="Brady come back u can blame it"/>
        <s v="Mr. Fans Noodle Haus"/>
        <s v="GOBias Industries"/>
        <s v="Sackwash Lyfe"/>
        <s v="Herbin Legends"/>
        <s v="Pay Dirt &amp; Pylons IV"/>
      </sharedItems>
    </cacheField>
    <cacheField name="Owner" numFmtId="0">
      <sharedItems/>
    </cacheField>
    <cacheField name="Week" numFmtId="0">
      <sharedItems containsSemiMixedTypes="0" containsString="0" containsNumber="1" containsInteger="1" minValue="1" maxValue="5"/>
    </cacheField>
    <cacheField name="Group" numFmtId="0">
      <sharedItems count="9">
        <s v="QB"/>
        <s v="WR"/>
        <s v="RB"/>
        <s v="TE"/>
        <s v="DEF"/>
        <s v="K"/>
        <s v="WR-Flex"/>
        <s v="RB-Flex"/>
        <s v="TE-Flex"/>
      </sharedItems>
    </cacheField>
    <cacheField name="Player" numFmtId="0">
      <sharedItems/>
    </cacheField>
    <cacheField name="Points" numFmtId="0">
      <sharedItems containsSemiMixedTypes="0" containsString="0" containsNumber="1" minValue="-6" maxValue="43" count="262">
        <n v="11.28"/>
        <n v="31.1"/>
        <n v="22.5"/>
        <n v="8.1"/>
        <n v="15.9"/>
        <n v="2.8"/>
        <n v="5.5"/>
        <n v="3"/>
        <n v="10"/>
        <n v="11.46"/>
        <n v="20.399999999999999"/>
        <n v="16.2"/>
        <n v="13.8"/>
        <n v="19.5"/>
        <n v="17.8"/>
        <n v="4.7"/>
        <n v="4"/>
        <n v="14.64"/>
        <n v="8.4"/>
        <n v="20.6"/>
        <n v="11.7"/>
        <n v="10.6"/>
        <n v="5.2"/>
        <n v="6.5"/>
        <n v="9"/>
        <n v="6"/>
        <n v="18.66"/>
        <n v="10.5"/>
        <n v="2.1"/>
        <n v="0.9"/>
        <n v="25.3"/>
        <n v="14.8"/>
        <n v="8"/>
        <n v="23"/>
        <n v="16.420000000000002"/>
        <n v="13.9"/>
        <n v="7.5"/>
        <n v="2.2000000000000002"/>
        <n v="13.6"/>
        <n v="6.4"/>
        <n v="26"/>
        <n v="-2"/>
        <n v="10.34"/>
        <n v="11.1"/>
        <n v="13.7"/>
        <n v="6.2"/>
        <n v="11.4"/>
        <n v="15.8"/>
        <n v="8.8000000000000007"/>
        <n v="13"/>
        <n v="7.22"/>
        <n v="12.4"/>
        <n v="2.5"/>
        <n v="10.9"/>
        <n v="3.6"/>
        <n v="10.1"/>
        <n v="25.12"/>
        <n v="18.899999999999999"/>
        <n v="3.5"/>
        <n v="2.6"/>
        <n v="10.8"/>
        <n v="2.4"/>
        <n v="17"/>
        <n v="15"/>
        <n v="16.399999999999999"/>
        <n v="25"/>
        <n v="11.9"/>
        <n v="18.3"/>
        <n v="15.4"/>
        <n v="11.8"/>
        <n v="1.6"/>
        <n v="21"/>
        <n v="18"/>
        <n v="31.18"/>
        <n v="9.1"/>
        <n v="4.4000000000000004"/>
        <n v="7"/>
        <n v="32.200000000000003"/>
        <n v="1"/>
        <n v="26.08"/>
        <n v="21.9"/>
        <n v="17.899999999999999"/>
        <n v="5.0999999999999996"/>
        <n v="8.06"/>
        <n v="9.1999999999999993"/>
        <n v="14.7"/>
        <n v="4.0999999999999996"/>
        <n v="20.100000000000001"/>
        <n v="18.8"/>
        <n v="18.600000000000001"/>
        <n v="5.6"/>
        <n v="4.2"/>
        <n v="6.9"/>
        <n v="15.7"/>
        <n v="12.94"/>
        <n v="21.5"/>
        <n v="5.7"/>
        <n v="16.100000000000001"/>
        <n v="2.2999999999999998"/>
        <n v="12.92"/>
        <n v="14"/>
        <n v="16"/>
        <n v="22.7"/>
        <n v="5"/>
        <n v="16.38"/>
        <n v="0.4"/>
        <n v="43"/>
        <n v="14.5"/>
        <n v="7.1"/>
        <n v="20"/>
        <n v="23.82"/>
        <n v="21.3"/>
        <n v="8.3000000000000007"/>
        <n v="14.2"/>
        <n v="16.899999999999999"/>
        <n v="3.1"/>
        <n v="17.88"/>
        <n v="17.399999999999999"/>
        <n v="14.4"/>
        <n v="17.7"/>
        <n v="13.3"/>
        <n v="1.1000000000000001"/>
        <n v="12"/>
        <n v="13.44"/>
        <n v="21.2"/>
        <n v="17.100000000000001"/>
        <n v="28"/>
        <n v="14.1"/>
        <n v="5.3"/>
        <n v="-3"/>
        <n v="14.3"/>
        <n v="27"/>
        <n v="3.9"/>
        <n v="7.9"/>
        <n v="14.9"/>
        <n v="9.86"/>
        <n v="8.1999999999999993"/>
        <n v="20.9"/>
        <n v="11"/>
        <n v="2"/>
        <n v="9.76"/>
        <n v="23.9"/>
        <n v="23.7"/>
        <n v="3.2"/>
        <n v="15.6"/>
        <n v="13.2"/>
        <n v="0"/>
        <n v="28.54"/>
        <n v="23.5"/>
        <n v="6.3"/>
        <n v="19.600000000000001"/>
        <n v="13.96"/>
        <n v="13.1"/>
        <n v="7.98"/>
        <n v="3.8"/>
        <n v="8.9"/>
        <n v="9.4"/>
        <n v="8.5"/>
        <n v="9.8000000000000007"/>
        <n v="17.600000000000001"/>
        <n v="1.9"/>
        <n v="8.6999999999999993"/>
        <n v="29.9"/>
        <n v="4.5999999999999996"/>
        <n v="25.98"/>
        <n v="24.1"/>
        <n v="14.92"/>
        <n v="5.4"/>
        <n v="29.86"/>
        <n v="23.1"/>
        <n v="7.3"/>
        <n v="1.4"/>
        <n v="-6"/>
        <n v="10.94"/>
        <n v="11.2"/>
        <n v="12.2"/>
        <n v="19"/>
        <n v="11.36"/>
        <n v="5.9"/>
        <n v="24.2"/>
        <n v="25.36"/>
        <n v="26.8"/>
        <n v="23.3"/>
        <n v="28.06"/>
        <n v="6.7"/>
        <n v="18.2"/>
        <n v="16.7"/>
        <n v="11.6"/>
        <n v="-5"/>
        <n v="5.08"/>
        <n v="16.3"/>
        <n v="9.9"/>
        <n v="22"/>
        <n v="30.92"/>
        <n v="18.399999999999999"/>
        <n v="31.6"/>
        <n v="30.6"/>
        <n v="25.78"/>
        <n v="19.7"/>
        <n v="28.88"/>
        <n v="23.6"/>
        <n v="13.5"/>
        <n v="1.5"/>
        <n v="23.64"/>
        <n v="10.3"/>
        <n v="21.4"/>
        <n v="3.7"/>
        <n v="24.02"/>
        <n v="10.199999999999999"/>
        <n v="19.8"/>
        <n v="7.2"/>
        <n v="14.62"/>
        <n v="19.399999999999999"/>
        <n v="1.8"/>
        <n v="34.4"/>
        <n v="-0.9"/>
        <n v="16.32"/>
        <n v="17.5"/>
        <n v="9.6999999999999993"/>
        <n v="4.9000000000000004"/>
        <n v="16.739999999999998"/>
        <n v="9.98"/>
        <n v="27.1"/>
        <n v="7.4"/>
        <n v="12.5"/>
        <n v="5.8"/>
        <n v="21.6"/>
        <n v="17.78"/>
        <n v="15.2"/>
        <n v="12.6"/>
        <n v="-0.4"/>
        <n v="5.24"/>
        <n v="3.4"/>
        <n v="12.8"/>
        <n v="12.7"/>
        <n v="23.4"/>
        <n v="1.3"/>
        <n v="15.94"/>
        <n v="20.7"/>
        <n v="9.5"/>
        <n v="33.78"/>
        <n v="36.299999999999997"/>
        <n v="18.7"/>
        <n v="26.56"/>
        <n v="22.6"/>
        <n v="4.8"/>
        <n v="-4"/>
        <n v="13.06"/>
        <n v="16.600000000000001"/>
        <n v="6.6"/>
        <n v="22.56"/>
        <n v="27.4"/>
        <n v="10.7"/>
        <n v="11.5"/>
        <n v="4.5"/>
        <n v="19.72"/>
        <n v="4.26"/>
        <n v="22.8"/>
        <n v="33.42"/>
        <n v="15.3"/>
        <n v="9.6"/>
        <n v="15.5"/>
      </sharedItems>
    </cacheField>
    <cacheField name="Year 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46.956016203701" createdVersion="4" refreshedVersion="4" minRefreshableVersion="3" recordCount="685" xr:uid="{00000000-000A-0000-FFFF-FFFF04000000}">
  <cacheSource type="worksheet">
    <worksheetSource ref="A1:G1048576" sheet="positional_raw"/>
  </cacheSource>
  <cacheFields count="7">
    <cacheField name="Team" numFmtId="0">
      <sharedItems containsBlank="1" count="13">
        <s v="Gee Whiz Darnell"/>
        <s v="8Chane"/>
        <s v="Pierogi Night"/>
        <s v="Grip Hamilton Memorial 5k"/>
        <s v="Bijan the second date"/>
        <s v="Schmaap"/>
        <s v="Brady come back u can blame it"/>
        <s v="Mr. Fans Noodle Haus"/>
        <s v="GOBias Industries"/>
        <s v="Sackwash Lyfe"/>
        <s v="Herbin Legends"/>
        <s v="Pay Dirt &amp; Pylons IV"/>
        <m/>
      </sharedItems>
    </cacheField>
    <cacheField name="Owner" numFmtId="0">
      <sharedItems containsBlank="1"/>
    </cacheField>
    <cacheField name="Week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Group" numFmtId="0">
      <sharedItems containsBlank="1" count="10">
        <s v="QB"/>
        <s v="WR"/>
        <s v="RB"/>
        <s v="TE"/>
        <s v="DEF"/>
        <s v="K"/>
        <s v="WR-Flex"/>
        <s v="RB-Flex"/>
        <s v="TE-Flex"/>
        <m/>
      </sharedItems>
    </cacheField>
    <cacheField name="Player" numFmtId="0">
      <sharedItems containsBlank="1"/>
    </cacheField>
    <cacheField name="Points" numFmtId="0">
      <sharedItems containsString="0" containsBlank="1" containsNumber="1" minValue="-6" maxValue="43" count="287">
        <n v="11.28"/>
        <n v="31.1"/>
        <n v="22.5"/>
        <n v="8.1"/>
        <n v="15.9"/>
        <n v="2.8"/>
        <n v="5.5"/>
        <n v="3"/>
        <n v="10"/>
        <n v="11.46"/>
        <n v="20.399999999999999"/>
        <n v="16.2"/>
        <n v="13.8"/>
        <n v="19.5"/>
        <n v="17.8"/>
        <n v="4.7"/>
        <n v="4"/>
        <n v="14.64"/>
        <n v="8.4"/>
        <n v="20.6"/>
        <n v="11.7"/>
        <n v="10.6"/>
        <n v="5.2"/>
        <n v="6.5"/>
        <n v="9"/>
        <n v="6"/>
        <n v="18.66"/>
        <n v="10.5"/>
        <n v="2.1"/>
        <n v="0.9"/>
        <n v="25.3"/>
        <n v="14.8"/>
        <n v="8"/>
        <n v="23"/>
        <n v="16.420000000000002"/>
        <n v="13.9"/>
        <n v="7.5"/>
        <n v="2.2000000000000002"/>
        <n v="13.6"/>
        <n v="6.4"/>
        <n v="26"/>
        <n v="-2"/>
        <n v="10.34"/>
        <n v="11.1"/>
        <n v="13.7"/>
        <n v="6.2"/>
        <n v="11.4"/>
        <n v="15.8"/>
        <n v="8.8000000000000007"/>
        <n v="13"/>
        <n v="7.22"/>
        <n v="12.4"/>
        <n v="2.5"/>
        <n v="10.9"/>
        <n v="3.6"/>
        <n v="10.1"/>
        <n v="25.12"/>
        <n v="18.899999999999999"/>
        <n v="3.5"/>
        <n v="2.6"/>
        <n v="10.8"/>
        <n v="2.4"/>
        <n v="17"/>
        <n v="15"/>
        <n v="16.399999999999999"/>
        <n v="25"/>
        <n v="11.9"/>
        <n v="18.3"/>
        <n v="15.4"/>
        <n v="11.8"/>
        <n v="1.6"/>
        <n v="21"/>
        <n v="18"/>
        <n v="31.18"/>
        <n v="9.1"/>
        <n v="4.4000000000000004"/>
        <n v="7"/>
        <n v="32.200000000000003"/>
        <n v="1"/>
        <n v="26.08"/>
        <n v="21.9"/>
        <n v="17.899999999999999"/>
        <n v="5.0999999999999996"/>
        <n v="8.06"/>
        <n v="9.1999999999999993"/>
        <n v="14.7"/>
        <n v="4.0999999999999996"/>
        <n v="20.100000000000001"/>
        <n v="18.8"/>
        <n v="18.600000000000001"/>
        <n v="5.6"/>
        <n v="4.2"/>
        <n v="6.9"/>
        <n v="15.7"/>
        <n v="12.94"/>
        <n v="21.5"/>
        <n v="5.7"/>
        <n v="16.100000000000001"/>
        <n v="2.2999999999999998"/>
        <n v="12.92"/>
        <n v="14"/>
        <n v="16"/>
        <n v="22.7"/>
        <n v="5"/>
        <n v="16.38"/>
        <n v="0.4"/>
        <n v="43"/>
        <n v="14.5"/>
        <n v="7.1"/>
        <n v="20"/>
        <n v="23.82"/>
        <n v="21.3"/>
        <n v="8.3000000000000007"/>
        <n v="14.2"/>
        <n v="16.899999999999999"/>
        <n v="3.1"/>
        <n v="17.88"/>
        <n v="17.399999999999999"/>
        <n v="14.4"/>
        <n v="17.7"/>
        <n v="13.3"/>
        <n v="1.1000000000000001"/>
        <n v="12"/>
        <n v="13.44"/>
        <n v="21.2"/>
        <n v="17.100000000000001"/>
        <n v="28"/>
        <n v="14.1"/>
        <n v="5.3"/>
        <n v="-3"/>
        <n v="14.3"/>
        <n v="27"/>
        <n v="3.9"/>
        <n v="7.9"/>
        <n v="14.9"/>
        <n v="9.86"/>
        <n v="8.1999999999999993"/>
        <n v="20.9"/>
        <n v="11"/>
        <n v="2"/>
        <n v="9.76"/>
        <n v="23.9"/>
        <n v="23.7"/>
        <n v="3.2"/>
        <n v="15.6"/>
        <n v="13.2"/>
        <n v="0"/>
        <n v="28.54"/>
        <n v="23.5"/>
        <n v="6.3"/>
        <n v="19.600000000000001"/>
        <n v="13.96"/>
        <n v="13.1"/>
        <n v="7.98"/>
        <n v="3.8"/>
        <n v="8.9"/>
        <n v="9.4"/>
        <n v="8.5"/>
        <n v="9.8000000000000007"/>
        <n v="17.600000000000001"/>
        <n v="1.9"/>
        <n v="8.6999999999999993"/>
        <n v="29.9"/>
        <n v="4.5999999999999996"/>
        <n v="25.98"/>
        <n v="24.1"/>
        <n v="14.92"/>
        <n v="5.4"/>
        <n v="29.86"/>
        <n v="23.1"/>
        <n v="7.3"/>
        <n v="1.4"/>
        <n v="-6"/>
        <n v="10.94"/>
        <n v="11.2"/>
        <n v="12.2"/>
        <n v="19"/>
        <n v="11.36"/>
        <n v="5.9"/>
        <n v="24.2"/>
        <n v="25.36"/>
        <n v="26.8"/>
        <n v="23.3"/>
        <n v="28.06"/>
        <n v="6.7"/>
        <n v="18.2"/>
        <n v="16.7"/>
        <n v="11.6"/>
        <n v="-5"/>
        <n v="5.08"/>
        <n v="16.3"/>
        <n v="9.9"/>
        <n v="22"/>
        <n v="30.92"/>
        <n v="18.399999999999999"/>
        <n v="31.6"/>
        <n v="30.6"/>
        <n v="25.78"/>
        <n v="19.7"/>
        <n v="28.88"/>
        <n v="23.6"/>
        <n v="13.5"/>
        <n v="1.5"/>
        <n v="23.64"/>
        <n v="10.3"/>
        <n v="21.4"/>
        <n v="3.7"/>
        <n v="24.02"/>
        <n v="10.199999999999999"/>
        <n v="19.8"/>
        <n v="7.2"/>
        <n v="14.62"/>
        <n v="19.399999999999999"/>
        <n v="1.8"/>
        <n v="34.4"/>
        <n v="-0.9"/>
        <n v="16.32"/>
        <n v="17.5"/>
        <n v="9.6999999999999993"/>
        <n v="4.9000000000000004"/>
        <n v="16.739999999999998"/>
        <n v="9.98"/>
        <n v="27.1"/>
        <n v="7.4"/>
        <n v="12.5"/>
        <n v="5.8"/>
        <n v="21.6"/>
        <n v="17.78"/>
        <n v="15.2"/>
        <n v="12.6"/>
        <n v="-0.4"/>
        <n v="5.24"/>
        <n v="3.4"/>
        <n v="12.8"/>
        <n v="12.7"/>
        <n v="23.4"/>
        <n v="1.3"/>
        <n v="15.94"/>
        <n v="20.7"/>
        <n v="9.5"/>
        <n v="33.78"/>
        <n v="36.299999999999997"/>
        <n v="18.7"/>
        <n v="26.56"/>
        <n v="22.6"/>
        <n v="4.8"/>
        <n v="-4"/>
        <n v="13.06"/>
        <n v="16.600000000000001"/>
        <n v="6.6"/>
        <n v="22.56"/>
        <n v="27.4"/>
        <n v="10.7"/>
        <n v="11.5"/>
        <n v="4.5"/>
        <n v="19.72"/>
        <n v="4.26"/>
        <n v="22.8"/>
        <n v="33.42"/>
        <n v="15.3"/>
        <n v="9.6"/>
        <n v="15.5"/>
        <n v="19.82"/>
        <n v="19.899999999999999"/>
        <n v="17.2"/>
        <n v="20.3"/>
        <n v="25.2"/>
        <n v="13.4"/>
        <n v="24.4"/>
        <n v="3.22"/>
        <n v="19.2"/>
        <n v="0.8"/>
        <n v="20.96"/>
        <n v="30"/>
        <n v="21.86"/>
        <n v="24"/>
        <n v="2.7"/>
        <n v="18.920000000000002"/>
        <n v="2.9"/>
        <n v="12.48"/>
        <n v="7.8"/>
        <n v="-0.1"/>
        <n v="18.38"/>
        <n v="6.8"/>
        <n v="-1"/>
        <n v="20.5"/>
        <m/>
      </sharedItems>
    </cacheField>
    <cacheField name="Year " numFmtId="0">
      <sharedItems containsString="0" containsBlank="1" containsNumber="1" containsInteger="1" minValue="2024" maxValue="2024" count="2"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48.509121296294" createdVersion="4" refreshedVersion="4" minRefreshableVersion="3" recordCount="804" xr:uid="{00000000-000A-0000-FFFF-FFFF05000000}">
  <cacheSource type="worksheet">
    <worksheetSource ref="A1:G841" sheet="positional_raw"/>
  </cacheSource>
  <cacheFields count="7">
    <cacheField name="Team" numFmtId="0">
      <sharedItems count="12">
        <s v="Gee Whiz Darnell"/>
        <s v="8Chane"/>
        <s v="Pierogi Night"/>
        <s v="Grip Hamilton Memorial 5k"/>
        <s v="Bijan the second date"/>
        <s v="Schmaap"/>
        <s v="Brady come back u can blame it"/>
        <s v="Mr. Fans Noodle Haus"/>
        <s v="GOBias Industries"/>
        <s v="Sackwash Lyfe"/>
        <s v="Herbin Legends"/>
        <s v="Pay Dirt &amp; Pylons IV"/>
      </sharedItems>
    </cacheField>
    <cacheField name="Owner" numFmtId="0">
      <sharedItems/>
    </cacheField>
    <cacheField name="Week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Group" numFmtId="0">
      <sharedItems count="9">
        <s v="QB"/>
        <s v="WR"/>
        <s v="RB"/>
        <s v="TE"/>
        <s v="DEF"/>
        <s v="K"/>
        <s v="WR-Flex"/>
        <s v="RB-Flex"/>
        <s v="TE-Flex"/>
      </sharedItems>
    </cacheField>
    <cacheField name="Player" numFmtId="0">
      <sharedItems/>
    </cacheField>
    <cacheField name="Points" numFmtId="0">
      <sharedItems containsSemiMixedTypes="0" containsString="0" containsNumber="1" minValue="-7" maxValue="43"/>
    </cacheField>
    <cacheField name="Year 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48.651072800923" createdVersion="4" refreshedVersion="4" minRefreshableVersion="3" recordCount="924" xr:uid="{00000000-000A-0000-FFFF-FFFF06000000}">
  <cacheSource type="worksheet">
    <worksheetSource ref="A1:G961" sheet="positional_raw"/>
  </cacheSource>
  <cacheFields count="7">
    <cacheField name="Team" numFmtId="0">
      <sharedItems count="12">
        <s v="Gee Whiz Darnell"/>
        <s v="8Chane"/>
        <s v="Pierogi Night"/>
        <s v="Grip Hamilton Memorial 5k"/>
        <s v="Bijan the second date"/>
        <s v="Schmaap"/>
        <s v="Brady come back u can blame it"/>
        <s v="Mr. Fans Noodle Haus"/>
        <s v="GOBias Industries"/>
        <s v="Sackwash Lyfe"/>
        <s v="Herbin Legends"/>
        <s v="Pay Dirt &amp; Pylons IV"/>
      </sharedItems>
    </cacheField>
    <cacheField name="Owner" numFmtId="0">
      <sharedItems/>
    </cacheField>
    <cacheField name="Week" numFmtId="0">
      <sharedItems containsSemiMixedTypes="0" containsString="0" containsNumber="1" containsInteger="1" minValue="1" maxValue="8"/>
    </cacheField>
    <cacheField name="Group" numFmtId="0">
      <sharedItems count="9">
        <s v="QB"/>
        <s v="WR"/>
        <s v="RB"/>
        <s v="TE"/>
        <s v="DEF"/>
        <s v="K"/>
        <s v="WR-Flex"/>
        <s v="RB-Flex"/>
        <s v="TE-Flex"/>
      </sharedItems>
    </cacheField>
    <cacheField name="Player" numFmtId="0">
      <sharedItems/>
    </cacheField>
    <cacheField name="Points" numFmtId="0">
      <sharedItems containsSemiMixedTypes="0" containsString="0" containsNumber="1" minValue="-7" maxValue="43"/>
    </cacheField>
    <cacheField name="Year 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48.684993171293" createdVersion="4" refreshedVersion="4" minRefreshableVersion="3" recordCount="1044" xr:uid="{00000000-000A-0000-FFFF-FFFF07000000}">
  <cacheSource type="worksheet">
    <worksheetSource ref="A1:G1081" sheet="positional_raw"/>
  </cacheSource>
  <cacheFields count="7">
    <cacheField name="Team" numFmtId="0">
      <sharedItems count="12">
        <s v="Gee Whiz Darnell"/>
        <s v="8Chane"/>
        <s v="Pierogi Night"/>
        <s v="Grip Hamilton Memorial 5k"/>
        <s v="Bijan the second date"/>
        <s v="Schmaap"/>
        <s v="Brady come back u can blame it"/>
        <s v="Mr. Fans Noodle Haus"/>
        <s v="GOBias Industries"/>
        <s v="Sackwash Lyfe"/>
        <s v="Herbin Legends"/>
        <s v="Pay Dirt &amp; Pylons IV"/>
      </sharedItems>
    </cacheField>
    <cacheField name="Owner" numFmtId="0">
      <sharedItems/>
    </cacheField>
    <cacheField name="Week" numFmtId="0">
      <sharedItems containsSemiMixedTypes="0" containsString="0" containsNumber="1" containsInteger="1" minValue="1" maxValue="9"/>
    </cacheField>
    <cacheField name="Group" numFmtId="0">
      <sharedItems count="9">
        <s v="QB"/>
        <s v="WR"/>
        <s v="RB"/>
        <s v="TE"/>
        <s v="DEF"/>
        <s v="K"/>
        <s v="WR-Flex"/>
        <s v="RB-Flex"/>
        <s v="TE-Flex"/>
      </sharedItems>
    </cacheField>
    <cacheField name="Player" numFmtId="0">
      <sharedItems/>
    </cacheField>
    <cacheField name="Points" numFmtId="0">
      <sharedItems containsSemiMixedTypes="0" containsString="0" containsNumber="1" minValue="-7" maxValue="43"/>
    </cacheField>
    <cacheField name="Year 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48.775512384258" createdVersion="4" refreshedVersion="4" minRefreshableVersion="3" recordCount="1164" xr:uid="{00000000-000A-0000-FFFF-FFFF08000000}">
  <cacheSource type="worksheet">
    <worksheetSource ref="A1:G1201" sheet="positional_raw"/>
  </cacheSource>
  <cacheFields count="7">
    <cacheField name="Team" numFmtId="0">
      <sharedItems count="12">
        <s v="Gee Whiz Darnell"/>
        <s v="8Chane"/>
        <s v="Pierogi Night"/>
        <s v="Grip Hamilton Memorial 5k"/>
        <s v="Bijan the second date"/>
        <s v="Schmaap"/>
        <s v="Brady come back u can blame it"/>
        <s v="Mr. Fans Noodle Haus"/>
        <s v="GOBias Industries"/>
        <s v="Sackwash Lyfe"/>
        <s v="Herbin Legends"/>
        <s v="Pay Dirt &amp; Pylons IV"/>
      </sharedItems>
    </cacheField>
    <cacheField name="Owner" numFmtId="0">
      <sharedItems/>
    </cacheField>
    <cacheField name="Week" numFmtId="0">
      <sharedItems containsSemiMixedTypes="0" containsString="0" containsNumber="1" containsInteger="1" minValue="1" maxValue="10"/>
    </cacheField>
    <cacheField name="Group" numFmtId="0">
      <sharedItems count="9">
        <s v="QB"/>
        <s v="WR"/>
        <s v="RB"/>
        <s v="TE"/>
        <s v="DEF"/>
        <s v="K"/>
        <s v="WR-Flex"/>
        <s v="RB-Flex"/>
        <s v="TE-Flex"/>
      </sharedItems>
    </cacheField>
    <cacheField name="Player" numFmtId="0">
      <sharedItems/>
    </cacheField>
    <cacheField name="Points" numFmtId="0">
      <sharedItems containsSemiMixedTypes="0" containsString="0" containsNumber="1" minValue="-7" maxValue="49.9" count="358">
        <n v="11.28"/>
        <n v="31.1"/>
        <n v="22.5"/>
        <n v="8.1"/>
        <n v="15.9"/>
        <n v="2.8"/>
        <n v="5.5"/>
        <n v="3"/>
        <n v="10"/>
        <n v="11.46"/>
        <n v="20.399999999999999"/>
        <n v="16.2"/>
        <n v="13.8"/>
        <n v="19.5"/>
        <n v="17.8"/>
        <n v="4.7"/>
        <n v="4"/>
        <n v="14.64"/>
        <n v="8.4"/>
        <n v="20.6"/>
        <n v="11.7"/>
        <n v="10.6"/>
        <n v="5.2"/>
        <n v="6.5"/>
        <n v="9"/>
        <n v="6"/>
        <n v="18.66"/>
        <n v="10.5"/>
        <n v="2.1"/>
        <n v="0.9"/>
        <n v="25.3"/>
        <n v="14.8"/>
        <n v="8"/>
        <n v="23"/>
        <n v="16.420000000000002"/>
        <n v="13.9"/>
        <n v="7.5"/>
        <n v="2.2000000000000002"/>
        <n v="13.6"/>
        <n v="6.4"/>
        <n v="26"/>
        <n v="-2"/>
        <n v="10.34"/>
        <n v="11.1"/>
        <n v="13.7"/>
        <n v="6.2"/>
        <n v="11.4"/>
        <n v="15.8"/>
        <n v="8.8000000000000007"/>
        <n v="13"/>
        <n v="7.22"/>
        <n v="12.4"/>
        <n v="2.5"/>
        <n v="10.9"/>
        <n v="3.6"/>
        <n v="10.1"/>
        <n v="25.12"/>
        <n v="18.899999999999999"/>
        <n v="3.5"/>
        <n v="2.6"/>
        <n v="10.8"/>
        <n v="2.4"/>
        <n v="17"/>
        <n v="15"/>
        <n v="16.399999999999999"/>
        <n v="25"/>
        <n v="11.9"/>
        <n v="18.3"/>
        <n v="15.4"/>
        <n v="11.8"/>
        <n v="1.6"/>
        <n v="21"/>
        <n v="18"/>
        <n v="31.18"/>
        <n v="9.1"/>
        <n v="4.4000000000000004"/>
        <n v="7"/>
        <n v="32.200000000000003"/>
        <n v="1"/>
        <n v="26.08"/>
        <n v="21.9"/>
        <n v="17.899999999999999"/>
        <n v="5.0999999999999996"/>
        <n v="8.06"/>
        <n v="9.1999999999999993"/>
        <n v="14.7"/>
        <n v="4.0999999999999996"/>
        <n v="20.100000000000001"/>
        <n v="18.8"/>
        <n v="18.600000000000001"/>
        <n v="5.6"/>
        <n v="4.2"/>
        <n v="6.9"/>
        <n v="15.7"/>
        <n v="12.94"/>
        <n v="21.5"/>
        <n v="5.7"/>
        <n v="16.100000000000001"/>
        <n v="2.2999999999999998"/>
        <n v="12.92"/>
        <n v="14"/>
        <n v="16"/>
        <n v="22.7"/>
        <n v="5"/>
        <n v="16.38"/>
        <n v="0.4"/>
        <n v="43"/>
        <n v="14.5"/>
        <n v="7.1"/>
        <n v="20"/>
        <n v="23.82"/>
        <n v="21.3"/>
        <n v="8.3000000000000007"/>
        <n v="14.2"/>
        <n v="16.899999999999999"/>
        <n v="3.1"/>
        <n v="17.88"/>
        <n v="17.399999999999999"/>
        <n v="14.4"/>
        <n v="17.7"/>
        <n v="13.3"/>
        <n v="1.1000000000000001"/>
        <n v="12"/>
        <n v="13.44"/>
        <n v="21.2"/>
        <n v="17.100000000000001"/>
        <n v="28"/>
        <n v="14.1"/>
        <n v="5.3"/>
        <n v="-3"/>
        <n v="14.3"/>
        <n v="27"/>
        <n v="3.9"/>
        <n v="7.9"/>
        <n v="14.9"/>
        <n v="9.86"/>
        <n v="8.1999999999999993"/>
        <n v="20.9"/>
        <n v="11"/>
        <n v="2"/>
        <n v="9.76"/>
        <n v="23.9"/>
        <n v="23.7"/>
        <n v="3.2"/>
        <n v="15.6"/>
        <n v="13.2"/>
        <n v="0"/>
        <n v="28.54"/>
        <n v="23.5"/>
        <n v="6.3"/>
        <n v="19.600000000000001"/>
        <n v="13.96"/>
        <n v="13.1"/>
        <n v="7.98"/>
        <n v="3.8"/>
        <n v="8.9"/>
        <n v="9.4"/>
        <n v="8.5"/>
        <n v="9.8000000000000007"/>
        <n v="17.600000000000001"/>
        <n v="1.9"/>
        <n v="8.6999999999999993"/>
        <n v="29.9"/>
        <n v="4.5999999999999996"/>
        <n v="25.98"/>
        <n v="24.1"/>
        <n v="14.92"/>
        <n v="5.4"/>
        <n v="29.86"/>
        <n v="23.1"/>
        <n v="7.3"/>
        <n v="1.4"/>
        <n v="-6"/>
        <n v="10.94"/>
        <n v="11.2"/>
        <n v="12.2"/>
        <n v="19"/>
        <n v="11.36"/>
        <n v="5.9"/>
        <n v="24.2"/>
        <n v="25.36"/>
        <n v="26.8"/>
        <n v="23.3"/>
        <n v="28.06"/>
        <n v="6.7"/>
        <n v="18.2"/>
        <n v="16.7"/>
        <n v="11.6"/>
        <n v="-5"/>
        <n v="5.08"/>
        <n v="16.3"/>
        <n v="9.9"/>
        <n v="22"/>
        <n v="30.92"/>
        <n v="18.399999999999999"/>
        <n v="31.6"/>
        <n v="30.6"/>
        <n v="25.78"/>
        <n v="19.7"/>
        <n v="28.88"/>
        <n v="23.6"/>
        <n v="13.5"/>
        <n v="1.5"/>
        <n v="23.64"/>
        <n v="10.3"/>
        <n v="21.4"/>
        <n v="3.7"/>
        <n v="24.02"/>
        <n v="10.199999999999999"/>
        <n v="19.8"/>
        <n v="7.2"/>
        <n v="14.62"/>
        <n v="19.399999999999999"/>
        <n v="1.8"/>
        <n v="34.4"/>
        <n v="-0.9"/>
        <n v="16.32"/>
        <n v="17.5"/>
        <n v="9.6999999999999993"/>
        <n v="4.9000000000000004"/>
        <n v="16.739999999999998"/>
        <n v="9.98"/>
        <n v="27.1"/>
        <n v="7.4"/>
        <n v="12.5"/>
        <n v="5.8"/>
        <n v="21.6"/>
        <n v="17.78"/>
        <n v="15.2"/>
        <n v="12.6"/>
        <n v="-0.4"/>
        <n v="5.24"/>
        <n v="3.4"/>
        <n v="12.8"/>
        <n v="12.7"/>
        <n v="23.4"/>
        <n v="1.3"/>
        <n v="15.94"/>
        <n v="20.7"/>
        <n v="9.5"/>
        <n v="33.78"/>
        <n v="36.299999999999997"/>
        <n v="18.7"/>
        <n v="26.56"/>
        <n v="22.6"/>
        <n v="4.8"/>
        <n v="-4"/>
        <n v="13.06"/>
        <n v="16.600000000000001"/>
        <n v="6.6"/>
        <n v="22.56"/>
        <n v="27.4"/>
        <n v="10.7"/>
        <n v="11.5"/>
        <n v="4.5"/>
        <n v="19.72"/>
        <n v="4.26"/>
        <n v="22.8"/>
        <n v="33.42"/>
        <n v="15.3"/>
        <n v="9.6"/>
        <n v="15.5"/>
        <n v="19.82"/>
        <n v="19.899999999999999"/>
        <n v="17.2"/>
        <n v="20.3"/>
        <n v="25.2"/>
        <n v="13.4"/>
        <n v="24.4"/>
        <n v="3.22"/>
        <n v="19.2"/>
        <n v="0.8"/>
        <n v="20.96"/>
        <n v="30"/>
        <n v="21.86"/>
        <n v="24"/>
        <n v="2.7"/>
        <n v="18.920000000000002"/>
        <n v="2.9"/>
        <n v="12.48"/>
        <n v="7.8"/>
        <n v="-0.1"/>
        <n v="18.38"/>
        <n v="6.8"/>
        <n v="-1"/>
        <n v="20.5"/>
        <n v="23.8"/>
        <n v="7.6"/>
        <n v="21.02"/>
        <n v="6.1"/>
        <n v="25.7"/>
        <n v="18.100000000000001"/>
        <n v="12.06"/>
        <n v="24.7"/>
        <n v="0.3"/>
        <n v="16.260000000000002"/>
        <n v="8.76"/>
        <n v="0.1"/>
        <n v="22.3"/>
        <n v="22.76"/>
        <n v="21.8"/>
        <n v="-7"/>
        <n v="5.34"/>
        <n v="25.4"/>
        <n v="17.18"/>
        <n v="34.44"/>
        <n v="14.6"/>
        <n v="14.94"/>
        <n v="15.1"/>
        <n v="3.3"/>
        <n v="19.100000000000001"/>
        <n v="13.12"/>
        <n v="5.74"/>
        <n v="14.66"/>
        <n v="5.22"/>
        <n v="33.1"/>
        <n v="10.4"/>
        <n v="14.42"/>
        <n v="35.14"/>
        <n v="12.86"/>
        <n v="9.94"/>
        <n v="26.1"/>
        <n v="7.7"/>
        <n v="24.16"/>
        <n v="12.1"/>
        <n v="19.78"/>
        <n v="16.5"/>
        <n v="25.5"/>
        <n v="24.54"/>
        <n v="25.8"/>
        <n v="17.22"/>
        <n v="17.3"/>
        <n v="28.1"/>
        <n v="9.18"/>
        <n v="18.079999999999998"/>
        <n v="22.1"/>
        <n v="31.4"/>
        <n v="19.86"/>
        <n v="24.5"/>
        <n v="29.14"/>
        <n v="11.54"/>
        <n v="24.6"/>
        <n v="20.2"/>
        <n v="8.94"/>
        <n v="1.7"/>
        <n v="16.54"/>
        <n v="6.44"/>
        <n v="9.7799999999999994"/>
        <n v="22.9"/>
        <n v="11.3"/>
        <n v="29.68"/>
        <n v="27.9"/>
        <n v="8.58"/>
        <n v="0.6"/>
        <n v="10.24"/>
        <n v="32.9"/>
        <n v="33.72"/>
        <n v="49.9"/>
      </sharedItems>
    </cacheField>
    <cacheField name="Year 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48.865148611112" createdVersion="4" refreshedVersion="4" minRefreshableVersion="3" recordCount="1284" xr:uid="{00000000-000A-0000-FFFF-FFFF09000000}">
  <cacheSource type="worksheet">
    <worksheetSource ref="A1:G1321" sheet="positional_raw"/>
  </cacheSource>
  <cacheFields count="7">
    <cacheField name="Team" numFmtId="0">
      <sharedItems count="12">
        <s v="Gee Whiz Darnell"/>
        <s v="8Chane"/>
        <s v="Pierogi Night"/>
        <s v="Grip Hamilton Memorial 5k"/>
        <s v="Bijan the second date"/>
        <s v="Schmaap"/>
        <s v="Brady come back u can blame it"/>
        <s v="Mr. Fans Noodle Haus"/>
        <s v="GOBias Industries"/>
        <s v="Sackwash Lyfe"/>
        <s v="Herbin Legends"/>
        <s v="Pay Dirt &amp; Pylons IV"/>
      </sharedItems>
    </cacheField>
    <cacheField name="Owner" numFmtId="0">
      <sharedItems/>
    </cacheField>
    <cacheField name="Week" numFmtId="0">
      <sharedItems containsSemiMixedTypes="0" containsString="0" containsNumber="1" containsInteger="1" minValue="1" maxValue="11"/>
    </cacheField>
    <cacheField name="Group" numFmtId="0">
      <sharedItems count="9">
        <s v="QB"/>
        <s v="WR"/>
        <s v="RB"/>
        <s v="TE"/>
        <s v="DEF"/>
        <s v="K"/>
        <s v="WR-Flex"/>
        <s v="RB-Flex"/>
        <s v="TE-Flex"/>
      </sharedItems>
    </cacheField>
    <cacheField name="Player" numFmtId="0">
      <sharedItems/>
    </cacheField>
    <cacheField name="Points" numFmtId="0">
      <sharedItems containsSemiMixedTypes="0" containsString="0" containsNumber="1" minValue="-7" maxValue="49.9"/>
    </cacheField>
    <cacheField name="Year 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48.893870949076" createdVersion="4" refreshedVersion="4" minRefreshableVersion="3" recordCount="1404" xr:uid="{00000000-000A-0000-FFFF-FFFF0A000000}">
  <cacheSource type="worksheet">
    <worksheetSource ref="A1:G1441" sheet="positional_raw"/>
  </cacheSource>
  <cacheFields count="7">
    <cacheField name="Team" numFmtId="0">
      <sharedItems count="12">
        <s v="Gee Whiz Darnell"/>
        <s v="8Chane"/>
        <s v="Pierogi Night"/>
        <s v="Grip Hamilton Memorial 5k"/>
        <s v="Bijan the second date"/>
        <s v="Schmaap"/>
        <s v="Brady come back u can blame it"/>
        <s v="Mr. Fans Noodle Haus"/>
        <s v="GOBias Industries"/>
        <s v="Sackwash Lyfe"/>
        <s v="Herbin Legends"/>
        <s v="Pay Dirt &amp; Pylons IV"/>
      </sharedItems>
    </cacheField>
    <cacheField name="Owner" numFmtId="0">
      <sharedItems/>
    </cacheField>
    <cacheField name="Week" numFmtId="0">
      <sharedItems containsSemiMixedTypes="0" containsString="0" containsNumber="1" containsInteger="1" minValue="1" maxValue="12"/>
    </cacheField>
    <cacheField name="Group" numFmtId="0">
      <sharedItems count="9">
        <s v="QB"/>
        <s v="WR"/>
        <s v="RB"/>
        <s v="TE"/>
        <s v="DEF"/>
        <s v="K"/>
        <s v="WR-Flex"/>
        <s v="RB-Flex"/>
        <s v="TE-Flex"/>
      </sharedItems>
    </cacheField>
    <cacheField name="Player" numFmtId="0">
      <sharedItems/>
    </cacheField>
    <cacheField name="Points" numFmtId="0">
      <sharedItems containsSemiMixedTypes="0" containsString="0" containsNumber="1" minValue="-7" maxValue="49.9"/>
    </cacheField>
    <cacheField name="Year 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49.39673148148" createdVersion="4" refreshedVersion="4" minRefreshableVersion="3" recordCount="1524" xr:uid="{00000000-000A-0000-FFFF-FFFF0B000000}">
  <cacheSource type="worksheet">
    <worksheetSource ref="A1:G1561" sheet="positional_raw"/>
  </cacheSource>
  <cacheFields count="7">
    <cacheField name="Team" numFmtId="0">
      <sharedItems count="12">
        <s v="Gee Whiz Darnell"/>
        <s v="8Chane"/>
        <s v="Pierogi Night"/>
        <s v="Grip Hamilton Memorial 5k"/>
        <s v="Bijan the second date"/>
        <s v="Schmaap"/>
        <s v="Brady come back u can blame it"/>
        <s v="Mr. Fans Noodle Haus"/>
        <s v="GOBias Industries"/>
        <s v="Sackwash Lyfe"/>
        <s v="Herbin Legends"/>
        <s v="Pay Dirt &amp; Pylons IV"/>
      </sharedItems>
    </cacheField>
    <cacheField name="Owner" numFmtId="0">
      <sharedItems/>
    </cacheField>
    <cacheField name="Week" numFmtId="0">
      <sharedItems containsSemiMixedTypes="0" containsString="0" containsNumber="1" containsInteger="1" minValue="1" maxValue="13"/>
    </cacheField>
    <cacheField name="Group" numFmtId="0">
      <sharedItems count="9">
        <s v="QB"/>
        <s v="WR"/>
        <s v="RB"/>
        <s v="TE"/>
        <s v="DEF"/>
        <s v="K"/>
        <s v="WR-Flex"/>
        <s v="RB-Flex"/>
        <s v="TE-Flex"/>
      </sharedItems>
    </cacheField>
    <cacheField name="Player" numFmtId="0">
      <sharedItems/>
    </cacheField>
    <cacheField name="Points" numFmtId="0">
      <sharedItems containsSemiMixedTypes="0" containsString="0" containsNumber="1" minValue="-7" maxValue="49.9" count="401">
        <n v="11.28"/>
        <n v="31.1"/>
        <n v="22.5"/>
        <n v="8.1"/>
        <n v="15.9"/>
        <n v="2.8"/>
        <n v="5.5"/>
        <n v="3"/>
        <n v="10"/>
        <n v="11.46"/>
        <n v="20.399999999999999"/>
        <n v="16.2"/>
        <n v="13.8"/>
        <n v="19.5"/>
        <n v="17.8"/>
        <n v="4.7"/>
        <n v="4"/>
        <n v="14.64"/>
        <n v="8.4"/>
        <n v="20.6"/>
        <n v="11.7"/>
        <n v="10.6"/>
        <n v="5.2"/>
        <n v="6.5"/>
        <n v="9"/>
        <n v="6"/>
        <n v="18.66"/>
        <n v="10.5"/>
        <n v="2.1"/>
        <n v="0.9"/>
        <n v="25.3"/>
        <n v="14.8"/>
        <n v="8"/>
        <n v="23"/>
        <n v="16.420000000000002"/>
        <n v="13.9"/>
        <n v="7.5"/>
        <n v="2.2000000000000002"/>
        <n v="13.6"/>
        <n v="6.4"/>
        <n v="26"/>
        <n v="-2"/>
        <n v="10.34"/>
        <n v="11.1"/>
        <n v="13.7"/>
        <n v="6.2"/>
        <n v="11.4"/>
        <n v="15.8"/>
        <n v="8.8000000000000007"/>
        <n v="13"/>
        <n v="7.22"/>
        <n v="12.4"/>
        <n v="2.5"/>
        <n v="10.9"/>
        <n v="3.6"/>
        <n v="10.1"/>
        <n v="25.12"/>
        <n v="18.899999999999999"/>
        <n v="3.5"/>
        <n v="2.6"/>
        <n v="10.8"/>
        <n v="2.4"/>
        <n v="17"/>
        <n v="15"/>
        <n v="16.399999999999999"/>
        <n v="25"/>
        <n v="11.9"/>
        <n v="18.3"/>
        <n v="15.4"/>
        <n v="11.8"/>
        <n v="1.6"/>
        <n v="21"/>
        <n v="18"/>
        <n v="31.18"/>
        <n v="9.1"/>
        <n v="4.4000000000000004"/>
        <n v="7"/>
        <n v="32.200000000000003"/>
        <n v="1"/>
        <n v="26.08"/>
        <n v="21.9"/>
        <n v="17.899999999999999"/>
        <n v="5.0999999999999996"/>
        <n v="8.06"/>
        <n v="9.1999999999999993"/>
        <n v="14.7"/>
        <n v="4.0999999999999996"/>
        <n v="20.100000000000001"/>
        <n v="18.8"/>
        <n v="18.600000000000001"/>
        <n v="5.6"/>
        <n v="4.2"/>
        <n v="6.9"/>
        <n v="15.7"/>
        <n v="12.94"/>
        <n v="21.5"/>
        <n v="5.7"/>
        <n v="16.100000000000001"/>
        <n v="2.2999999999999998"/>
        <n v="12.92"/>
        <n v="14"/>
        <n v="16"/>
        <n v="22.7"/>
        <n v="5"/>
        <n v="16.38"/>
        <n v="0.4"/>
        <n v="43"/>
        <n v="14.5"/>
        <n v="7.1"/>
        <n v="20"/>
        <n v="23.82"/>
        <n v="21.3"/>
        <n v="8.3000000000000007"/>
        <n v="14.2"/>
        <n v="16.899999999999999"/>
        <n v="3.1"/>
        <n v="17.88"/>
        <n v="17.399999999999999"/>
        <n v="14.4"/>
        <n v="17.7"/>
        <n v="13.3"/>
        <n v="1.1000000000000001"/>
        <n v="12"/>
        <n v="13.44"/>
        <n v="21.2"/>
        <n v="17.100000000000001"/>
        <n v="28"/>
        <n v="14.1"/>
        <n v="5.3"/>
        <n v="-3"/>
        <n v="14.3"/>
        <n v="27"/>
        <n v="3.9"/>
        <n v="7.9"/>
        <n v="14.9"/>
        <n v="9.86"/>
        <n v="8.1999999999999993"/>
        <n v="20.9"/>
        <n v="11"/>
        <n v="2"/>
        <n v="9.76"/>
        <n v="23.9"/>
        <n v="23.7"/>
        <n v="3.2"/>
        <n v="15.6"/>
        <n v="13.2"/>
        <n v="0"/>
        <n v="28.54"/>
        <n v="23.5"/>
        <n v="6.3"/>
        <n v="19.600000000000001"/>
        <n v="13.96"/>
        <n v="13.1"/>
        <n v="7.98"/>
        <n v="3.8"/>
        <n v="8.9"/>
        <n v="9.4"/>
        <n v="8.5"/>
        <n v="9.8000000000000007"/>
        <n v="17.600000000000001"/>
        <n v="1.9"/>
        <n v="8.6999999999999993"/>
        <n v="29.9"/>
        <n v="4.5999999999999996"/>
        <n v="25.98"/>
        <n v="24.1"/>
        <n v="14.92"/>
        <n v="5.4"/>
        <n v="29.86"/>
        <n v="23.1"/>
        <n v="7.3"/>
        <n v="1.4"/>
        <n v="-6"/>
        <n v="10.94"/>
        <n v="11.2"/>
        <n v="12.2"/>
        <n v="19"/>
        <n v="11.36"/>
        <n v="5.9"/>
        <n v="24.2"/>
        <n v="25.36"/>
        <n v="26.8"/>
        <n v="23.3"/>
        <n v="28.06"/>
        <n v="6.7"/>
        <n v="18.2"/>
        <n v="16.7"/>
        <n v="11.6"/>
        <n v="-5"/>
        <n v="5.08"/>
        <n v="16.3"/>
        <n v="9.9"/>
        <n v="22"/>
        <n v="30.92"/>
        <n v="18.399999999999999"/>
        <n v="31.6"/>
        <n v="30.6"/>
        <n v="25.78"/>
        <n v="19.7"/>
        <n v="28.88"/>
        <n v="23.6"/>
        <n v="13.5"/>
        <n v="1.5"/>
        <n v="23.64"/>
        <n v="10.3"/>
        <n v="21.4"/>
        <n v="3.7"/>
        <n v="24.02"/>
        <n v="10.199999999999999"/>
        <n v="19.8"/>
        <n v="7.2"/>
        <n v="14.62"/>
        <n v="19.399999999999999"/>
        <n v="1.8"/>
        <n v="34.4"/>
        <n v="-0.9"/>
        <n v="16.32"/>
        <n v="17.5"/>
        <n v="9.6999999999999993"/>
        <n v="4.9000000000000004"/>
        <n v="16.739999999999998"/>
        <n v="9.98"/>
        <n v="27.1"/>
        <n v="7.4"/>
        <n v="12.5"/>
        <n v="5.8"/>
        <n v="21.6"/>
        <n v="17.78"/>
        <n v="15.2"/>
        <n v="12.6"/>
        <n v="-0.4"/>
        <n v="5.24"/>
        <n v="3.4"/>
        <n v="12.8"/>
        <n v="12.7"/>
        <n v="23.4"/>
        <n v="1.3"/>
        <n v="15.94"/>
        <n v="20.7"/>
        <n v="9.5"/>
        <n v="33.78"/>
        <n v="36.299999999999997"/>
        <n v="18.7"/>
        <n v="26.56"/>
        <n v="22.6"/>
        <n v="4.8"/>
        <n v="-4"/>
        <n v="13.06"/>
        <n v="16.600000000000001"/>
        <n v="6.6"/>
        <n v="22.56"/>
        <n v="27.4"/>
        <n v="10.7"/>
        <n v="11.5"/>
        <n v="4.5"/>
        <n v="19.72"/>
        <n v="4.26"/>
        <n v="22.8"/>
        <n v="33.42"/>
        <n v="15.3"/>
        <n v="9.6"/>
        <n v="15.5"/>
        <n v="19.82"/>
        <n v="19.899999999999999"/>
        <n v="17.2"/>
        <n v="20.3"/>
        <n v="25.2"/>
        <n v="13.4"/>
        <n v="24.4"/>
        <n v="3.22"/>
        <n v="19.2"/>
        <n v="0.8"/>
        <n v="20.96"/>
        <n v="30"/>
        <n v="21.86"/>
        <n v="24"/>
        <n v="2.7"/>
        <n v="18.920000000000002"/>
        <n v="2.9"/>
        <n v="12.48"/>
        <n v="7.8"/>
        <n v="-0.1"/>
        <n v="18.38"/>
        <n v="6.8"/>
        <n v="-1"/>
        <n v="20.5"/>
        <n v="23.8"/>
        <n v="7.6"/>
        <n v="21.02"/>
        <n v="6.1"/>
        <n v="25.7"/>
        <n v="18.100000000000001"/>
        <n v="12.06"/>
        <n v="24.7"/>
        <n v="0.3"/>
        <n v="16.260000000000002"/>
        <n v="8.76"/>
        <n v="0.1"/>
        <n v="22.3"/>
        <n v="22.76"/>
        <n v="21.8"/>
        <n v="-7"/>
        <n v="5.34"/>
        <n v="25.4"/>
        <n v="17.18"/>
        <n v="34.44"/>
        <n v="14.6"/>
        <n v="14.94"/>
        <n v="15.1"/>
        <n v="3.3"/>
        <n v="19.100000000000001"/>
        <n v="13.12"/>
        <n v="5.74"/>
        <n v="14.66"/>
        <n v="5.22"/>
        <n v="33.1"/>
        <n v="10.4"/>
        <n v="14.42"/>
        <n v="35.14"/>
        <n v="12.86"/>
        <n v="9.94"/>
        <n v="26.1"/>
        <n v="7.7"/>
        <n v="24.16"/>
        <n v="12.1"/>
        <n v="19.78"/>
        <n v="16.5"/>
        <n v="25.5"/>
        <n v="24.54"/>
        <n v="25.8"/>
        <n v="17.22"/>
        <n v="17.3"/>
        <n v="28.1"/>
        <n v="9.18"/>
        <n v="18.079999999999998"/>
        <n v="22.1"/>
        <n v="31.4"/>
        <n v="19.86"/>
        <n v="24.5"/>
        <n v="29.14"/>
        <n v="11.54"/>
        <n v="24.6"/>
        <n v="20.2"/>
        <n v="8.94"/>
        <n v="1.7"/>
        <n v="16.54"/>
        <n v="6.44"/>
        <n v="9.7799999999999994"/>
        <n v="22.9"/>
        <n v="11.3"/>
        <n v="29.68"/>
        <n v="27.9"/>
        <n v="8.58"/>
        <n v="0.6"/>
        <n v="10.24"/>
        <n v="32.9"/>
        <n v="33.72"/>
        <n v="49.9"/>
        <n v="23.52"/>
        <n v="25.1"/>
        <n v="33.200000000000003"/>
        <n v="16.8"/>
        <n v="15.84"/>
        <n v="18.5"/>
        <n v="-0.2"/>
        <n v="18.739999999999998"/>
        <n v="4.92"/>
        <n v="27.6"/>
        <n v="12.9"/>
        <n v="25.6"/>
        <n v="29.04"/>
        <n v="14.88"/>
        <n v="18.36"/>
        <n v="24.8"/>
        <n v="24.38"/>
        <n v="34.299999999999997"/>
        <n v="9.3000000000000007"/>
        <n v="23.98"/>
        <n v="32.799999999999997"/>
        <n v="8.6"/>
        <n v="12.98"/>
        <n v="28.76"/>
        <n v="15.68"/>
        <n v="15.06"/>
        <n v="19.420000000000002"/>
        <n v="28.6"/>
        <n v="12.36"/>
        <n v="22.58"/>
        <n v="30.4"/>
        <n v="10.76"/>
        <n v="44.2"/>
        <n v="16.64"/>
        <n v="25.38"/>
        <n v="17.62"/>
        <n v="21.7"/>
        <n v="26.14"/>
        <n v="27.64"/>
        <n v="28.42"/>
        <n v="19.260000000000002"/>
        <n v="1.2"/>
        <n v="12.16"/>
      </sharedItems>
    </cacheField>
    <cacheField name="Year 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49.505326157407" createdVersion="4" refreshedVersion="4" minRefreshableVersion="3" recordCount="1644" xr:uid="{00000000-000A-0000-FFFF-FFFF0C000000}">
  <cacheSource type="worksheet">
    <worksheetSource ref="A1:G1681" sheet="positional_raw"/>
  </cacheSource>
  <cacheFields count="7">
    <cacheField name="Team" numFmtId="0">
      <sharedItems count="12">
        <s v="Gee Whiz Darnell"/>
        <s v="8Chane"/>
        <s v="Pierogi Night"/>
        <s v="Grip Hamilton Memorial 5k"/>
        <s v="Bijan the second date"/>
        <s v="Schmaap"/>
        <s v="Brady come back u can blame it"/>
        <s v="Mr. Fans Noodle Haus"/>
        <s v="GOBias Industries"/>
        <s v="Sackwash Lyfe"/>
        <s v="Herbin Legends"/>
        <s v="Pay Dirt &amp; Pylons IV"/>
      </sharedItems>
    </cacheField>
    <cacheField name="Owner" numFmtId="0">
      <sharedItems/>
    </cacheField>
    <cacheField name="Week" numFmtId="0">
      <sharedItems containsSemiMixedTypes="0" containsString="0" containsNumber="1" containsInteger="1" minValue="1" maxValue="14"/>
    </cacheField>
    <cacheField name="Group" numFmtId="0">
      <sharedItems count="9">
        <s v="QB"/>
        <s v="WR"/>
        <s v="RB"/>
        <s v="TE"/>
        <s v="DEF"/>
        <s v="K"/>
        <s v="WR-Flex"/>
        <s v="RB-Flex"/>
        <s v="TE-Flex"/>
      </sharedItems>
    </cacheField>
    <cacheField name="Player" numFmtId="0">
      <sharedItems/>
    </cacheField>
    <cacheField name="Points" numFmtId="0">
      <sharedItems containsSemiMixedTypes="0" containsString="0" containsNumber="1" minValue="-7" maxValue="51.88"/>
    </cacheField>
    <cacheField name="Year 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6">
  <r>
    <x v="0"/>
    <s v="Brenton"/>
    <n v="1"/>
    <x v="0"/>
    <s v="Trevor Lawrence"/>
    <n v="11.28"/>
    <n v="2024"/>
  </r>
  <r>
    <x v="0"/>
    <s v="Brenton"/>
    <n v="1"/>
    <x v="1"/>
    <s v="Jayden Reed"/>
    <n v="31.1"/>
    <n v="2024"/>
  </r>
  <r>
    <x v="0"/>
    <s v="Brenton"/>
    <n v="1"/>
    <x v="1"/>
    <s v="Tyreek Hill"/>
    <n v="22.5"/>
    <n v="2024"/>
  </r>
  <r>
    <x v="0"/>
    <s v="Brenton"/>
    <n v="1"/>
    <x v="1"/>
    <s v="Zay Flowers"/>
    <n v="8.1"/>
    <n v="2024"/>
  </r>
  <r>
    <x v="0"/>
    <s v="Brenton"/>
    <n v="1"/>
    <x v="2"/>
    <s v="Jerome Ford"/>
    <n v="15.9"/>
    <n v="2024"/>
  </r>
  <r>
    <x v="0"/>
    <s v="Brenton"/>
    <n v="1"/>
    <x v="2"/>
    <s v="Javonte Williams"/>
    <n v="2.8"/>
    <n v="2024"/>
  </r>
  <r>
    <x v="0"/>
    <s v="Brenton"/>
    <n v="1"/>
    <x v="3"/>
    <s v="Trey McBride"/>
    <n v="5.5"/>
    <n v="2024"/>
  </r>
  <r>
    <x v="0"/>
    <s v="Brenton"/>
    <n v="1"/>
    <x v="4"/>
    <s v="Cincinnati"/>
    <n v="3"/>
    <n v="2024"/>
  </r>
  <r>
    <x v="0"/>
    <s v="Brenton"/>
    <n v="1"/>
    <x v="5"/>
    <s v="Tyler Bass"/>
    <n v="10"/>
    <n v="2024"/>
  </r>
  <r>
    <x v="1"/>
    <s v="Todd"/>
    <n v="1"/>
    <x v="0"/>
    <s v="Dak Prescott"/>
    <n v="11.46"/>
    <n v="2024"/>
  </r>
  <r>
    <x v="1"/>
    <s v="Todd"/>
    <n v="1"/>
    <x v="1"/>
    <s v="AJ Brown"/>
    <n v="20.399999999999999"/>
    <n v="2024"/>
  </r>
  <r>
    <x v="1"/>
    <s v="Todd"/>
    <n v="1"/>
    <x v="1"/>
    <s v="Deebo Samuel"/>
    <n v="16.2"/>
    <n v="2024"/>
  </r>
  <r>
    <x v="1"/>
    <s v="Todd"/>
    <n v="1"/>
    <x v="1"/>
    <s v="Rashee Rice"/>
    <n v="13.8"/>
    <n v="2024"/>
  </r>
  <r>
    <x v="1"/>
    <s v="Todd"/>
    <n v="1"/>
    <x v="2"/>
    <s v="De'Von Achane"/>
    <n v="19.5"/>
    <n v="2024"/>
  </r>
  <r>
    <x v="1"/>
    <s v="Todd"/>
    <n v="1"/>
    <x v="2"/>
    <s v="James Conner"/>
    <n v="17.8"/>
    <n v="2024"/>
  </r>
  <r>
    <x v="1"/>
    <s v="Todd"/>
    <n v="1"/>
    <x v="3"/>
    <s v="Pat Freiermuth"/>
    <n v="4.7"/>
    <n v="2024"/>
  </r>
  <r>
    <x v="1"/>
    <s v="Todd"/>
    <n v="1"/>
    <x v="4"/>
    <s v="Seattle"/>
    <n v="10"/>
    <n v="2024"/>
  </r>
  <r>
    <x v="1"/>
    <s v="Todd"/>
    <n v="1"/>
    <x v="5"/>
    <s v="Younghoe Koo"/>
    <n v="4"/>
    <n v="2024"/>
  </r>
  <r>
    <x v="2"/>
    <s v="Mike"/>
    <n v="1"/>
    <x v="0"/>
    <s v="Patrick Mahomes"/>
    <n v="14.64"/>
    <n v="2024"/>
  </r>
  <r>
    <x v="2"/>
    <s v="Mike"/>
    <n v="1"/>
    <x v="1"/>
    <s v="Davante Adams"/>
    <n v="8.4"/>
    <n v="2024"/>
  </r>
  <r>
    <x v="2"/>
    <s v="Mike"/>
    <n v="1"/>
    <x v="1"/>
    <s v="Mike Evans"/>
    <n v="20.6"/>
    <n v="2024"/>
  </r>
  <r>
    <x v="2"/>
    <s v="Mike"/>
    <n v="1"/>
    <x v="1"/>
    <s v="Khalil Shakir"/>
    <n v="11.7"/>
    <n v="2024"/>
  </r>
  <r>
    <x v="2"/>
    <s v="Mike"/>
    <n v="1"/>
    <x v="2"/>
    <s v="Derrick Henry"/>
    <n v="10.6"/>
    <n v="2024"/>
  </r>
  <r>
    <x v="2"/>
    <s v="Mike"/>
    <n v="1"/>
    <x v="2"/>
    <s v="Tyjae Spears"/>
    <n v="5.2"/>
    <n v="2024"/>
  </r>
  <r>
    <x v="2"/>
    <s v="Mike"/>
    <n v="1"/>
    <x v="3"/>
    <s v="Sam LaPorta"/>
    <n v="6.5"/>
    <n v="2024"/>
  </r>
  <r>
    <x v="2"/>
    <s v="Mike"/>
    <n v="1"/>
    <x v="5"/>
    <s v="Jason Sanders"/>
    <n v="9"/>
    <n v="2024"/>
  </r>
  <r>
    <x v="2"/>
    <s v="Mike"/>
    <n v="1"/>
    <x v="4"/>
    <s v="Buffalo"/>
    <n v="6"/>
    <n v="2024"/>
  </r>
  <r>
    <x v="3"/>
    <s v="Kevin"/>
    <n v="1"/>
    <x v="0"/>
    <s v="CJ Stroud"/>
    <n v="18.66"/>
    <n v="2024"/>
  </r>
  <r>
    <x v="3"/>
    <s v="Kevin"/>
    <n v="1"/>
    <x v="1"/>
    <s v="George Pickens"/>
    <n v="10.5"/>
    <n v="2024"/>
  </r>
  <r>
    <x v="3"/>
    <s v="Kevin"/>
    <n v="1"/>
    <x v="1"/>
    <s v="Chris Olave"/>
    <n v="2.1"/>
    <n v="2024"/>
  </r>
  <r>
    <x v="3"/>
    <s v="Kevin"/>
    <n v="1"/>
    <x v="1"/>
    <s v="Marvin Harrison Jr"/>
    <n v="0.9"/>
    <n v="2024"/>
  </r>
  <r>
    <x v="3"/>
    <s v="Kevin"/>
    <n v="1"/>
    <x v="2"/>
    <s v="Joe Mixon"/>
    <n v="25.3"/>
    <n v="2024"/>
  </r>
  <r>
    <x v="3"/>
    <s v="Kevin"/>
    <n v="1"/>
    <x v="2"/>
    <s v="Isiah Pacheco"/>
    <n v="14.8"/>
    <n v="2024"/>
  </r>
  <r>
    <x v="3"/>
    <s v="Kevin"/>
    <n v="1"/>
    <x v="3"/>
    <s v="Hunter Henry"/>
    <n v="2.8"/>
    <n v="2024"/>
  </r>
  <r>
    <x v="3"/>
    <s v="Kevin"/>
    <n v="1"/>
    <x v="5"/>
    <s v="Justin Tucker"/>
    <n v="8"/>
    <n v="2024"/>
  </r>
  <r>
    <x v="3"/>
    <s v="Kevin"/>
    <n v="1"/>
    <x v="4"/>
    <s v="Minnesota"/>
    <n v="23"/>
    <n v="2024"/>
  </r>
  <r>
    <x v="4"/>
    <s v="Eli"/>
    <n v="1"/>
    <x v="0"/>
    <s v="Jalen Hurts"/>
    <n v="16.420000000000002"/>
    <n v="2024"/>
  </r>
  <r>
    <x v="4"/>
    <s v="Eli"/>
    <n v="1"/>
    <x v="1"/>
    <s v="Justin Jefferson"/>
    <n v="13.9"/>
    <n v="2024"/>
  </r>
  <r>
    <x v="4"/>
    <s v="Eli"/>
    <n v="1"/>
    <x v="1"/>
    <s v="DJ Moore"/>
    <n v="7.5"/>
    <n v="2024"/>
  </r>
  <r>
    <x v="4"/>
    <s v="Eli"/>
    <n v="1"/>
    <x v="1"/>
    <s v="DeMario Douglas"/>
    <n v="2.2000000000000002"/>
    <n v="2024"/>
  </r>
  <r>
    <x v="4"/>
    <s v="Eli"/>
    <n v="1"/>
    <x v="2"/>
    <s v="Bijan Robinson"/>
    <n v="13.6"/>
    <n v="2024"/>
  </r>
  <r>
    <x v="4"/>
    <s v="Eli"/>
    <n v="1"/>
    <x v="2"/>
    <s v="Jaylen Warren"/>
    <n v="3"/>
    <n v="2024"/>
  </r>
  <r>
    <x v="4"/>
    <s v="Eli"/>
    <n v="1"/>
    <x v="3"/>
    <s v="David Njoku"/>
    <n v="6.4"/>
    <n v="2024"/>
  </r>
  <r>
    <x v="4"/>
    <s v="Eli"/>
    <n v="1"/>
    <x v="5"/>
    <s v="Jake Moody"/>
    <n v="26"/>
    <n v="2024"/>
  </r>
  <r>
    <x v="4"/>
    <s v="Eli"/>
    <n v="1"/>
    <x v="4"/>
    <s v="NYJ"/>
    <n v="-2"/>
    <n v="2024"/>
  </r>
  <r>
    <x v="5"/>
    <s v="Burnett/Jasjaap"/>
    <n v="1"/>
    <x v="0"/>
    <s v="Brock Purdy"/>
    <n v="10.34"/>
    <n v="2024"/>
  </r>
  <r>
    <x v="5"/>
    <s v="Burnett/Jasjaap"/>
    <n v="1"/>
    <x v="1"/>
    <s v="CeeDee Lamb"/>
    <n v="11.1"/>
    <n v="2024"/>
  </r>
  <r>
    <x v="5"/>
    <s v="Burnett/Jasjaap"/>
    <n v="1"/>
    <x v="1"/>
    <s v="Jaylen Waddle"/>
    <n v="13.7"/>
    <n v="2024"/>
  </r>
  <r>
    <x v="5"/>
    <s v="Burnett/Jasjaap"/>
    <n v="1"/>
    <x v="1"/>
    <s v="Puka Nacua"/>
    <n v="6.2"/>
    <n v="2024"/>
  </r>
  <r>
    <x v="5"/>
    <s v="Burnett/Jasjaap"/>
    <n v="1"/>
    <x v="2"/>
    <s v="Josh Jacobs"/>
    <n v="11.4"/>
    <n v="2024"/>
  </r>
  <r>
    <x v="5"/>
    <s v="Burnett/Jasjaap"/>
    <n v="1"/>
    <x v="2"/>
    <s v="David Montgomery"/>
    <n v="15.8"/>
    <n v="2024"/>
  </r>
  <r>
    <x v="5"/>
    <s v="Burnett/Jasjaap"/>
    <n v="1"/>
    <x v="3"/>
    <s v="Brock Bowers"/>
    <n v="8.8000000000000007"/>
    <n v="2024"/>
  </r>
  <r>
    <x v="5"/>
    <s v="Burnett/Jasjaap"/>
    <n v="1"/>
    <x v="5"/>
    <s v="Jake Elliott"/>
    <n v="10"/>
    <n v="2024"/>
  </r>
  <r>
    <x v="5"/>
    <s v="Burnett/Jasjaap"/>
    <n v="1"/>
    <x v="4"/>
    <s v="Pittsburgh"/>
    <n v="13"/>
    <n v="2024"/>
  </r>
  <r>
    <x v="6"/>
    <s v="Will"/>
    <n v="1"/>
    <x v="0"/>
    <s v="Caleb Williams"/>
    <n v="7.22"/>
    <n v="2024"/>
  </r>
  <r>
    <x v="6"/>
    <s v="Will"/>
    <n v="1"/>
    <x v="1"/>
    <s v="Ladd McConkey"/>
    <n v="12.4"/>
    <n v="2024"/>
  </r>
  <r>
    <x v="6"/>
    <s v="Will"/>
    <n v="1"/>
    <x v="1"/>
    <s v="Amon-Ra St. Brown"/>
    <n v="2.8"/>
    <n v="2024"/>
  </r>
  <r>
    <x v="6"/>
    <s v="Will"/>
    <n v="1"/>
    <x v="1"/>
    <s v="Drake London"/>
    <n v="2.5"/>
    <n v="2024"/>
  </r>
  <r>
    <x v="6"/>
    <s v="Will"/>
    <n v="1"/>
    <x v="2"/>
    <s v="Travis Etienne"/>
    <n v="10.9"/>
    <n v="2024"/>
  </r>
  <r>
    <x v="6"/>
    <s v="Will"/>
    <n v="1"/>
    <x v="2"/>
    <s v="Zamir White"/>
    <n v="3.6"/>
    <n v="2024"/>
  </r>
  <r>
    <x v="6"/>
    <s v="Will"/>
    <n v="1"/>
    <x v="3"/>
    <s v="Kyle Pitts"/>
    <n v="10.1"/>
    <n v="2024"/>
  </r>
  <r>
    <x v="6"/>
    <s v="Will"/>
    <n v="1"/>
    <x v="5"/>
    <s v="Jason Myers"/>
    <n v="10"/>
    <n v="2024"/>
  </r>
  <r>
    <x v="6"/>
    <s v="Will"/>
    <n v="1"/>
    <x v="4"/>
    <s v="Houston"/>
    <n v="3"/>
    <n v="2024"/>
  </r>
  <r>
    <x v="7"/>
    <s v="Jay"/>
    <n v="1"/>
    <x v="0"/>
    <s v="Lamar Jackson"/>
    <n v="25.12"/>
    <n v="2024"/>
  </r>
  <r>
    <x v="7"/>
    <s v="Jay"/>
    <n v="1"/>
    <x v="1"/>
    <s v="Stefon Diggs"/>
    <n v="18.899999999999999"/>
    <n v="2024"/>
  </r>
  <r>
    <x v="7"/>
    <s v="Jay"/>
    <n v="1"/>
    <x v="1"/>
    <s v="Christian Kirk"/>
    <n v="3.5"/>
    <n v="2024"/>
  </r>
  <r>
    <x v="7"/>
    <s v="Jay"/>
    <n v="1"/>
    <x v="1"/>
    <s v="Amari Cooper"/>
    <n v="2.6"/>
    <n v="2024"/>
  </r>
  <r>
    <x v="7"/>
    <s v="Jay"/>
    <n v="1"/>
    <x v="2"/>
    <s v="Alvin Kamara"/>
    <n v="19.5"/>
    <n v="2024"/>
  </r>
  <r>
    <x v="7"/>
    <s v="Jay"/>
    <n v="1"/>
    <x v="2"/>
    <s v="Jonathan Taylor"/>
    <n v="10.8"/>
    <n v="2024"/>
  </r>
  <r>
    <x v="7"/>
    <s v="Jay"/>
    <n v="1"/>
    <x v="3"/>
    <s v="Mark Andrews"/>
    <n v="2.4"/>
    <n v="2024"/>
  </r>
  <r>
    <x v="7"/>
    <s v="Jay"/>
    <n v="1"/>
    <x v="5"/>
    <s v="Ka'imi Fairbairn"/>
    <n v="17"/>
    <n v="2024"/>
  </r>
  <r>
    <x v="7"/>
    <s v="Jay"/>
    <n v="1"/>
    <x v="4"/>
    <s v="LA Chargers"/>
    <n v="15"/>
    <n v="2024"/>
  </r>
  <r>
    <x v="8"/>
    <s v="Schulwolf"/>
    <n v="1"/>
    <x v="0"/>
    <s v="Jordan Love"/>
    <n v="16.399999999999999"/>
    <n v="2024"/>
  </r>
  <r>
    <x v="8"/>
    <s v="Schulwolf"/>
    <n v="1"/>
    <x v="1"/>
    <s v="Cooper Kupp"/>
    <n v="25"/>
    <n v="2024"/>
  </r>
  <r>
    <x v="8"/>
    <s v="Schulwolf"/>
    <n v="1"/>
    <x v="1"/>
    <s v="DeVonta Smith"/>
    <n v="11.9"/>
    <n v="2024"/>
  </r>
  <r>
    <x v="8"/>
    <s v="Schulwolf"/>
    <n v="1"/>
    <x v="1"/>
    <s v="Chris Godwin"/>
    <n v="18.3"/>
    <n v="2024"/>
  </r>
  <r>
    <x v="8"/>
    <s v="Schulwolf"/>
    <n v="1"/>
    <x v="2"/>
    <s v="Jahmyr Gibbs"/>
    <n v="15.4"/>
    <n v="2024"/>
  </r>
  <r>
    <x v="8"/>
    <s v="Schulwolf"/>
    <n v="1"/>
    <x v="2"/>
    <s v="James Cook"/>
    <n v="11.8"/>
    <n v="2024"/>
  </r>
  <r>
    <x v="8"/>
    <s v="Schulwolf"/>
    <n v="1"/>
    <x v="3"/>
    <s v="Dalton Kincaid"/>
    <n v="1.6"/>
    <n v="2024"/>
  </r>
  <r>
    <x v="8"/>
    <s v="Schulwolf"/>
    <n v="1"/>
    <x v="5"/>
    <s v="Brandon Aubrey"/>
    <n v="21"/>
    <n v="2024"/>
  </r>
  <r>
    <x v="8"/>
    <s v="Schulwolf"/>
    <n v="1"/>
    <x v="4"/>
    <s v="Dallas"/>
    <n v="18"/>
    <n v="2024"/>
  </r>
  <r>
    <x v="9"/>
    <s v="Tommy"/>
    <n v="1"/>
    <x v="0"/>
    <s v="Josh Allen"/>
    <n v="31.18"/>
    <n v="2024"/>
  </r>
  <r>
    <x v="9"/>
    <s v="Tommy"/>
    <n v="1"/>
    <x v="1"/>
    <s v="Malik Nabers"/>
    <n v="9.1"/>
    <n v="2024"/>
  </r>
  <r>
    <x v="9"/>
    <s v="Tommy"/>
    <n v="1"/>
    <x v="1"/>
    <s v="DK Metcalf"/>
    <n v="4.4000000000000004"/>
    <n v="2024"/>
  </r>
  <r>
    <x v="9"/>
    <s v="Tommy"/>
    <n v="1"/>
    <x v="1"/>
    <s v="Romeo Doubs"/>
    <n v="7"/>
    <n v="2024"/>
  </r>
  <r>
    <x v="9"/>
    <s v="Tommy"/>
    <n v="1"/>
    <x v="2"/>
    <s v="Saquon Barkley"/>
    <n v="32.200000000000003"/>
    <n v="2024"/>
  </r>
  <r>
    <x v="9"/>
    <s v="Tommy"/>
    <n v="1"/>
    <x v="2"/>
    <s v="Rachaad White"/>
    <n v="13.6"/>
    <n v="2024"/>
  </r>
  <r>
    <x v="9"/>
    <s v="Tommy"/>
    <n v="1"/>
    <x v="3"/>
    <s v="Evan Engram"/>
    <n v="1"/>
    <n v="2024"/>
  </r>
  <r>
    <x v="9"/>
    <s v="Tommy"/>
    <n v="1"/>
    <x v="5"/>
    <s v="Harrison Butker"/>
    <n v="9"/>
    <n v="2024"/>
  </r>
  <r>
    <x v="9"/>
    <s v="Tommy"/>
    <n v="1"/>
    <x v="4"/>
    <s v="San Francisco"/>
    <n v="7"/>
    <n v="2024"/>
  </r>
  <r>
    <x v="10"/>
    <s v="Brand"/>
    <n v="1"/>
    <x v="0"/>
    <s v="Anthony Richardson"/>
    <n v="26.08"/>
    <n v="2024"/>
  </r>
  <r>
    <x v="10"/>
    <s v="Brand"/>
    <n v="1"/>
    <x v="1"/>
    <s v="Jameson Williams"/>
    <n v="21.9"/>
    <n v="2024"/>
  </r>
  <r>
    <x v="10"/>
    <s v="Brand"/>
    <n v="1"/>
    <x v="1"/>
    <s v="Christian Watson"/>
    <n v="8.8000000000000007"/>
    <n v="2024"/>
  </r>
  <r>
    <x v="10"/>
    <s v="Brand"/>
    <n v="1"/>
    <x v="1"/>
    <s v="Garrett Wilson"/>
    <n v="9"/>
    <n v="2024"/>
  </r>
  <r>
    <x v="10"/>
    <s v="Brand"/>
    <n v="1"/>
    <x v="2"/>
    <s v="Kenneth Walker"/>
    <n v="17.899999999999999"/>
    <n v="2024"/>
  </r>
  <r>
    <x v="10"/>
    <s v="Brand"/>
    <n v="1"/>
    <x v="2"/>
    <s v="Breece Hall"/>
    <n v="15.8"/>
    <n v="2024"/>
  </r>
  <r>
    <x v="10"/>
    <s v="Brand"/>
    <n v="1"/>
    <x v="3"/>
    <s v="Dallas Goedert"/>
    <n v="5.0999999999999996"/>
    <n v="2024"/>
  </r>
  <r>
    <x v="10"/>
    <s v="Brand"/>
    <n v="1"/>
    <x v="5"/>
    <s v="Cairo Santos"/>
    <n v="13"/>
    <n v="2024"/>
  </r>
  <r>
    <x v="10"/>
    <s v="Brand"/>
    <n v="1"/>
    <x v="4"/>
    <s v="New Orleans"/>
    <n v="17"/>
    <n v="2024"/>
  </r>
  <r>
    <x v="11"/>
    <s v="Cam"/>
    <n v="1"/>
    <x v="0"/>
    <s v="Joe Burrow"/>
    <n v="8.06"/>
    <n v="2024"/>
  </r>
  <r>
    <x v="11"/>
    <s v="Cam"/>
    <n v="1"/>
    <x v="1"/>
    <s v="Ja'Marr Chase"/>
    <n v="9.1999999999999993"/>
    <n v="2024"/>
  </r>
  <r>
    <x v="11"/>
    <s v="Cam"/>
    <n v="1"/>
    <x v="1"/>
    <s v="Nico Collins"/>
    <n v="14.7"/>
    <n v="2024"/>
  </r>
  <r>
    <x v="11"/>
    <s v="Cam"/>
    <n v="1"/>
    <x v="1"/>
    <s v="Andrei Iosivas"/>
    <n v="4.0999999999999996"/>
    <n v="2024"/>
  </r>
  <r>
    <x v="11"/>
    <s v="Cam"/>
    <n v="1"/>
    <x v="2"/>
    <s v="Rhamondre Stevenson"/>
    <n v="20.100000000000001"/>
    <n v="2024"/>
  </r>
  <r>
    <x v="11"/>
    <s v="Cam"/>
    <n v="1"/>
    <x v="2"/>
    <s v="Aaron Jones"/>
    <n v="17.899999999999999"/>
    <n v="2024"/>
  </r>
  <r>
    <x v="11"/>
    <s v="Cam"/>
    <n v="1"/>
    <x v="3"/>
    <s v="George Kittle"/>
    <n v="6"/>
    <n v="2024"/>
  </r>
  <r>
    <x v="11"/>
    <s v="Cam"/>
    <n v="1"/>
    <x v="5"/>
    <s v="Evan McPherson"/>
    <n v="6"/>
    <n v="2024"/>
  </r>
  <r>
    <x v="11"/>
    <s v="Cam"/>
    <n v="1"/>
    <x v="4"/>
    <s v="Atlanta"/>
    <n v="4"/>
    <n v="2024"/>
  </r>
  <r>
    <x v="0"/>
    <s v="Brenton"/>
    <n v="2"/>
    <x v="0"/>
    <s v="Baker Mayfield"/>
    <n v="18.8"/>
    <n v="2024"/>
  </r>
  <r>
    <x v="0"/>
    <s v="Brenton"/>
    <n v="2"/>
    <x v="1"/>
    <s v="Tyreek Hill"/>
    <n v="5.0999999999999996"/>
    <n v="2024"/>
  </r>
  <r>
    <x v="0"/>
    <s v="Brenton"/>
    <n v="2"/>
    <x v="1"/>
    <s v="Zay Flowers"/>
    <n v="18.600000000000001"/>
    <n v="2024"/>
  </r>
  <r>
    <x v="0"/>
    <s v="Brenton"/>
    <n v="2"/>
    <x v="1"/>
    <s v="Jayden Reed"/>
    <n v="5.6"/>
    <n v="2024"/>
  </r>
  <r>
    <x v="0"/>
    <s v="Brenton"/>
    <n v="2"/>
    <x v="2"/>
    <s v="Ezekiel Elliott"/>
    <n v="4.2"/>
    <n v="2024"/>
  </r>
  <r>
    <x v="0"/>
    <s v="Brenton"/>
    <n v="2"/>
    <x v="2"/>
    <s v="Jerome Ford"/>
    <n v="6.9"/>
    <n v="2024"/>
  </r>
  <r>
    <x v="0"/>
    <s v="Brenton"/>
    <n v="2"/>
    <x v="3"/>
    <s v="Trey McBride"/>
    <n v="15.7"/>
    <n v="2024"/>
  </r>
  <r>
    <x v="0"/>
    <s v="Brenton"/>
    <n v="2"/>
    <x v="4"/>
    <s v="Tyler Bass"/>
    <n v="7"/>
    <n v="2024"/>
  </r>
  <r>
    <x v="0"/>
    <s v="Brenton"/>
    <n v="2"/>
    <x v="5"/>
    <s v="Jacksonville"/>
    <n v="4"/>
    <n v="2024"/>
  </r>
  <r>
    <x v="2"/>
    <s v="Mike"/>
    <n v="2"/>
    <x v="0"/>
    <s v="Patrick Mahomes"/>
    <n v="12.94"/>
    <n v="2024"/>
  </r>
  <r>
    <x v="2"/>
    <s v="Mike"/>
    <n v="2"/>
    <x v="1"/>
    <s v="Davante Adams"/>
    <n v="21.5"/>
    <n v="2024"/>
  </r>
  <r>
    <x v="2"/>
    <s v="Mike"/>
    <n v="2"/>
    <x v="1"/>
    <s v="Mike Evans"/>
    <n v="5.7"/>
    <n v="2024"/>
  </r>
  <r>
    <x v="2"/>
    <s v="Mike"/>
    <n v="2"/>
    <x v="1"/>
    <s v="Khalil Shakir"/>
    <n v="8.1"/>
    <n v="2024"/>
  </r>
  <r>
    <x v="2"/>
    <s v="Mike"/>
    <n v="2"/>
    <x v="2"/>
    <s v="Derrick Henry"/>
    <n v="16.100000000000001"/>
    <n v="2024"/>
  </r>
  <r>
    <x v="2"/>
    <s v="Mike"/>
    <n v="2"/>
    <x v="2"/>
    <s v="Tyjae Spears"/>
    <n v="4.0999999999999996"/>
    <n v="2024"/>
  </r>
  <r>
    <x v="2"/>
    <s v="Mike"/>
    <n v="2"/>
    <x v="3"/>
    <s v="Sam LaPorta"/>
    <n v="2.2999999999999998"/>
    <n v="2024"/>
  </r>
  <r>
    <x v="2"/>
    <s v="Mike"/>
    <n v="2"/>
    <x v="4"/>
    <s v="Buffalo"/>
    <n v="17"/>
    <n v="2024"/>
  </r>
  <r>
    <x v="2"/>
    <s v="Mike"/>
    <n v="2"/>
    <x v="5"/>
    <s v="Jason Sanders"/>
    <n v="4"/>
    <n v="2024"/>
  </r>
  <r>
    <x v="1"/>
    <s v="Todd"/>
    <n v="2"/>
    <x v="0"/>
    <s v="Dak Prescott"/>
    <n v="12.92"/>
    <n v="2024"/>
  </r>
  <r>
    <x v="1"/>
    <s v="Todd"/>
    <n v="2"/>
    <x v="1"/>
    <s v="Deebo Samuel"/>
    <n v="14"/>
    <n v="2024"/>
  </r>
  <r>
    <x v="1"/>
    <s v="Todd"/>
    <n v="2"/>
    <x v="1"/>
    <s v="Rashee Rice"/>
    <n v="16"/>
    <n v="2024"/>
  </r>
  <r>
    <x v="1"/>
    <s v="Todd"/>
    <n v="2"/>
    <x v="1"/>
    <s v="Calvin Ridley"/>
    <n v="22.7"/>
    <n v="2024"/>
  </r>
  <r>
    <x v="1"/>
    <s v="Todd"/>
    <n v="2"/>
    <x v="2"/>
    <s v="De'Von Achane"/>
    <n v="26"/>
    <n v="2024"/>
  </r>
  <r>
    <x v="1"/>
    <s v="Todd"/>
    <n v="2"/>
    <x v="2"/>
    <s v="James Conner"/>
    <n v="18.899999999999999"/>
    <n v="2024"/>
  </r>
  <r>
    <x v="1"/>
    <s v="Todd"/>
    <n v="2"/>
    <x v="3"/>
    <s v="Kyle Pitts"/>
    <n v="3.5"/>
    <n v="2024"/>
  </r>
  <r>
    <x v="1"/>
    <s v="Todd"/>
    <n v="2"/>
    <x v="4"/>
    <s v="Seattle"/>
    <n v="5"/>
    <n v="2024"/>
  </r>
  <r>
    <x v="1"/>
    <s v="Todd"/>
    <n v="2"/>
    <x v="5"/>
    <s v="Chris Boswell"/>
    <n v="9"/>
    <n v="2024"/>
  </r>
  <r>
    <x v="7"/>
    <s v="Jay"/>
    <n v="2"/>
    <x v="0"/>
    <s v="Lamar Jackson"/>
    <n v="16.38"/>
    <n v="2024"/>
  </r>
  <r>
    <x v="7"/>
    <s v="Jay"/>
    <n v="2"/>
    <x v="1"/>
    <s v="Stefon Diggs"/>
    <n v="5.7"/>
    <n v="2024"/>
  </r>
  <r>
    <x v="7"/>
    <s v="Jay"/>
    <n v="2"/>
    <x v="1"/>
    <s v="Amari Cooper"/>
    <n v="2.6"/>
    <n v="2024"/>
  </r>
  <r>
    <x v="7"/>
    <s v="Jay"/>
    <n v="2"/>
    <x v="1"/>
    <s v="Christian Kirk"/>
    <n v="0.4"/>
    <n v="2024"/>
  </r>
  <r>
    <x v="7"/>
    <s v="Jay"/>
    <n v="2"/>
    <x v="2"/>
    <s v="Alvin Kamara"/>
    <n v="43"/>
    <n v="2024"/>
  </r>
  <r>
    <x v="7"/>
    <s v="Jay"/>
    <n v="2"/>
    <x v="2"/>
    <s v="Jonathan Taylor"/>
    <n v="14.5"/>
    <n v="2024"/>
  </r>
  <r>
    <x v="7"/>
    <s v="Jay"/>
    <n v="2"/>
    <x v="3"/>
    <s v="Mark Andrews"/>
    <n v="7.1"/>
    <n v="2024"/>
  </r>
  <r>
    <x v="7"/>
    <s v="Jay"/>
    <n v="2"/>
    <x v="5"/>
    <s v="Ka'imi Fairbairn"/>
    <n v="20"/>
    <n v="2024"/>
  </r>
  <r>
    <x v="7"/>
    <s v="Jay"/>
    <n v="2"/>
    <x v="4"/>
    <s v="LA Chargers"/>
    <n v="14"/>
    <n v="2024"/>
  </r>
  <r>
    <x v="4"/>
    <s v="Eli"/>
    <n v="2"/>
    <x v="0"/>
    <s v="Jalen Hurts"/>
    <n v="23.82"/>
    <n v="2024"/>
  </r>
  <r>
    <x v="4"/>
    <s v="Eli"/>
    <n v="2"/>
    <x v="1"/>
    <s v="Justin Jefferson"/>
    <n v="21.3"/>
    <n v="2024"/>
  </r>
  <r>
    <x v="4"/>
    <s v="Eli"/>
    <n v="2"/>
    <x v="1"/>
    <s v="DJ Moore"/>
    <n v="8.3000000000000007"/>
    <n v="2024"/>
  </r>
  <r>
    <x v="4"/>
    <s v="Eli"/>
    <n v="2"/>
    <x v="1"/>
    <s v="Demarcus Robinson"/>
    <n v="6"/>
    <n v="2024"/>
  </r>
  <r>
    <x v="4"/>
    <s v="Eli"/>
    <n v="2"/>
    <x v="2"/>
    <s v="Bijan Robinson"/>
    <n v="14.2"/>
    <n v="2024"/>
  </r>
  <r>
    <x v="4"/>
    <s v="Eli"/>
    <n v="2"/>
    <x v="2"/>
    <s v="Jordan Mason"/>
    <n v="16.899999999999999"/>
    <n v="2024"/>
  </r>
  <r>
    <x v="4"/>
    <s v="Eli"/>
    <n v="2"/>
    <x v="3"/>
    <s v="Dalton Schultz"/>
    <n v="3.1"/>
    <n v="2024"/>
  </r>
  <r>
    <x v="4"/>
    <s v="Eli"/>
    <n v="2"/>
    <x v="5"/>
    <s v="Jake Moody"/>
    <n v="5"/>
    <n v="2024"/>
  </r>
  <r>
    <x v="4"/>
    <s v="Eli"/>
    <n v="2"/>
    <x v="4"/>
    <s v="NYJ"/>
    <n v="10"/>
    <n v="2024"/>
  </r>
  <r>
    <x v="6"/>
    <s v="Will"/>
    <n v="2"/>
    <x v="0"/>
    <s v="Geno Smith"/>
    <n v="17.88"/>
    <n v="2024"/>
  </r>
  <r>
    <x v="6"/>
    <s v="Will"/>
    <n v="2"/>
    <x v="1"/>
    <s v="Amon-Ra St. Brown"/>
    <n v="17.399999999999999"/>
    <n v="2024"/>
  </r>
  <r>
    <x v="6"/>
    <s v="Will"/>
    <n v="2"/>
    <x v="1"/>
    <s v="Drake London"/>
    <n v="14.4"/>
    <n v="2024"/>
  </r>
  <r>
    <x v="6"/>
    <s v="Will"/>
    <n v="2"/>
    <x v="1"/>
    <s v="Jaxon Smith-Njigba"/>
    <n v="17.7"/>
    <n v="2024"/>
  </r>
  <r>
    <x v="6"/>
    <s v="Will"/>
    <n v="2"/>
    <x v="2"/>
    <s v="Travis Etienne"/>
    <n v="13.3"/>
    <n v="2024"/>
  </r>
  <r>
    <x v="6"/>
    <s v="Will"/>
    <n v="2"/>
    <x v="2"/>
    <s v="Zach Charbonet"/>
    <n v="15.4"/>
    <n v="2024"/>
  </r>
  <r>
    <x v="6"/>
    <s v="Will"/>
    <n v="2"/>
    <x v="3"/>
    <s v="Travis Kelce"/>
    <n v="1.1000000000000001"/>
    <n v="2024"/>
  </r>
  <r>
    <x v="6"/>
    <s v="Will"/>
    <n v="2"/>
    <x v="5"/>
    <s v="Jason Myers"/>
    <n v="12"/>
    <n v="2024"/>
  </r>
  <r>
    <x v="6"/>
    <s v="Will"/>
    <n v="2"/>
    <x v="4"/>
    <s v="Houston"/>
    <n v="16"/>
    <n v="2024"/>
  </r>
  <r>
    <x v="8"/>
    <s v="Schulwolf"/>
    <n v="2"/>
    <x v="0"/>
    <s v="Jayden Daniels"/>
    <n v="13.44"/>
    <n v="2024"/>
  </r>
  <r>
    <x v="8"/>
    <s v="Schulwolf"/>
    <n v="2"/>
    <x v="1"/>
    <s v="Chris Godwin"/>
    <n v="21.2"/>
    <n v="2024"/>
  </r>
  <r>
    <x v="8"/>
    <s v="Schulwolf"/>
    <n v="2"/>
    <x v="1"/>
    <s v="DeVonta Smith"/>
    <n v="17.100000000000001"/>
    <n v="2024"/>
  </r>
  <r>
    <x v="8"/>
    <s v="Schulwolf"/>
    <n v="2"/>
    <x v="1"/>
    <s v="Cooper Kupp"/>
    <n v="5.7"/>
    <n v="2024"/>
  </r>
  <r>
    <x v="8"/>
    <s v="Schulwolf"/>
    <n v="2"/>
    <x v="2"/>
    <s v="James Cook"/>
    <n v="28"/>
    <n v="2024"/>
  </r>
  <r>
    <x v="8"/>
    <s v="Schulwolf"/>
    <n v="2"/>
    <x v="2"/>
    <s v="Jahmyr Gibbs"/>
    <n v="14.1"/>
    <n v="2024"/>
  </r>
  <r>
    <x v="8"/>
    <s v="Schulwolf"/>
    <n v="2"/>
    <x v="3"/>
    <s v="Dalton Kincaid"/>
    <n v="5.3"/>
    <n v="2024"/>
  </r>
  <r>
    <x v="8"/>
    <s v="Schulwolf"/>
    <n v="2"/>
    <x v="5"/>
    <s v="Brandon Aubrey"/>
    <n v="17"/>
    <n v="2024"/>
  </r>
  <r>
    <x v="8"/>
    <s v="Schulwolf"/>
    <n v="2"/>
    <x v="4"/>
    <s v="Dallas"/>
    <n v="-3"/>
    <n v="2024"/>
  </r>
  <r>
    <x v="3"/>
    <s v="Kevin"/>
    <n v="2"/>
    <x v="0"/>
    <s v="CJ Stroud"/>
    <n v="14.3"/>
    <n v="2024"/>
  </r>
  <r>
    <x v="3"/>
    <s v="Kevin"/>
    <n v="2"/>
    <x v="1"/>
    <s v="Marvin Harrison Jr"/>
    <n v="27"/>
    <n v="2024"/>
  </r>
  <r>
    <x v="3"/>
    <s v="Kevin"/>
    <n v="2"/>
    <x v="1"/>
    <s v="Chris Olave"/>
    <n v="10.8"/>
    <n v="2024"/>
  </r>
  <r>
    <x v="3"/>
    <s v="Kevin"/>
    <n v="2"/>
    <x v="1"/>
    <s v="George Pickens"/>
    <n v="3.9"/>
    <n v="2024"/>
  </r>
  <r>
    <x v="3"/>
    <s v="Kevin"/>
    <n v="2"/>
    <x v="2"/>
    <s v="Isiah Pacheco"/>
    <n v="13.6"/>
    <n v="2024"/>
  </r>
  <r>
    <x v="3"/>
    <s v="Kevin"/>
    <n v="2"/>
    <x v="2"/>
    <s v="Najee Harris"/>
    <n v="7.9"/>
    <n v="2024"/>
  </r>
  <r>
    <x v="3"/>
    <s v="Kevin"/>
    <n v="2"/>
    <x v="3"/>
    <s v="Hunter Henry"/>
    <n v="14.9"/>
    <n v="2024"/>
  </r>
  <r>
    <x v="3"/>
    <s v="Kevin"/>
    <n v="2"/>
    <x v="5"/>
    <s v="Justin Tucker"/>
    <n v="13"/>
    <n v="2024"/>
  </r>
  <r>
    <x v="3"/>
    <s v="Kevin"/>
    <n v="2"/>
    <x v="4"/>
    <s v="Cleveland"/>
    <n v="9"/>
    <n v="2024"/>
  </r>
  <r>
    <x v="10"/>
    <s v="Brand"/>
    <n v="2"/>
    <x v="0"/>
    <s v="Anthony Richardson"/>
    <n v="9.86"/>
    <n v="2024"/>
  </r>
  <r>
    <x v="10"/>
    <s v="Brand"/>
    <n v="2"/>
    <x v="1"/>
    <s v="Jameson Williams"/>
    <n v="11.9"/>
    <n v="2024"/>
  </r>
  <r>
    <x v="10"/>
    <s v="Brand"/>
    <n v="2"/>
    <x v="1"/>
    <s v="Garrett Wilson"/>
    <n v="8.1999999999999993"/>
    <n v="2024"/>
  </r>
  <r>
    <x v="10"/>
    <s v="Brand"/>
    <n v="2"/>
    <x v="1"/>
    <s v="Michael Pittman"/>
    <n v="3.6"/>
    <n v="2024"/>
  </r>
  <r>
    <x v="10"/>
    <s v="Brand"/>
    <n v="2"/>
    <x v="2"/>
    <s v="Breece Hall"/>
    <n v="20.9"/>
    <n v="2024"/>
  </r>
  <r>
    <x v="10"/>
    <s v="Brand"/>
    <n v="2"/>
    <x v="2"/>
    <s v="Bucky Irving"/>
    <n v="2.2000000000000002"/>
    <n v="2024"/>
  </r>
  <r>
    <x v="10"/>
    <s v="Brand"/>
    <n v="2"/>
    <x v="3"/>
    <s v="Dallas Goedert"/>
    <n v="5.3"/>
    <n v="2024"/>
  </r>
  <r>
    <x v="10"/>
    <s v="Brand"/>
    <n v="2"/>
    <x v="5"/>
    <s v="Cairo Santos"/>
    <n v="11"/>
    <n v="2024"/>
  </r>
  <r>
    <x v="10"/>
    <s v="Brand"/>
    <n v="2"/>
    <x v="4"/>
    <s v="Indianapolis"/>
    <n v="2"/>
    <n v="2024"/>
  </r>
  <r>
    <x v="9"/>
    <s v="Tommy"/>
    <n v="2"/>
    <x v="0"/>
    <s v="Josh Allen"/>
    <n v="9.76"/>
    <n v="2024"/>
  </r>
  <r>
    <x v="9"/>
    <s v="Tommy"/>
    <n v="2"/>
    <x v="1"/>
    <s v="DK Metcalf"/>
    <n v="23.9"/>
    <n v="2024"/>
  </r>
  <r>
    <x v="9"/>
    <s v="Tommy"/>
    <n v="2"/>
    <x v="1"/>
    <s v="Malik Nabers"/>
    <n v="23.7"/>
    <n v="2024"/>
  </r>
  <r>
    <x v="9"/>
    <s v="Tommy"/>
    <n v="2"/>
    <x v="1"/>
    <s v="Xavier Worthy"/>
    <n v="3.2"/>
    <n v="2024"/>
  </r>
  <r>
    <x v="9"/>
    <s v="Tommy"/>
    <n v="2"/>
    <x v="2"/>
    <s v="Saquon Barkley"/>
    <n v="15.6"/>
    <n v="2024"/>
  </r>
  <r>
    <x v="9"/>
    <s v="Tommy"/>
    <n v="2"/>
    <x v="2"/>
    <s v="Kyren Williams"/>
    <n v="13.2"/>
    <n v="2024"/>
  </r>
  <r>
    <x v="9"/>
    <s v="Tommy"/>
    <n v="2"/>
    <x v="3"/>
    <s v="Evan Engram"/>
    <n v="0"/>
    <n v="2024"/>
  </r>
  <r>
    <x v="9"/>
    <s v="Tommy"/>
    <n v="2"/>
    <x v="5"/>
    <s v="Harrison Butker"/>
    <n v="10"/>
    <n v="2024"/>
  </r>
  <r>
    <x v="9"/>
    <s v="Tommy"/>
    <n v="2"/>
    <x v="4"/>
    <s v="San Francisco"/>
    <n v="4"/>
    <n v="2024"/>
  </r>
  <r>
    <x v="11"/>
    <s v="Cam"/>
    <n v="2"/>
    <x v="0"/>
    <s v="Kyler Murray"/>
    <n v="28.54"/>
    <n v="2024"/>
  </r>
  <r>
    <x v="11"/>
    <s v="Cam"/>
    <n v="2"/>
    <x v="1"/>
    <s v="Nico Collins"/>
    <n v="23.5"/>
    <n v="2024"/>
  </r>
  <r>
    <x v="11"/>
    <s v="Cam"/>
    <n v="2"/>
    <x v="1"/>
    <s v="Ja'Marr Chase"/>
    <n v="5.5"/>
    <n v="2024"/>
  </r>
  <r>
    <x v="11"/>
    <s v="Cam"/>
    <n v="2"/>
    <x v="1"/>
    <s v="Brandon Aiyuk"/>
    <n v="6.3"/>
    <n v="2024"/>
  </r>
  <r>
    <x v="11"/>
    <s v="Cam"/>
    <n v="2"/>
    <x v="2"/>
    <s v="Rhamondre Stevenson"/>
    <n v="16"/>
    <n v="2024"/>
  </r>
  <r>
    <x v="11"/>
    <s v="Cam"/>
    <n v="2"/>
    <x v="2"/>
    <s v="JK Dobbins"/>
    <n v="19.600000000000001"/>
    <n v="2024"/>
  </r>
  <r>
    <x v="11"/>
    <s v="Cam"/>
    <n v="2"/>
    <x v="3"/>
    <s v="George Kittle"/>
    <n v="17.100000000000001"/>
    <n v="2024"/>
  </r>
  <r>
    <x v="11"/>
    <s v="Cam"/>
    <n v="2"/>
    <x v="5"/>
    <s v="Evan McPherson"/>
    <n v="15"/>
    <n v="2024"/>
  </r>
  <r>
    <x v="11"/>
    <s v="Cam"/>
    <n v="2"/>
    <x v="4"/>
    <s v="Baltimore"/>
    <n v="8"/>
    <n v="2024"/>
  </r>
  <r>
    <x v="5"/>
    <s v="Burnett/Jasjaap"/>
    <n v="2"/>
    <x v="0"/>
    <s v="Brock Purdy"/>
    <n v="13.96"/>
    <n v="2024"/>
  </r>
  <r>
    <x v="5"/>
    <s v="Burnett/Jasjaap"/>
    <n v="2"/>
    <x v="1"/>
    <s v="CeeDee Lamb"/>
    <n v="17"/>
    <n v="2024"/>
  </r>
  <r>
    <x v="5"/>
    <s v="Burnett/Jasjaap"/>
    <n v="2"/>
    <x v="1"/>
    <s v="Jaylen Waddle"/>
    <n v="6.5"/>
    <n v="2024"/>
  </r>
  <r>
    <x v="5"/>
    <s v="Burnett/Jasjaap"/>
    <n v="2"/>
    <x v="1"/>
    <s v="Rashid Shaheed"/>
    <n v="18.899999999999999"/>
    <n v="2024"/>
  </r>
  <r>
    <x v="5"/>
    <s v="Burnett/Jasjaap"/>
    <n v="2"/>
    <x v="2"/>
    <s v="David Montgomery"/>
    <n v="15"/>
    <n v="2024"/>
  </r>
  <r>
    <x v="5"/>
    <s v="Burnett/Jasjaap"/>
    <n v="2"/>
    <x v="2"/>
    <s v="Josh Jacobs"/>
    <n v="13.1"/>
    <n v="2024"/>
  </r>
  <r>
    <x v="5"/>
    <s v="Burnett/Jasjaap"/>
    <n v="2"/>
    <x v="3"/>
    <s v="Brock Bowers"/>
    <n v="14.3"/>
    <n v="2024"/>
  </r>
  <r>
    <x v="5"/>
    <s v="Burnett/Jasjaap"/>
    <n v="2"/>
    <x v="5"/>
    <s v="Jake Elliott"/>
    <n v="7"/>
    <n v="2024"/>
  </r>
  <r>
    <x v="5"/>
    <s v="Burnett/Jasjaap"/>
    <n v="2"/>
    <x v="4"/>
    <s v="Pittsburgh"/>
    <n v="14"/>
    <n v="20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24">
  <r>
    <x v="0"/>
    <s v="Brenton"/>
    <n v="1"/>
    <x v="0"/>
    <s v="Trevor Lawrence"/>
    <n v="11.28"/>
    <n v="2024"/>
  </r>
  <r>
    <x v="0"/>
    <s v="Brenton"/>
    <n v="1"/>
    <x v="1"/>
    <s v="Jayden Reed"/>
    <n v="31.1"/>
    <n v="2024"/>
  </r>
  <r>
    <x v="0"/>
    <s v="Brenton"/>
    <n v="1"/>
    <x v="1"/>
    <s v="Tyreek Hill"/>
    <n v="22.5"/>
    <n v="2024"/>
  </r>
  <r>
    <x v="0"/>
    <s v="Brenton"/>
    <n v="1"/>
    <x v="1"/>
    <s v="Zay Flowers"/>
    <n v="8.1"/>
    <n v="2024"/>
  </r>
  <r>
    <x v="0"/>
    <s v="Brenton"/>
    <n v="1"/>
    <x v="2"/>
    <s v="Jerome Ford"/>
    <n v="15.9"/>
    <n v="2024"/>
  </r>
  <r>
    <x v="0"/>
    <s v="Brenton"/>
    <n v="1"/>
    <x v="2"/>
    <s v="Javonte Williams"/>
    <n v="2.8"/>
    <n v="2024"/>
  </r>
  <r>
    <x v="0"/>
    <s v="Brenton"/>
    <n v="1"/>
    <x v="3"/>
    <s v="Trey McBride"/>
    <n v="5.5"/>
    <n v="2024"/>
  </r>
  <r>
    <x v="0"/>
    <s v="Brenton"/>
    <n v="1"/>
    <x v="4"/>
    <s v="Cincinnati"/>
    <n v="3"/>
    <n v="2024"/>
  </r>
  <r>
    <x v="0"/>
    <s v="Brenton"/>
    <n v="1"/>
    <x v="5"/>
    <s v="Tyler Bass"/>
    <n v="10"/>
    <n v="2024"/>
  </r>
  <r>
    <x v="1"/>
    <s v="Todd"/>
    <n v="1"/>
    <x v="0"/>
    <s v="Dak Prescott"/>
    <n v="11.46"/>
    <n v="2024"/>
  </r>
  <r>
    <x v="1"/>
    <s v="Todd"/>
    <n v="1"/>
    <x v="1"/>
    <s v="AJ Brown"/>
    <n v="20.399999999999999"/>
    <n v="2024"/>
  </r>
  <r>
    <x v="1"/>
    <s v="Todd"/>
    <n v="1"/>
    <x v="1"/>
    <s v="Deebo Samuel"/>
    <n v="16.2"/>
    <n v="2024"/>
  </r>
  <r>
    <x v="1"/>
    <s v="Todd"/>
    <n v="1"/>
    <x v="1"/>
    <s v="Rashee Rice"/>
    <n v="13.8"/>
    <n v="2024"/>
  </r>
  <r>
    <x v="1"/>
    <s v="Todd"/>
    <n v="1"/>
    <x v="2"/>
    <s v="De'Von Achane"/>
    <n v="19.5"/>
    <n v="2024"/>
  </r>
  <r>
    <x v="1"/>
    <s v="Todd"/>
    <n v="1"/>
    <x v="2"/>
    <s v="James Conner"/>
    <n v="17.8"/>
    <n v="2024"/>
  </r>
  <r>
    <x v="1"/>
    <s v="Todd"/>
    <n v="1"/>
    <x v="3"/>
    <s v="Pat Freiermuth"/>
    <n v="4.7"/>
    <n v="2024"/>
  </r>
  <r>
    <x v="1"/>
    <s v="Todd"/>
    <n v="1"/>
    <x v="4"/>
    <s v="Seattle"/>
    <n v="10"/>
    <n v="2024"/>
  </r>
  <r>
    <x v="1"/>
    <s v="Todd"/>
    <n v="1"/>
    <x v="5"/>
    <s v="Younghoe Koo"/>
    <n v="4"/>
    <n v="2024"/>
  </r>
  <r>
    <x v="2"/>
    <s v="Mike"/>
    <n v="1"/>
    <x v="0"/>
    <s v="Patrick Mahomes"/>
    <n v="14.64"/>
    <n v="2024"/>
  </r>
  <r>
    <x v="2"/>
    <s v="Mike"/>
    <n v="1"/>
    <x v="1"/>
    <s v="Davante Adams"/>
    <n v="8.4"/>
    <n v="2024"/>
  </r>
  <r>
    <x v="2"/>
    <s v="Mike"/>
    <n v="1"/>
    <x v="1"/>
    <s v="Mike Evans"/>
    <n v="20.6"/>
    <n v="2024"/>
  </r>
  <r>
    <x v="2"/>
    <s v="Mike"/>
    <n v="1"/>
    <x v="1"/>
    <s v="Khalil Shakir"/>
    <n v="11.7"/>
    <n v="2024"/>
  </r>
  <r>
    <x v="2"/>
    <s v="Mike"/>
    <n v="1"/>
    <x v="2"/>
    <s v="Derrick Henry"/>
    <n v="10.6"/>
    <n v="2024"/>
  </r>
  <r>
    <x v="2"/>
    <s v="Mike"/>
    <n v="1"/>
    <x v="2"/>
    <s v="Tyjae Spears"/>
    <n v="5.2"/>
    <n v="2024"/>
  </r>
  <r>
    <x v="2"/>
    <s v="Mike"/>
    <n v="1"/>
    <x v="3"/>
    <s v="Sam LaPorta"/>
    <n v="6.5"/>
    <n v="2024"/>
  </r>
  <r>
    <x v="2"/>
    <s v="Mike"/>
    <n v="1"/>
    <x v="5"/>
    <s v="Jason Sanders"/>
    <n v="9"/>
    <n v="2024"/>
  </r>
  <r>
    <x v="2"/>
    <s v="Mike"/>
    <n v="1"/>
    <x v="4"/>
    <s v="Buffalo"/>
    <n v="6"/>
    <n v="2024"/>
  </r>
  <r>
    <x v="3"/>
    <s v="Kevin"/>
    <n v="1"/>
    <x v="0"/>
    <s v="CJ Stroud"/>
    <n v="18.66"/>
    <n v="2024"/>
  </r>
  <r>
    <x v="3"/>
    <s v="Kevin"/>
    <n v="1"/>
    <x v="1"/>
    <s v="George Pickens"/>
    <n v="10.5"/>
    <n v="2024"/>
  </r>
  <r>
    <x v="3"/>
    <s v="Kevin"/>
    <n v="1"/>
    <x v="1"/>
    <s v="Chris Olave"/>
    <n v="2.1"/>
    <n v="2024"/>
  </r>
  <r>
    <x v="3"/>
    <s v="Kevin"/>
    <n v="1"/>
    <x v="1"/>
    <s v="Marvin Harrison Jr"/>
    <n v="0.9"/>
    <n v="2024"/>
  </r>
  <r>
    <x v="3"/>
    <s v="Kevin"/>
    <n v="1"/>
    <x v="2"/>
    <s v="Joe Mixon"/>
    <n v="25.3"/>
    <n v="2024"/>
  </r>
  <r>
    <x v="3"/>
    <s v="Kevin"/>
    <n v="1"/>
    <x v="2"/>
    <s v="Isiah Pacheco"/>
    <n v="14.8"/>
    <n v="2024"/>
  </r>
  <r>
    <x v="3"/>
    <s v="Kevin"/>
    <n v="1"/>
    <x v="3"/>
    <s v="Hunter Henry"/>
    <n v="2.8"/>
    <n v="2024"/>
  </r>
  <r>
    <x v="3"/>
    <s v="Kevin"/>
    <n v="1"/>
    <x v="5"/>
    <s v="Justin Tucker"/>
    <n v="8"/>
    <n v="2024"/>
  </r>
  <r>
    <x v="3"/>
    <s v="Kevin"/>
    <n v="1"/>
    <x v="4"/>
    <s v="Minnesota"/>
    <n v="23"/>
    <n v="2024"/>
  </r>
  <r>
    <x v="4"/>
    <s v="Eli"/>
    <n v="1"/>
    <x v="0"/>
    <s v="Jalen Hurts"/>
    <n v="16.420000000000002"/>
    <n v="2024"/>
  </r>
  <r>
    <x v="4"/>
    <s v="Eli"/>
    <n v="1"/>
    <x v="1"/>
    <s v="Justin Jefferson"/>
    <n v="13.9"/>
    <n v="2024"/>
  </r>
  <r>
    <x v="4"/>
    <s v="Eli"/>
    <n v="1"/>
    <x v="1"/>
    <s v="DJ Moore"/>
    <n v="7.5"/>
    <n v="2024"/>
  </r>
  <r>
    <x v="4"/>
    <s v="Eli"/>
    <n v="1"/>
    <x v="1"/>
    <s v="DeMario Douglas"/>
    <n v="2.2000000000000002"/>
    <n v="2024"/>
  </r>
  <r>
    <x v="4"/>
    <s v="Eli"/>
    <n v="1"/>
    <x v="2"/>
    <s v="Bijan Robinson"/>
    <n v="13.6"/>
    <n v="2024"/>
  </r>
  <r>
    <x v="4"/>
    <s v="Eli"/>
    <n v="1"/>
    <x v="2"/>
    <s v="Jaylen Warren"/>
    <n v="3"/>
    <n v="2024"/>
  </r>
  <r>
    <x v="4"/>
    <s v="Eli"/>
    <n v="1"/>
    <x v="3"/>
    <s v="David Njoku"/>
    <n v="6.4"/>
    <n v="2024"/>
  </r>
  <r>
    <x v="4"/>
    <s v="Eli"/>
    <n v="1"/>
    <x v="5"/>
    <s v="Jake Moody"/>
    <n v="26"/>
    <n v="2024"/>
  </r>
  <r>
    <x v="4"/>
    <s v="Eli"/>
    <n v="1"/>
    <x v="4"/>
    <s v="NYJ"/>
    <n v="-2"/>
    <n v="2024"/>
  </r>
  <r>
    <x v="5"/>
    <s v="Burnett/Jasjaap"/>
    <n v="1"/>
    <x v="0"/>
    <s v="Brock Purdy"/>
    <n v="10.34"/>
    <n v="2024"/>
  </r>
  <r>
    <x v="5"/>
    <s v="Burnett/Jasjaap"/>
    <n v="1"/>
    <x v="1"/>
    <s v="CeeDee Lamb"/>
    <n v="11.1"/>
    <n v="2024"/>
  </r>
  <r>
    <x v="5"/>
    <s v="Burnett/Jasjaap"/>
    <n v="1"/>
    <x v="1"/>
    <s v="Jaylen Waddle"/>
    <n v="13.7"/>
    <n v="2024"/>
  </r>
  <r>
    <x v="5"/>
    <s v="Burnett/Jasjaap"/>
    <n v="1"/>
    <x v="1"/>
    <s v="Puka Nacua"/>
    <n v="6.2"/>
    <n v="2024"/>
  </r>
  <r>
    <x v="5"/>
    <s v="Burnett/Jasjaap"/>
    <n v="1"/>
    <x v="2"/>
    <s v="Josh Jacobs"/>
    <n v="11.4"/>
    <n v="2024"/>
  </r>
  <r>
    <x v="5"/>
    <s v="Burnett/Jasjaap"/>
    <n v="1"/>
    <x v="2"/>
    <s v="David Montgomery"/>
    <n v="15.8"/>
    <n v="2024"/>
  </r>
  <r>
    <x v="5"/>
    <s v="Burnett/Jasjaap"/>
    <n v="1"/>
    <x v="3"/>
    <s v="Brock Bowers"/>
    <n v="8.8000000000000007"/>
    <n v="2024"/>
  </r>
  <r>
    <x v="5"/>
    <s v="Burnett/Jasjaap"/>
    <n v="1"/>
    <x v="5"/>
    <s v="Jake Elliott"/>
    <n v="10"/>
    <n v="2024"/>
  </r>
  <r>
    <x v="5"/>
    <s v="Burnett/Jasjaap"/>
    <n v="1"/>
    <x v="4"/>
    <s v="Pittsburgh"/>
    <n v="13"/>
    <n v="2024"/>
  </r>
  <r>
    <x v="6"/>
    <s v="Will"/>
    <n v="1"/>
    <x v="0"/>
    <s v="Caleb Williams"/>
    <n v="7.22"/>
    <n v="2024"/>
  </r>
  <r>
    <x v="6"/>
    <s v="Will"/>
    <n v="1"/>
    <x v="1"/>
    <s v="Ladd McConkey"/>
    <n v="12.4"/>
    <n v="2024"/>
  </r>
  <r>
    <x v="6"/>
    <s v="Will"/>
    <n v="1"/>
    <x v="1"/>
    <s v="Amon-Ra St. Brown"/>
    <n v="2.8"/>
    <n v="2024"/>
  </r>
  <r>
    <x v="6"/>
    <s v="Will"/>
    <n v="1"/>
    <x v="1"/>
    <s v="Drake London"/>
    <n v="2.5"/>
    <n v="2024"/>
  </r>
  <r>
    <x v="6"/>
    <s v="Will"/>
    <n v="1"/>
    <x v="2"/>
    <s v="Travis Etienne"/>
    <n v="10.9"/>
    <n v="2024"/>
  </r>
  <r>
    <x v="6"/>
    <s v="Will"/>
    <n v="1"/>
    <x v="2"/>
    <s v="Zamir White"/>
    <n v="3.6"/>
    <n v="2024"/>
  </r>
  <r>
    <x v="6"/>
    <s v="Will"/>
    <n v="1"/>
    <x v="3"/>
    <s v="Kyle Pitts"/>
    <n v="10.1"/>
    <n v="2024"/>
  </r>
  <r>
    <x v="6"/>
    <s v="Will"/>
    <n v="1"/>
    <x v="5"/>
    <s v="Jason Myers"/>
    <n v="10"/>
    <n v="2024"/>
  </r>
  <r>
    <x v="6"/>
    <s v="Will"/>
    <n v="1"/>
    <x v="4"/>
    <s v="Houston"/>
    <n v="3"/>
    <n v="2024"/>
  </r>
  <r>
    <x v="7"/>
    <s v="Jay"/>
    <n v="1"/>
    <x v="0"/>
    <s v="Lamar Jackson"/>
    <n v="25.12"/>
    <n v="2024"/>
  </r>
  <r>
    <x v="7"/>
    <s v="Jay"/>
    <n v="1"/>
    <x v="1"/>
    <s v="Stefon Diggs"/>
    <n v="18.899999999999999"/>
    <n v="2024"/>
  </r>
  <r>
    <x v="7"/>
    <s v="Jay"/>
    <n v="1"/>
    <x v="1"/>
    <s v="Christian Kirk"/>
    <n v="3.5"/>
    <n v="2024"/>
  </r>
  <r>
    <x v="7"/>
    <s v="Jay"/>
    <n v="1"/>
    <x v="1"/>
    <s v="Amari Cooper"/>
    <n v="2.6"/>
    <n v="2024"/>
  </r>
  <r>
    <x v="7"/>
    <s v="Jay"/>
    <n v="1"/>
    <x v="2"/>
    <s v="Alvin Kamara"/>
    <n v="19.5"/>
    <n v="2024"/>
  </r>
  <r>
    <x v="7"/>
    <s v="Jay"/>
    <n v="1"/>
    <x v="2"/>
    <s v="Jonathan Taylor"/>
    <n v="10.8"/>
    <n v="2024"/>
  </r>
  <r>
    <x v="7"/>
    <s v="Jay"/>
    <n v="1"/>
    <x v="3"/>
    <s v="Mark Andrews"/>
    <n v="2.4"/>
    <n v="2024"/>
  </r>
  <r>
    <x v="7"/>
    <s v="Jay"/>
    <n v="1"/>
    <x v="5"/>
    <s v="Ka'imi Fairbairn"/>
    <n v="17"/>
    <n v="2024"/>
  </r>
  <r>
    <x v="7"/>
    <s v="Jay"/>
    <n v="1"/>
    <x v="4"/>
    <s v="LA Chargers"/>
    <n v="15"/>
    <n v="2024"/>
  </r>
  <r>
    <x v="8"/>
    <s v="Schulwolf"/>
    <n v="1"/>
    <x v="0"/>
    <s v="Jordan Love"/>
    <n v="16.399999999999999"/>
    <n v="2024"/>
  </r>
  <r>
    <x v="8"/>
    <s v="Schulwolf"/>
    <n v="1"/>
    <x v="1"/>
    <s v="Cooper Kupp"/>
    <n v="25"/>
    <n v="2024"/>
  </r>
  <r>
    <x v="8"/>
    <s v="Schulwolf"/>
    <n v="1"/>
    <x v="1"/>
    <s v="DeVonta Smith"/>
    <n v="11.9"/>
    <n v="2024"/>
  </r>
  <r>
    <x v="8"/>
    <s v="Schulwolf"/>
    <n v="1"/>
    <x v="1"/>
    <s v="Chris Godwin"/>
    <n v="18.3"/>
    <n v="2024"/>
  </r>
  <r>
    <x v="8"/>
    <s v="Schulwolf"/>
    <n v="1"/>
    <x v="2"/>
    <s v="Jahmyr Gibbs"/>
    <n v="15.4"/>
    <n v="2024"/>
  </r>
  <r>
    <x v="8"/>
    <s v="Schulwolf"/>
    <n v="1"/>
    <x v="2"/>
    <s v="James Cook"/>
    <n v="11.8"/>
    <n v="2024"/>
  </r>
  <r>
    <x v="8"/>
    <s v="Schulwolf"/>
    <n v="1"/>
    <x v="3"/>
    <s v="Dalton Kincaid"/>
    <n v="1.6"/>
    <n v="2024"/>
  </r>
  <r>
    <x v="8"/>
    <s v="Schulwolf"/>
    <n v="1"/>
    <x v="5"/>
    <s v="Brandon Aubrey"/>
    <n v="21"/>
    <n v="2024"/>
  </r>
  <r>
    <x v="8"/>
    <s v="Schulwolf"/>
    <n v="1"/>
    <x v="4"/>
    <s v="Dallas"/>
    <n v="18"/>
    <n v="2024"/>
  </r>
  <r>
    <x v="9"/>
    <s v="Tommy"/>
    <n v="1"/>
    <x v="0"/>
    <s v="Josh Allen"/>
    <n v="31.18"/>
    <n v="2024"/>
  </r>
  <r>
    <x v="9"/>
    <s v="Tommy"/>
    <n v="1"/>
    <x v="1"/>
    <s v="Malik Nabers"/>
    <n v="9.1"/>
    <n v="2024"/>
  </r>
  <r>
    <x v="9"/>
    <s v="Tommy"/>
    <n v="1"/>
    <x v="1"/>
    <s v="DK Metcalf"/>
    <n v="4.4000000000000004"/>
    <n v="2024"/>
  </r>
  <r>
    <x v="9"/>
    <s v="Tommy"/>
    <n v="1"/>
    <x v="1"/>
    <s v="Romeo Doubs"/>
    <n v="7"/>
    <n v="2024"/>
  </r>
  <r>
    <x v="9"/>
    <s v="Tommy"/>
    <n v="1"/>
    <x v="2"/>
    <s v="Saquon Barkley"/>
    <n v="32.200000000000003"/>
    <n v="2024"/>
  </r>
  <r>
    <x v="9"/>
    <s v="Tommy"/>
    <n v="1"/>
    <x v="2"/>
    <s v="Rachaad White"/>
    <n v="13.6"/>
    <n v="2024"/>
  </r>
  <r>
    <x v="9"/>
    <s v="Tommy"/>
    <n v="1"/>
    <x v="3"/>
    <s v="Evan Engram"/>
    <n v="1"/>
    <n v="2024"/>
  </r>
  <r>
    <x v="9"/>
    <s v="Tommy"/>
    <n v="1"/>
    <x v="5"/>
    <s v="Harrison Butker"/>
    <n v="9"/>
    <n v="2024"/>
  </r>
  <r>
    <x v="9"/>
    <s v="Tommy"/>
    <n v="1"/>
    <x v="4"/>
    <s v="San Francisco"/>
    <n v="7"/>
    <n v="2024"/>
  </r>
  <r>
    <x v="10"/>
    <s v="Brand"/>
    <n v="1"/>
    <x v="0"/>
    <s v="Anthony Richardson"/>
    <n v="26.08"/>
    <n v="2024"/>
  </r>
  <r>
    <x v="10"/>
    <s v="Brand"/>
    <n v="1"/>
    <x v="1"/>
    <s v="Jameson Williams"/>
    <n v="21.9"/>
    <n v="2024"/>
  </r>
  <r>
    <x v="10"/>
    <s v="Brand"/>
    <n v="1"/>
    <x v="1"/>
    <s v="Christian Watson"/>
    <n v="8.8000000000000007"/>
    <n v="2024"/>
  </r>
  <r>
    <x v="10"/>
    <s v="Brand"/>
    <n v="1"/>
    <x v="1"/>
    <s v="Garrett Wilson"/>
    <n v="9"/>
    <n v="2024"/>
  </r>
  <r>
    <x v="10"/>
    <s v="Brand"/>
    <n v="1"/>
    <x v="2"/>
    <s v="Kenneth Walker"/>
    <n v="17.899999999999999"/>
    <n v="2024"/>
  </r>
  <r>
    <x v="10"/>
    <s v="Brand"/>
    <n v="1"/>
    <x v="2"/>
    <s v="Breece Hall"/>
    <n v="15.8"/>
    <n v="2024"/>
  </r>
  <r>
    <x v="10"/>
    <s v="Brand"/>
    <n v="1"/>
    <x v="3"/>
    <s v="Dallas Goedert"/>
    <n v="5.0999999999999996"/>
    <n v="2024"/>
  </r>
  <r>
    <x v="10"/>
    <s v="Brand"/>
    <n v="1"/>
    <x v="5"/>
    <s v="Cairo Santos"/>
    <n v="13"/>
    <n v="2024"/>
  </r>
  <r>
    <x v="10"/>
    <s v="Brand"/>
    <n v="1"/>
    <x v="4"/>
    <s v="New Orleans"/>
    <n v="17"/>
    <n v="2024"/>
  </r>
  <r>
    <x v="11"/>
    <s v="Cam"/>
    <n v="1"/>
    <x v="0"/>
    <s v="Joe Burrow"/>
    <n v="8.06"/>
    <n v="2024"/>
  </r>
  <r>
    <x v="11"/>
    <s v="Cam"/>
    <n v="1"/>
    <x v="1"/>
    <s v="Ja'Marr Chase"/>
    <n v="9.1999999999999993"/>
    <n v="2024"/>
  </r>
  <r>
    <x v="11"/>
    <s v="Cam"/>
    <n v="1"/>
    <x v="1"/>
    <s v="Nico Collins"/>
    <n v="14.7"/>
    <n v="2024"/>
  </r>
  <r>
    <x v="11"/>
    <s v="Cam"/>
    <n v="1"/>
    <x v="1"/>
    <s v="Andrei Iosivas"/>
    <n v="4.0999999999999996"/>
    <n v="2024"/>
  </r>
  <r>
    <x v="11"/>
    <s v="Cam"/>
    <n v="1"/>
    <x v="2"/>
    <s v="Rhamondre Stevenson"/>
    <n v="20.100000000000001"/>
    <n v="2024"/>
  </r>
  <r>
    <x v="11"/>
    <s v="Cam"/>
    <n v="1"/>
    <x v="2"/>
    <s v="Aaron Jones"/>
    <n v="17.899999999999999"/>
    <n v="2024"/>
  </r>
  <r>
    <x v="11"/>
    <s v="Cam"/>
    <n v="1"/>
    <x v="3"/>
    <s v="George Kittle"/>
    <n v="6"/>
    <n v="2024"/>
  </r>
  <r>
    <x v="11"/>
    <s v="Cam"/>
    <n v="1"/>
    <x v="5"/>
    <s v="Evan McPherson"/>
    <n v="6"/>
    <n v="2024"/>
  </r>
  <r>
    <x v="11"/>
    <s v="Cam"/>
    <n v="1"/>
    <x v="4"/>
    <s v="Atlanta"/>
    <n v="4"/>
    <n v="2024"/>
  </r>
  <r>
    <x v="0"/>
    <s v="Brenton"/>
    <n v="2"/>
    <x v="0"/>
    <s v="Baker Mayfield"/>
    <n v="18.8"/>
    <n v="2024"/>
  </r>
  <r>
    <x v="0"/>
    <s v="Brenton"/>
    <n v="2"/>
    <x v="1"/>
    <s v="Tyreek Hill"/>
    <n v="5.0999999999999996"/>
    <n v="2024"/>
  </r>
  <r>
    <x v="0"/>
    <s v="Brenton"/>
    <n v="2"/>
    <x v="1"/>
    <s v="Zay Flowers"/>
    <n v="18.600000000000001"/>
    <n v="2024"/>
  </r>
  <r>
    <x v="0"/>
    <s v="Brenton"/>
    <n v="2"/>
    <x v="1"/>
    <s v="Jayden Reed"/>
    <n v="5.6"/>
    <n v="2024"/>
  </r>
  <r>
    <x v="0"/>
    <s v="Brenton"/>
    <n v="2"/>
    <x v="2"/>
    <s v="Ezekiel Elliott"/>
    <n v="4.2"/>
    <n v="2024"/>
  </r>
  <r>
    <x v="0"/>
    <s v="Brenton"/>
    <n v="2"/>
    <x v="2"/>
    <s v="Jerome Ford"/>
    <n v="6.9"/>
    <n v="2024"/>
  </r>
  <r>
    <x v="0"/>
    <s v="Brenton"/>
    <n v="2"/>
    <x v="3"/>
    <s v="Trey McBride"/>
    <n v="15.7"/>
    <n v="2024"/>
  </r>
  <r>
    <x v="0"/>
    <s v="Brenton"/>
    <n v="2"/>
    <x v="4"/>
    <s v="Tyler Bass"/>
    <n v="7"/>
    <n v="2024"/>
  </r>
  <r>
    <x v="0"/>
    <s v="Brenton"/>
    <n v="2"/>
    <x v="5"/>
    <s v="Jacksonville"/>
    <n v="4"/>
    <n v="2024"/>
  </r>
  <r>
    <x v="2"/>
    <s v="Mike"/>
    <n v="2"/>
    <x v="0"/>
    <s v="Patrick Mahomes"/>
    <n v="12.94"/>
    <n v="2024"/>
  </r>
  <r>
    <x v="2"/>
    <s v="Mike"/>
    <n v="2"/>
    <x v="1"/>
    <s v="Davante Adams"/>
    <n v="21.5"/>
    <n v="2024"/>
  </r>
  <r>
    <x v="2"/>
    <s v="Mike"/>
    <n v="2"/>
    <x v="1"/>
    <s v="Mike Evans"/>
    <n v="5.7"/>
    <n v="2024"/>
  </r>
  <r>
    <x v="2"/>
    <s v="Mike"/>
    <n v="2"/>
    <x v="1"/>
    <s v="Khalil Shakir"/>
    <n v="8.1"/>
    <n v="2024"/>
  </r>
  <r>
    <x v="2"/>
    <s v="Mike"/>
    <n v="2"/>
    <x v="2"/>
    <s v="Derrick Henry"/>
    <n v="16.100000000000001"/>
    <n v="2024"/>
  </r>
  <r>
    <x v="2"/>
    <s v="Mike"/>
    <n v="2"/>
    <x v="2"/>
    <s v="Tyjae Spears"/>
    <n v="4.0999999999999996"/>
    <n v="2024"/>
  </r>
  <r>
    <x v="2"/>
    <s v="Mike"/>
    <n v="2"/>
    <x v="3"/>
    <s v="Sam LaPorta"/>
    <n v="2.2999999999999998"/>
    <n v="2024"/>
  </r>
  <r>
    <x v="2"/>
    <s v="Mike"/>
    <n v="2"/>
    <x v="4"/>
    <s v="Buffalo"/>
    <n v="17"/>
    <n v="2024"/>
  </r>
  <r>
    <x v="2"/>
    <s v="Mike"/>
    <n v="2"/>
    <x v="5"/>
    <s v="Jason Sanders"/>
    <n v="4"/>
    <n v="2024"/>
  </r>
  <r>
    <x v="1"/>
    <s v="Todd"/>
    <n v="2"/>
    <x v="0"/>
    <s v="Dak Prescott"/>
    <n v="12.92"/>
    <n v="2024"/>
  </r>
  <r>
    <x v="1"/>
    <s v="Todd"/>
    <n v="2"/>
    <x v="1"/>
    <s v="Deebo Samuel"/>
    <n v="14"/>
    <n v="2024"/>
  </r>
  <r>
    <x v="1"/>
    <s v="Todd"/>
    <n v="2"/>
    <x v="1"/>
    <s v="Rashee Rice"/>
    <n v="16"/>
    <n v="2024"/>
  </r>
  <r>
    <x v="1"/>
    <s v="Todd"/>
    <n v="2"/>
    <x v="1"/>
    <s v="Calvin Ridley"/>
    <n v="22.7"/>
    <n v="2024"/>
  </r>
  <r>
    <x v="1"/>
    <s v="Todd"/>
    <n v="2"/>
    <x v="2"/>
    <s v="De'Von Achane"/>
    <n v="26"/>
    <n v="2024"/>
  </r>
  <r>
    <x v="1"/>
    <s v="Todd"/>
    <n v="2"/>
    <x v="2"/>
    <s v="James Conner"/>
    <n v="18.899999999999999"/>
    <n v="2024"/>
  </r>
  <r>
    <x v="1"/>
    <s v="Todd"/>
    <n v="2"/>
    <x v="3"/>
    <s v="Kyle Pitts"/>
    <n v="3.5"/>
    <n v="2024"/>
  </r>
  <r>
    <x v="1"/>
    <s v="Todd"/>
    <n v="2"/>
    <x v="4"/>
    <s v="Seattle"/>
    <n v="5"/>
    <n v="2024"/>
  </r>
  <r>
    <x v="1"/>
    <s v="Todd"/>
    <n v="2"/>
    <x v="5"/>
    <s v="Chris Boswell"/>
    <n v="9"/>
    <n v="2024"/>
  </r>
  <r>
    <x v="7"/>
    <s v="Jay"/>
    <n v="2"/>
    <x v="0"/>
    <s v="Lamar Jackson"/>
    <n v="16.38"/>
    <n v="2024"/>
  </r>
  <r>
    <x v="7"/>
    <s v="Jay"/>
    <n v="2"/>
    <x v="1"/>
    <s v="Stefon Diggs"/>
    <n v="5.7"/>
    <n v="2024"/>
  </r>
  <r>
    <x v="7"/>
    <s v="Jay"/>
    <n v="2"/>
    <x v="1"/>
    <s v="Amari Cooper"/>
    <n v="2.6"/>
    <n v="2024"/>
  </r>
  <r>
    <x v="7"/>
    <s v="Jay"/>
    <n v="2"/>
    <x v="1"/>
    <s v="Christian Kirk"/>
    <n v="0.4"/>
    <n v="2024"/>
  </r>
  <r>
    <x v="7"/>
    <s v="Jay"/>
    <n v="2"/>
    <x v="2"/>
    <s v="Alvin Kamara"/>
    <n v="43"/>
    <n v="2024"/>
  </r>
  <r>
    <x v="7"/>
    <s v="Jay"/>
    <n v="2"/>
    <x v="2"/>
    <s v="Jonathan Taylor"/>
    <n v="14.5"/>
    <n v="2024"/>
  </r>
  <r>
    <x v="7"/>
    <s v="Jay"/>
    <n v="2"/>
    <x v="3"/>
    <s v="Mark Andrews"/>
    <n v="7.1"/>
    <n v="2024"/>
  </r>
  <r>
    <x v="7"/>
    <s v="Jay"/>
    <n v="2"/>
    <x v="5"/>
    <s v="Ka'imi Fairbairn"/>
    <n v="20"/>
    <n v="2024"/>
  </r>
  <r>
    <x v="7"/>
    <s v="Jay"/>
    <n v="2"/>
    <x v="4"/>
    <s v="LA Chargers"/>
    <n v="14"/>
    <n v="2024"/>
  </r>
  <r>
    <x v="4"/>
    <s v="Eli"/>
    <n v="2"/>
    <x v="0"/>
    <s v="Jalen Hurts"/>
    <n v="23.82"/>
    <n v="2024"/>
  </r>
  <r>
    <x v="4"/>
    <s v="Eli"/>
    <n v="2"/>
    <x v="1"/>
    <s v="Justin Jefferson"/>
    <n v="21.3"/>
    <n v="2024"/>
  </r>
  <r>
    <x v="4"/>
    <s v="Eli"/>
    <n v="2"/>
    <x v="1"/>
    <s v="DJ Moore"/>
    <n v="8.3000000000000007"/>
    <n v="2024"/>
  </r>
  <r>
    <x v="4"/>
    <s v="Eli"/>
    <n v="2"/>
    <x v="1"/>
    <s v="Demarcus Robinson"/>
    <n v="6"/>
    <n v="2024"/>
  </r>
  <r>
    <x v="4"/>
    <s v="Eli"/>
    <n v="2"/>
    <x v="2"/>
    <s v="Bijan Robinson"/>
    <n v="14.2"/>
    <n v="2024"/>
  </r>
  <r>
    <x v="4"/>
    <s v="Eli"/>
    <n v="2"/>
    <x v="2"/>
    <s v="Jordan Mason"/>
    <n v="16.899999999999999"/>
    <n v="2024"/>
  </r>
  <r>
    <x v="4"/>
    <s v="Eli"/>
    <n v="2"/>
    <x v="3"/>
    <s v="Dalton Schultz"/>
    <n v="3.1"/>
    <n v="2024"/>
  </r>
  <r>
    <x v="4"/>
    <s v="Eli"/>
    <n v="2"/>
    <x v="5"/>
    <s v="Jake Moody"/>
    <n v="5"/>
    <n v="2024"/>
  </r>
  <r>
    <x v="4"/>
    <s v="Eli"/>
    <n v="2"/>
    <x v="4"/>
    <s v="NYJ"/>
    <n v="10"/>
    <n v="2024"/>
  </r>
  <r>
    <x v="6"/>
    <s v="Will"/>
    <n v="2"/>
    <x v="0"/>
    <s v="Geno Smith"/>
    <n v="17.88"/>
    <n v="2024"/>
  </r>
  <r>
    <x v="6"/>
    <s v="Will"/>
    <n v="2"/>
    <x v="1"/>
    <s v="Amon-Ra St. Brown"/>
    <n v="17.399999999999999"/>
    <n v="2024"/>
  </r>
  <r>
    <x v="6"/>
    <s v="Will"/>
    <n v="2"/>
    <x v="1"/>
    <s v="Drake London"/>
    <n v="14.4"/>
    <n v="2024"/>
  </r>
  <r>
    <x v="6"/>
    <s v="Will"/>
    <n v="2"/>
    <x v="1"/>
    <s v="Jaxon Smith-Njigba"/>
    <n v="17.7"/>
    <n v="2024"/>
  </r>
  <r>
    <x v="6"/>
    <s v="Will"/>
    <n v="2"/>
    <x v="2"/>
    <s v="Travis Etienne"/>
    <n v="13.3"/>
    <n v="2024"/>
  </r>
  <r>
    <x v="6"/>
    <s v="Will"/>
    <n v="2"/>
    <x v="2"/>
    <s v="Zach Charbonet"/>
    <n v="15.4"/>
    <n v="2024"/>
  </r>
  <r>
    <x v="6"/>
    <s v="Will"/>
    <n v="2"/>
    <x v="3"/>
    <s v="Travis Kelce"/>
    <n v="1.1000000000000001"/>
    <n v="2024"/>
  </r>
  <r>
    <x v="6"/>
    <s v="Will"/>
    <n v="2"/>
    <x v="5"/>
    <s v="Jason Myers"/>
    <n v="12"/>
    <n v="2024"/>
  </r>
  <r>
    <x v="6"/>
    <s v="Will"/>
    <n v="2"/>
    <x v="4"/>
    <s v="Houston"/>
    <n v="16"/>
    <n v="2024"/>
  </r>
  <r>
    <x v="8"/>
    <s v="Schulwolf"/>
    <n v="2"/>
    <x v="0"/>
    <s v="Jayden Daniels"/>
    <n v="13.44"/>
    <n v="2024"/>
  </r>
  <r>
    <x v="8"/>
    <s v="Schulwolf"/>
    <n v="2"/>
    <x v="1"/>
    <s v="Chris Godwin"/>
    <n v="21.2"/>
    <n v="2024"/>
  </r>
  <r>
    <x v="8"/>
    <s v="Schulwolf"/>
    <n v="2"/>
    <x v="1"/>
    <s v="DeVonta Smith"/>
    <n v="17.100000000000001"/>
    <n v="2024"/>
  </r>
  <r>
    <x v="8"/>
    <s v="Schulwolf"/>
    <n v="2"/>
    <x v="1"/>
    <s v="Cooper Kupp"/>
    <n v="5.7"/>
    <n v="2024"/>
  </r>
  <r>
    <x v="8"/>
    <s v="Schulwolf"/>
    <n v="2"/>
    <x v="2"/>
    <s v="James Cook"/>
    <n v="28"/>
    <n v="2024"/>
  </r>
  <r>
    <x v="8"/>
    <s v="Schulwolf"/>
    <n v="2"/>
    <x v="2"/>
    <s v="Jahmyr Gibbs"/>
    <n v="14.1"/>
    <n v="2024"/>
  </r>
  <r>
    <x v="8"/>
    <s v="Schulwolf"/>
    <n v="2"/>
    <x v="3"/>
    <s v="Dalton Kincaid"/>
    <n v="5.3"/>
    <n v="2024"/>
  </r>
  <r>
    <x v="8"/>
    <s v="Schulwolf"/>
    <n v="2"/>
    <x v="5"/>
    <s v="Brandon Aubrey"/>
    <n v="17"/>
    <n v="2024"/>
  </r>
  <r>
    <x v="8"/>
    <s v="Schulwolf"/>
    <n v="2"/>
    <x v="4"/>
    <s v="Dallas"/>
    <n v="-3"/>
    <n v="2024"/>
  </r>
  <r>
    <x v="3"/>
    <s v="Kevin"/>
    <n v="2"/>
    <x v="0"/>
    <s v="CJ Stroud"/>
    <n v="14.3"/>
    <n v="2024"/>
  </r>
  <r>
    <x v="3"/>
    <s v="Kevin"/>
    <n v="2"/>
    <x v="1"/>
    <s v="Marvin Harrison Jr"/>
    <n v="27"/>
    <n v="2024"/>
  </r>
  <r>
    <x v="3"/>
    <s v="Kevin"/>
    <n v="2"/>
    <x v="1"/>
    <s v="Chris Olave"/>
    <n v="10.8"/>
    <n v="2024"/>
  </r>
  <r>
    <x v="3"/>
    <s v="Kevin"/>
    <n v="2"/>
    <x v="1"/>
    <s v="George Pickens"/>
    <n v="3.9"/>
    <n v="2024"/>
  </r>
  <r>
    <x v="3"/>
    <s v="Kevin"/>
    <n v="2"/>
    <x v="2"/>
    <s v="Isiah Pacheco"/>
    <n v="13.6"/>
    <n v="2024"/>
  </r>
  <r>
    <x v="3"/>
    <s v="Kevin"/>
    <n v="2"/>
    <x v="2"/>
    <s v="Najee Harris"/>
    <n v="7.9"/>
    <n v="2024"/>
  </r>
  <r>
    <x v="3"/>
    <s v="Kevin"/>
    <n v="2"/>
    <x v="3"/>
    <s v="Hunter Henry"/>
    <n v="14.9"/>
    <n v="2024"/>
  </r>
  <r>
    <x v="3"/>
    <s v="Kevin"/>
    <n v="2"/>
    <x v="5"/>
    <s v="Justin Tucker"/>
    <n v="13"/>
    <n v="2024"/>
  </r>
  <r>
    <x v="3"/>
    <s v="Kevin"/>
    <n v="2"/>
    <x v="4"/>
    <s v="Cleveland"/>
    <n v="9"/>
    <n v="2024"/>
  </r>
  <r>
    <x v="10"/>
    <s v="Brand"/>
    <n v="2"/>
    <x v="0"/>
    <s v="Anthony Richardson"/>
    <n v="9.86"/>
    <n v="2024"/>
  </r>
  <r>
    <x v="10"/>
    <s v="Brand"/>
    <n v="2"/>
    <x v="1"/>
    <s v="Jameson Williams"/>
    <n v="11.9"/>
    <n v="2024"/>
  </r>
  <r>
    <x v="10"/>
    <s v="Brand"/>
    <n v="2"/>
    <x v="1"/>
    <s v="Garrett Wilson"/>
    <n v="8.1999999999999993"/>
    <n v="2024"/>
  </r>
  <r>
    <x v="10"/>
    <s v="Brand"/>
    <n v="2"/>
    <x v="1"/>
    <s v="Michael Pittman"/>
    <n v="3.6"/>
    <n v="2024"/>
  </r>
  <r>
    <x v="10"/>
    <s v="Brand"/>
    <n v="2"/>
    <x v="2"/>
    <s v="Breece Hall"/>
    <n v="20.9"/>
    <n v="2024"/>
  </r>
  <r>
    <x v="10"/>
    <s v="Brand"/>
    <n v="2"/>
    <x v="2"/>
    <s v="Bucky Irving"/>
    <n v="2.2000000000000002"/>
    <n v="2024"/>
  </r>
  <r>
    <x v="10"/>
    <s v="Brand"/>
    <n v="2"/>
    <x v="3"/>
    <s v="Dallas Goedert"/>
    <n v="5.3"/>
    <n v="2024"/>
  </r>
  <r>
    <x v="10"/>
    <s v="Brand"/>
    <n v="2"/>
    <x v="5"/>
    <s v="Cairo Santos"/>
    <n v="11"/>
    <n v="2024"/>
  </r>
  <r>
    <x v="10"/>
    <s v="Brand"/>
    <n v="2"/>
    <x v="4"/>
    <s v="Indianapolis"/>
    <n v="2"/>
    <n v="2024"/>
  </r>
  <r>
    <x v="9"/>
    <s v="Tommy"/>
    <n v="2"/>
    <x v="0"/>
    <s v="Josh Allen"/>
    <n v="9.76"/>
    <n v="2024"/>
  </r>
  <r>
    <x v="9"/>
    <s v="Tommy"/>
    <n v="2"/>
    <x v="1"/>
    <s v="DK Metcalf"/>
    <n v="23.9"/>
    <n v="2024"/>
  </r>
  <r>
    <x v="9"/>
    <s v="Tommy"/>
    <n v="2"/>
    <x v="1"/>
    <s v="Malik Nabers"/>
    <n v="23.7"/>
    <n v="2024"/>
  </r>
  <r>
    <x v="9"/>
    <s v="Tommy"/>
    <n v="2"/>
    <x v="1"/>
    <s v="Xavier Worthy"/>
    <n v="3.2"/>
    <n v="2024"/>
  </r>
  <r>
    <x v="9"/>
    <s v="Tommy"/>
    <n v="2"/>
    <x v="2"/>
    <s v="Saquon Barkley"/>
    <n v="15.6"/>
    <n v="2024"/>
  </r>
  <r>
    <x v="9"/>
    <s v="Tommy"/>
    <n v="2"/>
    <x v="2"/>
    <s v="Kyren Williams"/>
    <n v="13.2"/>
    <n v="2024"/>
  </r>
  <r>
    <x v="9"/>
    <s v="Tommy"/>
    <n v="2"/>
    <x v="3"/>
    <s v="Evan Engram"/>
    <n v="0"/>
    <n v="2024"/>
  </r>
  <r>
    <x v="9"/>
    <s v="Tommy"/>
    <n v="2"/>
    <x v="5"/>
    <s v="Harrison Butker"/>
    <n v="10"/>
    <n v="2024"/>
  </r>
  <r>
    <x v="9"/>
    <s v="Tommy"/>
    <n v="2"/>
    <x v="4"/>
    <s v="San Francisco"/>
    <n v="4"/>
    <n v="2024"/>
  </r>
  <r>
    <x v="11"/>
    <s v="Cam"/>
    <n v="2"/>
    <x v="0"/>
    <s v="Kyler Murray"/>
    <n v="28.54"/>
    <n v="2024"/>
  </r>
  <r>
    <x v="11"/>
    <s v="Cam"/>
    <n v="2"/>
    <x v="1"/>
    <s v="Nico Collins"/>
    <n v="23.5"/>
    <n v="2024"/>
  </r>
  <r>
    <x v="11"/>
    <s v="Cam"/>
    <n v="2"/>
    <x v="1"/>
    <s v="Ja'Marr Chase"/>
    <n v="5.5"/>
    <n v="2024"/>
  </r>
  <r>
    <x v="11"/>
    <s v="Cam"/>
    <n v="2"/>
    <x v="1"/>
    <s v="Brandon Aiyuk"/>
    <n v="6.3"/>
    <n v="2024"/>
  </r>
  <r>
    <x v="11"/>
    <s v="Cam"/>
    <n v="2"/>
    <x v="2"/>
    <s v="Rhamondre Stevenson"/>
    <n v="16"/>
    <n v="2024"/>
  </r>
  <r>
    <x v="11"/>
    <s v="Cam"/>
    <n v="2"/>
    <x v="2"/>
    <s v="JK Dobbins"/>
    <n v="19.600000000000001"/>
    <n v="2024"/>
  </r>
  <r>
    <x v="11"/>
    <s v="Cam"/>
    <n v="2"/>
    <x v="3"/>
    <s v="George Kittle"/>
    <n v="17.100000000000001"/>
    <n v="2024"/>
  </r>
  <r>
    <x v="11"/>
    <s v="Cam"/>
    <n v="2"/>
    <x v="5"/>
    <s v="Evan McPherson"/>
    <n v="15"/>
    <n v="2024"/>
  </r>
  <r>
    <x v="11"/>
    <s v="Cam"/>
    <n v="2"/>
    <x v="4"/>
    <s v="Baltimore"/>
    <n v="8"/>
    <n v="2024"/>
  </r>
  <r>
    <x v="5"/>
    <s v="Burnett/Jasjaap"/>
    <n v="2"/>
    <x v="0"/>
    <s v="Brock Purdy"/>
    <n v="13.96"/>
    <n v="2024"/>
  </r>
  <r>
    <x v="5"/>
    <s v="Burnett/Jasjaap"/>
    <n v="2"/>
    <x v="1"/>
    <s v="CeeDee Lamb"/>
    <n v="17"/>
    <n v="2024"/>
  </r>
  <r>
    <x v="5"/>
    <s v="Burnett/Jasjaap"/>
    <n v="2"/>
    <x v="1"/>
    <s v="Jaylen Waddle"/>
    <n v="6.5"/>
    <n v="2024"/>
  </r>
  <r>
    <x v="5"/>
    <s v="Burnett/Jasjaap"/>
    <n v="2"/>
    <x v="1"/>
    <s v="Rashid Shaheed"/>
    <n v="18.899999999999999"/>
    <n v="2024"/>
  </r>
  <r>
    <x v="5"/>
    <s v="Burnett/Jasjaap"/>
    <n v="2"/>
    <x v="2"/>
    <s v="David Montgomery"/>
    <n v="15"/>
    <n v="2024"/>
  </r>
  <r>
    <x v="5"/>
    <s v="Burnett/Jasjaap"/>
    <n v="2"/>
    <x v="2"/>
    <s v="Josh Jacobs"/>
    <n v="13.1"/>
    <n v="2024"/>
  </r>
  <r>
    <x v="5"/>
    <s v="Burnett/Jasjaap"/>
    <n v="2"/>
    <x v="3"/>
    <s v="Brock Bowers"/>
    <n v="14.3"/>
    <n v="2024"/>
  </r>
  <r>
    <x v="5"/>
    <s v="Burnett/Jasjaap"/>
    <n v="2"/>
    <x v="5"/>
    <s v="Jake Elliott"/>
    <n v="7"/>
    <n v="2024"/>
  </r>
  <r>
    <x v="5"/>
    <s v="Burnett/Jasjaap"/>
    <n v="2"/>
    <x v="4"/>
    <s v="Pittsburgh"/>
    <n v="14"/>
    <n v="2024"/>
  </r>
  <r>
    <x v="0"/>
    <s v="Brenton"/>
    <n v="3"/>
    <x v="0"/>
    <s v="Derek Carr"/>
    <n v="7.98"/>
    <n v="2024"/>
  </r>
  <r>
    <x v="0"/>
    <s v="Brenton"/>
    <n v="3"/>
    <x v="1"/>
    <s v="Tyreek Hill"/>
    <n v="5.5"/>
    <n v="2024"/>
  </r>
  <r>
    <x v="0"/>
    <s v="Brenton"/>
    <n v="3"/>
    <x v="1"/>
    <s v="Zay Flowers"/>
    <n v="3.8"/>
    <n v="2024"/>
  </r>
  <r>
    <x v="0"/>
    <s v="Brenton"/>
    <n v="3"/>
    <x v="1"/>
    <s v="Jayden Reed"/>
    <n v="8.9"/>
    <n v="2024"/>
  </r>
  <r>
    <x v="0"/>
    <s v="Brenton"/>
    <n v="3"/>
    <x v="2"/>
    <s v="Cam Akers"/>
    <n v="9.4"/>
    <n v="2024"/>
  </r>
  <r>
    <x v="0"/>
    <s v="Brenton"/>
    <n v="3"/>
    <x v="2"/>
    <s v="Jerome Ford"/>
    <n v="8.5"/>
    <n v="2024"/>
  </r>
  <r>
    <x v="0"/>
    <s v="Brenton"/>
    <n v="3"/>
    <x v="3"/>
    <s v="Trey McBride"/>
    <n v="4"/>
    <n v="2024"/>
  </r>
  <r>
    <x v="0"/>
    <s v="Brenton"/>
    <n v="3"/>
    <x v="5"/>
    <s v="Tyler Bass"/>
    <n v="11"/>
    <n v="2024"/>
  </r>
  <r>
    <x v="0"/>
    <s v="Brenton"/>
    <n v="3"/>
    <x v="4"/>
    <s v="Tampa Bay"/>
    <n v="1"/>
    <n v="2024"/>
  </r>
  <r>
    <x v="3"/>
    <s v="Kevin"/>
    <n v="3"/>
    <x v="0"/>
    <s v="CJ Stroud"/>
    <n v="9.8000000000000007"/>
    <n v="2024"/>
  </r>
  <r>
    <x v="3"/>
    <s v="Kevin"/>
    <n v="3"/>
    <x v="1"/>
    <s v="Chris Olave"/>
    <n v="17.600000000000001"/>
    <n v="2024"/>
  </r>
  <r>
    <x v="3"/>
    <s v="Kevin"/>
    <n v="3"/>
    <x v="1"/>
    <s v="Marvin Harrison Jr"/>
    <n v="14.9"/>
    <n v="2024"/>
  </r>
  <r>
    <x v="3"/>
    <s v="Kevin"/>
    <n v="3"/>
    <x v="1"/>
    <s v="George Pickens"/>
    <n v="8.1999999999999993"/>
    <n v="2024"/>
  </r>
  <r>
    <x v="3"/>
    <s v="Kevin"/>
    <n v="3"/>
    <x v="2"/>
    <s v="Najee Harris"/>
    <n v="11.1"/>
    <n v="2024"/>
  </r>
  <r>
    <x v="3"/>
    <s v="Kevin"/>
    <n v="3"/>
    <x v="2"/>
    <s v="Joe Mixon"/>
    <n v="0"/>
    <n v="2024"/>
  </r>
  <r>
    <x v="3"/>
    <s v="Kevin"/>
    <n v="3"/>
    <x v="3"/>
    <s v="Hunter Henry"/>
    <n v="1.9"/>
    <n v="2024"/>
  </r>
  <r>
    <x v="3"/>
    <s v="Kevin"/>
    <n v="3"/>
    <x v="5"/>
    <s v="Justin Tucker"/>
    <n v="3"/>
    <n v="2024"/>
  </r>
  <r>
    <x v="3"/>
    <s v="Kevin"/>
    <n v="3"/>
    <x v="4"/>
    <s v="Cleveland"/>
    <n v="5"/>
    <n v="2024"/>
  </r>
  <r>
    <x v="2"/>
    <s v="Mike"/>
    <n v="3"/>
    <x v="0"/>
    <s v="Patrick Mahomes"/>
    <n v="16.38"/>
    <n v="2024"/>
  </r>
  <r>
    <x v="2"/>
    <s v="Mike"/>
    <n v="3"/>
    <x v="1"/>
    <s v="Tank Dell"/>
    <n v="8.6999999999999993"/>
    <n v="2024"/>
  </r>
  <r>
    <x v="2"/>
    <s v="Mike"/>
    <n v="3"/>
    <x v="1"/>
    <s v="Davante Adams"/>
    <n v="6"/>
    <n v="2024"/>
  </r>
  <r>
    <x v="2"/>
    <s v="Mike"/>
    <n v="3"/>
    <x v="1"/>
    <s v="Khalil Shakir"/>
    <n v="16.2"/>
    <n v="2024"/>
  </r>
  <r>
    <x v="2"/>
    <s v="Mike"/>
    <n v="3"/>
    <x v="2"/>
    <s v="Derrick Henry"/>
    <n v="29.9"/>
    <n v="2024"/>
  </r>
  <r>
    <x v="2"/>
    <s v="Mike"/>
    <n v="3"/>
    <x v="2"/>
    <s v="Carson Steele"/>
    <n v="7.9"/>
    <n v="2024"/>
  </r>
  <r>
    <x v="2"/>
    <s v="Mike"/>
    <n v="3"/>
    <x v="3"/>
    <s v="Sam LaPorta"/>
    <n v="4.5999999999999996"/>
    <n v="2024"/>
  </r>
  <r>
    <x v="2"/>
    <s v="Mike"/>
    <n v="3"/>
    <x v="5"/>
    <s v="Younghoe Koo"/>
    <n v="7"/>
    <n v="2024"/>
  </r>
  <r>
    <x v="2"/>
    <s v="Mike"/>
    <n v="3"/>
    <x v="4"/>
    <s v="Buffalo"/>
    <n v="14"/>
    <n v="2024"/>
  </r>
  <r>
    <x v="7"/>
    <s v="Jay"/>
    <n v="3"/>
    <x v="0"/>
    <s v="Lamar Jackson"/>
    <n v="25.98"/>
    <n v="2024"/>
  </r>
  <r>
    <x v="7"/>
    <s v="Jay"/>
    <n v="3"/>
    <x v="1"/>
    <s v="Amari Cooper"/>
    <n v="24.1"/>
    <n v="2024"/>
  </r>
  <r>
    <x v="7"/>
    <s v="Jay"/>
    <n v="3"/>
    <x v="1"/>
    <s v="Stefon Diggs"/>
    <n v="14.92"/>
    <n v="2024"/>
  </r>
  <r>
    <x v="7"/>
    <s v="Jay"/>
    <n v="3"/>
    <x v="1"/>
    <s v="Tee Higgins"/>
    <n v="5.4"/>
    <n v="2024"/>
  </r>
  <r>
    <x v="7"/>
    <s v="Jay"/>
    <n v="3"/>
    <x v="2"/>
    <s v="Jonathan Taylor"/>
    <n v="26"/>
    <n v="2024"/>
  </r>
  <r>
    <x v="7"/>
    <s v="Jay"/>
    <n v="3"/>
    <x v="2"/>
    <s v="Alvin Kamara"/>
    <n v="14.2"/>
    <n v="2024"/>
  </r>
  <r>
    <x v="7"/>
    <s v="Jay"/>
    <n v="3"/>
    <x v="3"/>
    <s v="Mark Andrews"/>
    <n v="0"/>
    <n v="2024"/>
  </r>
  <r>
    <x v="7"/>
    <s v="Jay"/>
    <n v="3"/>
    <x v="5"/>
    <s v="Ka'imi Fairbairn"/>
    <n v="1"/>
    <n v="2024"/>
  </r>
  <r>
    <x v="7"/>
    <s v="Jay"/>
    <n v="3"/>
    <x v="4"/>
    <s v="Cincinnati"/>
    <n v="-3"/>
    <n v="2024"/>
  </r>
  <r>
    <x v="1"/>
    <s v="Todd"/>
    <n v="3"/>
    <x v="0"/>
    <s v="Dak Prescott"/>
    <n v="29.86"/>
    <n v="2024"/>
  </r>
  <r>
    <x v="1"/>
    <s v="Todd"/>
    <n v="3"/>
    <x v="1"/>
    <s v="Rashee Rice"/>
    <n v="23.1"/>
    <n v="2024"/>
  </r>
  <r>
    <x v="1"/>
    <s v="Todd"/>
    <n v="3"/>
    <x v="1"/>
    <s v="Brian Thomas Jr"/>
    <n v="7.3"/>
    <n v="2024"/>
  </r>
  <r>
    <x v="1"/>
    <s v="Todd"/>
    <n v="3"/>
    <x v="1"/>
    <s v="Calvin Ridley"/>
    <n v="1.4"/>
    <n v="2024"/>
  </r>
  <r>
    <x v="1"/>
    <s v="Todd"/>
    <n v="3"/>
    <x v="2"/>
    <s v="De'Von Achane"/>
    <n v="7.3"/>
    <n v="2024"/>
  </r>
  <r>
    <x v="1"/>
    <s v="Todd"/>
    <n v="3"/>
    <x v="2"/>
    <s v="D'Andre Swift"/>
    <n v="5.2"/>
    <n v="2024"/>
  </r>
  <r>
    <x v="1"/>
    <s v="Todd"/>
    <n v="3"/>
    <x v="3"/>
    <s v="Kyle Pitts"/>
    <n v="6.9"/>
    <n v="2024"/>
  </r>
  <r>
    <x v="1"/>
    <s v="Todd"/>
    <n v="3"/>
    <x v="5"/>
    <s v="Chris Boswell"/>
    <n v="8"/>
    <n v="2024"/>
  </r>
  <r>
    <x v="1"/>
    <s v="Todd"/>
    <n v="3"/>
    <x v="4"/>
    <s v="Las Vegas"/>
    <n v="-6"/>
    <n v="2024"/>
  </r>
  <r>
    <x v="4"/>
    <s v="Eli"/>
    <n v="3"/>
    <x v="0"/>
    <s v="Jalen Hurts"/>
    <n v="10.94"/>
    <n v="2024"/>
  </r>
  <r>
    <x v="4"/>
    <s v="Eli"/>
    <n v="3"/>
    <x v="1"/>
    <s v="Justin Jefferson"/>
    <n v="17.100000000000001"/>
    <n v="2024"/>
  </r>
  <r>
    <x v="4"/>
    <s v="Eli"/>
    <n v="3"/>
    <x v="1"/>
    <s v="Rome Odunze"/>
    <n v="20.399999999999999"/>
    <n v="2024"/>
  </r>
  <r>
    <x v="4"/>
    <s v="Eli"/>
    <n v="3"/>
    <x v="1"/>
    <s v="DJ Moore"/>
    <n v="11.2"/>
    <n v="2024"/>
  </r>
  <r>
    <x v="4"/>
    <s v="Eli"/>
    <n v="3"/>
    <x v="2"/>
    <s v="Bijan Robinson"/>
    <n v="12.2"/>
    <n v="2024"/>
  </r>
  <r>
    <x v="4"/>
    <s v="Eli"/>
    <n v="3"/>
    <x v="2"/>
    <s v="Jordan Mason"/>
    <n v="9.8000000000000007"/>
    <n v="2024"/>
  </r>
  <r>
    <x v="4"/>
    <s v="Eli"/>
    <n v="3"/>
    <x v="3"/>
    <s v="Dalton Schultz"/>
    <n v="2.1"/>
    <n v="2024"/>
  </r>
  <r>
    <x v="4"/>
    <s v="Eli"/>
    <n v="3"/>
    <x v="5"/>
    <s v="Jake Moody"/>
    <n v="6"/>
    <n v="2024"/>
  </r>
  <r>
    <x v="4"/>
    <s v="Eli"/>
    <n v="3"/>
    <x v="4"/>
    <s v="NYJ"/>
    <n v="19"/>
    <n v="2024"/>
  </r>
  <r>
    <x v="6"/>
    <s v="Will"/>
    <n v="3"/>
    <x v="0"/>
    <s v="Geno Smith"/>
    <n v="11.36"/>
    <n v="2024"/>
  </r>
  <r>
    <x v="6"/>
    <s v="Will"/>
    <n v="3"/>
    <x v="1"/>
    <s v="Amon-Ra St. Brown"/>
    <n v="17"/>
    <n v="2024"/>
  </r>
  <r>
    <x v="6"/>
    <s v="Will"/>
    <n v="3"/>
    <x v="1"/>
    <s v="Drake London"/>
    <n v="15.7"/>
    <n v="2024"/>
  </r>
  <r>
    <x v="6"/>
    <s v="Will"/>
    <n v="3"/>
    <x v="1"/>
    <s v="Ladd McConkey"/>
    <n v="5.9"/>
    <n v="2024"/>
  </r>
  <r>
    <x v="6"/>
    <s v="Will"/>
    <n v="3"/>
    <x v="2"/>
    <s v="Zach Charbonet"/>
    <n v="24.2"/>
    <n v="2024"/>
  </r>
  <r>
    <x v="6"/>
    <s v="Will"/>
    <n v="3"/>
    <x v="2"/>
    <s v="Travis Etienne"/>
    <n v="10.5"/>
    <n v="2024"/>
  </r>
  <r>
    <x v="6"/>
    <s v="Will"/>
    <n v="3"/>
    <x v="3"/>
    <s v="Travis Kelce"/>
    <n v="5"/>
    <n v="2024"/>
  </r>
  <r>
    <x v="6"/>
    <s v="Will"/>
    <n v="3"/>
    <x v="5"/>
    <s v="Jason Myers"/>
    <n v="8"/>
    <n v="2024"/>
  </r>
  <r>
    <x v="6"/>
    <s v="Will"/>
    <n v="3"/>
    <x v="4"/>
    <s v="Houston"/>
    <n v="4"/>
    <n v="2024"/>
  </r>
  <r>
    <x v="11"/>
    <s v="Cam"/>
    <n v="3"/>
    <x v="0"/>
    <s v="Joe Burrow"/>
    <n v="25.36"/>
    <n v="2024"/>
  </r>
  <r>
    <x v="11"/>
    <s v="Cam"/>
    <n v="3"/>
    <x v="1"/>
    <s v="Ja'Marr Chase"/>
    <n v="26.8"/>
    <n v="2024"/>
  </r>
  <r>
    <x v="11"/>
    <s v="Cam"/>
    <n v="3"/>
    <x v="1"/>
    <s v="Nico Collins"/>
    <n v="10.6"/>
    <n v="2024"/>
  </r>
  <r>
    <x v="11"/>
    <s v="Cam"/>
    <n v="3"/>
    <x v="1"/>
    <s v="Brandon Aiyuk"/>
    <n v="7.3"/>
    <n v="2024"/>
  </r>
  <r>
    <x v="11"/>
    <s v="Cam"/>
    <n v="3"/>
    <x v="2"/>
    <s v="Aaron Jones"/>
    <n v="23.3"/>
    <n v="2024"/>
  </r>
  <r>
    <x v="11"/>
    <s v="Cam"/>
    <n v="3"/>
    <x v="2"/>
    <s v="JK Dobbins"/>
    <n v="6.9"/>
    <n v="2024"/>
  </r>
  <r>
    <x v="11"/>
    <s v="Cam"/>
    <n v="3"/>
    <x v="3"/>
    <s v="Pat Freiermuth"/>
    <n v="5.3"/>
    <n v="2024"/>
  </r>
  <r>
    <x v="11"/>
    <s v="Cam"/>
    <n v="3"/>
    <x v="5"/>
    <s v="Evan McPherson"/>
    <n v="8"/>
    <n v="2024"/>
  </r>
  <r>
    <x v="11"/>
    <s v="Cam"/>
    <n v="3"/>
    <x v="4"/>
    <s v="Chicago"/>
    <n v="4"/>
    <n v="2024"/>
  </r>
  <r>
    <x v="8"/>
    <s v="Schulwolf"/>
    <n v="3"/>
    <x v="0"/>
    <s v="Jayden Daniels"/>
    <n v="28.06"/>
    <n v="2024"/>
  </r>
  <r>
    <x v="8"/>
    <s v="Schulwolf"/>
    <n v="3"/>
    <x v="1"/>
    <s v="Chris Godwin"/>
    <n v="14.3"/>
    <n v="2024"/>
  </r>
  <r>
    <x v="8"/>
    <s v="Schulwolf"/>
    <n v="3"/>
    <x v="1"/>
    <s v="DeVonta Smith"/>
    <n v="11.4"/>
    <n v="2024"/>
  </r>
  <r>
    <x v="8"/>
    <s v="Schulwolf"/>
    <n v="3"/>
    <x v="1"/>
    <s v="Jerry Jeudy"/>
    <n v="6.7"/>
    <n v="2024"/>
  </r>
  <r>
    <x v="8"/>
    <s v="Schulwolf"/>
    <n v="3"/>
    <x v="2"/>
    <s v="Zack Moss"/>
    <n v="18.2"/>
    <n v="2024"/>
  </r>
  <r>
    <x v="8"/>
    <s v="Schulwolf"/>
    <n v="3"/>
    <x v="2"/>
    <s v="James Cook"/>
    <n v="16.7"/>
    <n v="2024"/>
  </r>
  <r>
    <x v="8"/>
    <s v="Schulwolf"/>
    <n v="3"/>
    <x v="3"/>
    <s v="Dalton Kincaid"/>
    <n v="11.6"/>
    <n v="2024"/>
  </r>
  <r>
    <x v="8"/>
    <s v="Schulwolf"/>
    <n v="3"/>
    <x v="5"/>
    <s v="Brandon Aubrey"/>
    <n v="11"/>
    <n v="2024"/>
  </r>
  <r>
    <x v="8"/>
    <s v="Schulwolf"/>
    <n v="3"/>
    <x v="4"/>
    <s v="Dallas"/>
    <n v="-5"/>
    <n v="2024"/>
  </r>
  <r>
    <x v="10"/>
    <s v="Brand"/>
    <n v="3"/>
    <x v="0"/>
    <s v="Anthony Richardson"/>
    <n v="5.08"/>
    <n v="2024"/>
  </r>
  <r>
    <x v="10"/>
    <s v="Brand"/>
    <n v="3"/>
    <x v="1"/>
    <s v="Garrett Wilson"/>
    <n v="11.8"/>
    <n v="2024"/>
  </r>
  <r>
    <x v="10"/>
    <s v="Brand"/>
    <n v="3"/>
    <x v="1"/>
    <s v="Michael Pittman"/>
    <n v="5.6"/>
    <n v="2024"/>
  </r>
  <r>
    <x v="10"/>
    <s v="Brand"/>
    <n v="3"/>
    <x v="1"/>
    <s v="Brandin Cooks"/>
    <n v="2.6"/>
    <n v="2024"/>
  </r>
  <r>
    <x v="10"/>
    <s v="Brand"/>
    <n v="3"/>
    <x v="2"/>
    <s v="Breece Hall"/>
    <n v="16.3"/>
    <n v="2024"/>
  </r>
  <r>
    <x v="10"/>
    <s v="Brand"/>
    <n v="3"/>
    <x v="2"/>
    <s v="Bucky Irving"/>
    <n v="9.9"/>
    <n v="2024"/>
  </r>
  <r>
    <x v="10"/>
    <s v="Brand"/>
    <n v="3"/>
    <x v="3"/>
    <s v="Dallas Goedert"/>
    <n v="22"/>
    <n v="2024"/>
  </r>
  <r>
    <x v="10"/>
    <s v="Brand"/>
    <n v="3"/>
    <x v="5"/>
    <s v="Cairo Santos"/>
    <n v="6"/>
    <n v="2024"/>
  </r>
  <r>
    <x v="10"/>
    <s v="Brand"/>
    <n v="3"/>
    <x v="4"/>
    <s v="Indianapolis"/>
    <n v="10"/>
    <n v="2024"/>
  </r>
  <r>
    <x v="9"/>
    <s v="Tommy"/>
    <n v="3"/>
    <x v="0"/>
    <s v="Josh Allen"/>
    <n v="30.92"/>
    <n v="2024"/>
  </r>
  <r>
    <x v="9"/>
    <s v="Tommy"/>
    <n v="3"/>
    <x v="1"/>
    <s v="Malik Nabers"/>
    <n v="24.2"/>
    <n v="2024"/>
  </r>
  <r>
    <x v="9"/>
    <s v="Tommy"/>
    <n v="3"/>
    <x v="1"/>
    <s v="DK Metcalf"/>
    <n v="18.399999999999999"/>
    <n v="2024"/>
  </r>
  <r>
    <x v="9"/>
    <s v="Tommy"/>
    <n v="3"/>
    <x v="1"/>
    <s v="Xavier Worthy"/>
    <n v="4"/>
    <n v="2024"/>
  </r>
  <r>
    <x v="9"/>
    <s v="Tommy"/>
    <n v="3"/>
    <x v="2"/>
    <s v="Saquon Barkley"/>
    <n v="31.6"/>
    <n v="2024"/>
  </r>
  <r>
    <x v="9"/>
    <s v="Tommy"/>
    <n v="3"/>
    <x v="2"/>
    <s v="Kyren Williams"/>
    <n v="30.6"/>
    <n v="2024"/>
  </r>
  <r>
    <x v="9"/>
    <s v="Tommy"/>
    <n v="3"/>
    <x v="3"/>
    <s v="Mike Gesicki"/>
    <n v="6.7"/>
    <n v="2024"/>
  </r>
  <r>
    <x v="9"/>
    <s v="Tommy"/>
    <n v="3"/>
    <x v="5"/>
    <s v="Harrison Butker"/>
    <n v="12"/>
    <n v="2024"/>
  </r>
  <r>
    <x v="9"/>
    <s v="Tommy"/>
    <n v="3"/>
    <x v="4"/>
    <s v="San Francisco"/>
    <n v="4"/>
    <n v="2024"/>
  </r>
  <r>
    <x v="5"/>
    <s v="Burnett/Jasjaap"/>
    <n v="3"/>
    <x v="0"/>
    <s v="Brock Purdy"/>
    <n v="25.78"/>
    <n v="2024"/>
  </r>
  <r>
    <x v="5"/>
    <s v="Burnett/Jasjaap"/>
    <n v="3"/>
    <x v="1"/>
    <s v="CeeDee Lamb"/>
    <n v="6.7"/>
    <n v="2024"/>
  </r>
  <r>
    <x v="5"/>
    <s v="Burnett/Jasjaap"/>
    <n v="3"/>
    <x v="1"/>
    <s v="Jaylen Waddle"/>
    <n v="4.5999999999999996"/>
    <n v="2024"/>
  </r>
  <r>
    <x v="5"/>
    <s v="Burnett/Jasjaap"/>
    <n v="3"/>
    <x v="1"/>
    <s v="Rashid Shaheed"/>
    <n v="0"/>
    <n v="2024"/>
  </r>
  <r>
    <x v="5"/>
    <s v="Burnett/Jasjaap"/>
    <n v="3"/>
    <x v="2"/>
    <s v="David Montgomery"/>
    <n v="19.7"/>
    <n v="2024"/>
  </r>
  <r>
    <x v="5"/>
    <s v="Burnett/Jasjaap"/>
    <n v="3"/>
    <x v="2"/>
    <s v="Josh Jacobs"/>
    <n v="5.3"/>
    <n v="2024"/>
  </r>
  <r>
    <x v="5"/>
    <s v="Burnett/Jasjaap"/>
    <n v="3"/>
    <x v="3"/>
    <s v="Brock Bowers"/>
    <n v="5.6"/>
    <n v="2024"/>
  </r>
  <r>
    <x v="5"/>
    <s v="Burnett/Jasjaap"/>
    <n v="3"/>
    <x v="5"/>
    <s v="Jake Elliott"/>
    <n v="1"/>
    <n v="2024"/>
  </r>
  <r>
    <x v="5"/>
    <s v="Burnett/Jasjaap"/>
    <n v="3"/>
    <x v="4"/>
    <s v="Pittsburgh"/>
    <n v="12"/>
    <n v="202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44">
  <r>
    <x v="0"/>
    <s v="Brenton"/>
    <n v="1"/>
    <x v="0"/>
    <s v="Trevor Lawrence"/>
    <x v="0"/>
    <n v="2024"/>
  </r>
  <r>
    <x v="0"/>
    <s v="Brenton"/>
    <n v="1"/>
    <x v="1"/>
    <s v="Jayden Reed"/>
    <x v="1"/>
    <n v="2024"/>
  </r>
  <r>
    <x v="0"/>
    <s v="Brenton"/>
    <n v="1"/>
    <x v="1"/>
    <s v="Tyreek Hill"/>
    <x v="2"/>
    <n v="2024"/>
  </r>
  <r>
    <x v="0"/>
    <s v="Brenton"/>
    <n v="1"/>
    <x v="1"/>
    <s v="Zay Flowers"/>
    <x v="3"/>
    <n v="2024"/>
  </r>
  <r>
    <x v="0"/>
    <s v="Brenton"/>
    <n v="1"/>
    <x v="2"/>
    <s v="Jerome Ford"/>
    <x v="4"/>
    <n v="2024"/>
  </r>
  <r>
    <x v="0"/>
    <s v="Brenton"/>
    <n v="1"/>
    <x v="2"/>
    <s v="Javonte Williams"/>
    <x v="5"/>
    <n v="2024"/>
  </r>
  <r>
    <x v="0"/>
    <s v="Brenton"/>
    <n v="1"/>
    <x v="3"/>
    <s v="Trey McBride"/>
    <x v="6"/>
    <n v="2024"/>
  </r>
  <r>
    <x v="0"/>
    <s v="Brenton"/>
    <n v="1"/>
    <x v="4"/>
    <s v="Cincinnati"/>
    <x v="7"/>
    <n v="2024"/>
  </r>
  <r>
    <x v="0"/>
    <s v="Brenton"/>
    <n v="1"/>
    <x v="5"/>
    <s v="Tyler Bass"/>
    <x v="8"/>
    <n v="2024"/>
  </r>
  <r>
    <x v="1"/>
    <s v="Todd"/>
    <n v="1"/>
    <x v="0"/>
    <s v="Dak Prescott"/>
    <x v="9"/>
    <n v="2024"/>
  </r>
  <r>
    <x v="1"/>
    <s v="Todd"/>
    <n v="1"/>
    <x v="1"/>
    <s v="AJ Brown"/>
    <x v="10"/>
    <n v="2024"/>
  </r>
  <r>
    <x v="1"/>
    <s v="Todd"/>
    <n v="1"/>
    <x v="1"/>
    <s v="Deebo Samuel"/>
    <x v="11"/>
    <n v="2024"/>
  </r>
  <r>
    <x v="1"/>
    <s v="Todd"/>
    <n v="1"/>
    <x v="1"/>
    <s v="Rashee Rice"/>
    <x v="12"/>
    <n v="2024"/>
  </r>
  <r>
    <x v="1"/>
    <s v="Todd"/>
    <n v="1"/>
    <x v="2"/>
    <s v="De'Von Achane"/>
    <x v="13"/>
    <n v="2024"/>
  </r>
  <r>
    <x v="1"/>
    <s v="Todd"/>
    <n v="1"/>
    <x v="2"/>
    <s v="James Conner"/>
    <x v="14"/>
    <n v="2024"/>
  </r>
  <r>
    <x v="1"/>
    <s v="Todd"/>
    <n v="1"/>
    <x v="3"/>
    <s v="Pat Freiermuth"/>
    <x v="15"/>
    <n v="2024"/>
  </r>
  <r>
    <x v="1"/>
    <s v="Todd"/>
    <n v="1"/>
    <x v="4"/>
    <s v="Seattle"/>
    <x v="8"/>
    <n v="2024"/>
  </r>
  <r>
    <x v="1"/>
    <s v="Todd"/>
    <n v="1"/>
    <x v="5"/>
    <s v="Younghoe Koo"/>
    <x v="16"/>
    <n v="2024"/>
  </r>
  <r>
    <x v="2"/>
    <s v="Mike"/>
    <n v="1"/>
    <x v="0"/>
    <s v="Patrick Mahomes"/>
    <x v="17"/>
    <n v="2024"/>
  </r>
  <r>
    <x v="2"/>
    <s v="Mike"/>
    <n v="1"/>
    <x v="1"/>
    <s v="Davante Adams"/>
    <x v="18"/>
    <n v="2024"/>
  </r>
  <r>
    <x v="2"/>
    <s v="Mike"/>
    <n v="1"/>
    <x v="1"/>
    <s v="Mike Evans"/>
    <x v="19"/>
    <n v="2024"/>
  </r>
  <r>
    <x v="2"/>
    <s v="Mike"/>
    <n v="1"/>
    <x v="1"/>
    <s v="Khalil Shakir"/>
    <x v="20"/>
    <n v="2024"/>
  </r>
  <r>
    <x v="2"/>
    <s v="Mike"/>
    <n v="1"/>
    <x v="2"/>
    <s v="Derrick Henry"/>
    <x v="21"/>
    <n v="2024"/>
  </r>
  <r>
    <x v="2"/>
    <s v="Mike"/>
    <n v="1"/>
    <x v="2"/>
    <s v="Tyjae Spears"/>
    <x v="22"/>
    <n v="2024"/>
  </r>
  <r>
    <x v="2"/>
    <s v="Mike"/>
    <n v="1"/>
    <x v="3"/>
    <s v="Sam LaPorta"/>
    <x v="23"/>
    <n v="2024"/>
  </r>
  <r>
    <x v="2"/>
    <s v="Mike"/>
    <n v="1"/>
    <x v="5"/>
    <s v="Jason Sanders"/>
    <x v="24"/>
    <n v="2024"/>
  </r>
  <r>
    <x v="2"/>
    <s v="Mike"/>
    <n v="1"/>
    <x v="4"/>
    <s v="Buffalo"/>
    <x v="25"/>
    <n v="2024"/>
  </r>
  <r>
    <x v="3"/>
    <s v="Kevin"/>
    <n v="1"/>
    <x v="0"/>
    <s v="CJ Stroud"/>
    <x v="26"/>
    <n v="2024"/>
  </r>
  <r>
    <x v="3"/>
    <s v="Kevin"/>
    <n v="1"/>
    <x v="1"/>
    <s v="George Pickens"/>
    <x v="27"/>
    <n v="2024"/>
  </r>
  <r>
    <x v="3"/>
    <s v="Kevin"/>
    <n v="1"/>
    <x v="1"/>
    <s v="Chris Olave"/>
    <x v="28"/>
    <n v="2024"/>
  </r>
  <r>
    <x v="3"/>
    <s v="Kevin"/>
    <n v="1"/>
    <x v="1"/>
    <s v="Marvin Harrison Jr"/>
    <x v="29"/>
    <n v="2024"/>
  </r>
  <r>
    <x v="3"/>
    <s v="Kevin"/>
    <n v="1"/>
    <x v="2"/>
    <s v="Joe Mixon"/>
    <x v="30"/>
    <n v="2024"/>
  </r>
  <r>
    <x v="3"/>
    <s v="Kevin"/>
    <n v="1"/>
    <x v="2"/>
    <s v="Isiah Pacheco"/>
    <x v="31"/>
    <n v="2024"/>
  </r>
  <r>
    <x v="3"/>
    <s v="Kevin"/>
    <n v="1"/>
    <x v="3"/>
    <s v="Hunter Henry"/>
    <x v="5"/>
    <n v="2024"/>
  </r>
  <r>
    <x v="3"/>
    <s v="Kevin"/>
    <n v="1"/>
    <x v="5"/>
    <s v="Justin Tucker"/>
    <x v="32"/>
    <n v="2024"/>
  </r>
  <r>
    <x v="3"/>
    <s v="Kevin"/>
    <n v="1"/>
    <x v="4"/>
    <s v="Minnesota"/>
    <x v="33"/>
    <n v="2024"/>
  </r>
  <r>
    <x v="4"/>
    <s v="Eli"/>
    <n v="1"/>
    <x v="0"/>
    <s v="Jalen Hurts"/>
    <x v="34"/>
    <n v="2024"/>
  </r>
  <r>
    <x v="4"/>
    <s v="Eli"/>
    <n v="1"/>
    <x v="1"/>
    <s v="Justin Jefferson"/>
    <x v="35"/>
    <n v="2024"/>
  </r>
  <r>
    <x v="4"/>
    <s v="Eli"/>
    <n v="1"/>
    <x v="1"/>
    <s v="DJ Moore"/>
    <x v="36"/>
    <n v="2024"/>
  </r>
  <r>
    <x v="4"/>
    <s v="Eli"/>
    <n v="1"/>
    <x v="1"/>
    <s v="DeMario Douglas"/>
    <x v="37"/>
    <n v="2024"/>
  </r>
  <r>
    <x v="4"/>
    <s v="Eli"/>
    <n v="1"/>
    <x v="2"/>
    <s v="Bijan Robinson"/>
    <x v="38"/>
    <n v="2024"/>
  </r>
  <r>
    <x v="4"/>
    <s v="Eli"/>
    <n v="1"/>
    <x v="2"/>
    <s v="Jaylen Warren"/>
    <x v="7"/>
    <n v="2024"/>
  </r>
  <r>
    <x v="4"/>
    <s v="Eli"/>
    <n v="1"/>
    <x v="3"/>
    <s v="David Njoku"/>
    <x v="39"/>
    <n v="2024"/>
  </r>
  <r>
    <x v="4"/>
    <s v="Eli"/>
    <n v="1"/>
    <x v="5"/>
    <s v="Jake Moody"/>
    <x v="40"/>
    <n v="2024"/>
  </r>
  <r>
    <x v="4"/>
    <s v="Eli"/>
    <n v="1"/>
    <x v="4"/>
    <s v="NYJ"/>
    <x v="41"/>
    <n v="2024"/>
  </r>
  <r>
    <x v="5"/>
    <s v="Burnett/Jasjaap"/>
    <n v="1"/>
    <x v="0"/>
    <s v="Brock Purdy"/>
    <x v="42"/>
    <n v="2024"/>
  </r>
  <r>
    <x v="5"/>
    <s v="Burnett/Jasjaap"/>
    <n v="1"/>
    <x v="1"/>
    <s v="CeeDee Lamb"/>
    <x v="43"/>
    <n v="2024"/>
  </r>
  <r>
    <x v="5"/>
    <s v="Burnett/Jasjaap"/>
    <n v="1"/>
    <x v="1"/>
    <s v="Jaylen Waddle"/>
    <x v="44"/>
    <n v="2024"/>
  </r>
  <r>
    <x v="5"/>
    <s v="Burnett/Jasjaap"/>
    <n v="1"/>
    <x v="1"/>
    <s v="Puka Nacua"/>
    <x v="45"/>
    <n v="2024"/>
  </r>
  <r>
    <x v="5"/>
    <s v="Burnett/Jasjaap"/>
    <n v="1"/>
    <x v="2"/>
    <s v="Josh Jacobs"/>
    <x v="46"/>
    <n v="2024"/>
  </r>
  <r>
    <x v="5"/>
    <s v="Burnett/Jasjaap"/>
    <n v="1"/>
    <x v="2"/>
    <s v="David Montgomery"/>
    <x v="47"/>
    <n v="2024"/>
  </r>
  <r>
    <x v="5"/>
    <s v="Burnett/Jasjaap"/>
    <n v="1"/>
    <x v="3"/>
    <s v="Brock Bowers"/>
    <x v="48"/>
    <n v="2024"/>
  </r>
  <r>
    <x v="5"/>
    <s v="Burnett/Jasjaap"/>
    <n v="1"/>
    <x v="5"/>
    <s v="Jake Elliott"/>
    <x v="8"/>
    <n v="2024"/>
  </r>
  <r>
    <x v="5"/>
    <s v="Burnett/Jasjaap"/>
    <n v="1"/>
    <x v="4"/>
    <s v="Pittsburgh"/>
    <x v="49"/>
    <n v="2024"/>
  </r>
  <r>
    <x v="6"/>
    <s v="Will"/>
    <n v="1"/>
    <x v="0"/>
    <s v="Caleb Williams"/>
    <x v="50"/>
    <n v="2024"/>
  </r>
  <r>
    <x v="6"/>
    <s v="Will"/>
    <n v="1"/>
    <x v="1"/>
    <s v="Ladd McConkey"/>
    <x v="51"/>
    <n v="2024"/>
  </r>
  <r>
    <x v="6"/>
    <s v="Will"/>
    <n v="1"/>
    <x v="1"/>
    <s v="Amon-Ra St. Brown"/>
    <x v="5"/>
    <n v="2024"/>
  </r>
  <r>
    <x v="6"/>
    <s v="Will"/>
    <n v="1"/>
    <x v="1"/>
    <s v="Drake London"/>
    <x v="52"/>
    <n v="2024"/>
  </r>
  <r>
    <x v="6"/>
    <s v="Will"/>
    <n v="1"/>
    <x v="2"/>
    <s v="Travis Etienne"/>
    <x v="53"/>
    <n v="2024"/>
  </r>
  <r>
    <x v="6"/>
    <s v="Will"/>
    <n v="1"/>
    <x v="2"/>
    <s v="Zamir White"/>
    <x v="54"/>
    <n v="2024"/>
  </r>
  <r>
    <x v="6"/>
    <s v="Will"/>
    <n v="1"/>
    <x v="3"/>
    <s v="Kyle Pitts"/>
    <x v="55"/>
    <n v="2024"/>
  </r>
  <r>
    <x v="6"/>
    <s v="Will"/>
    <n v="1"/>
    <x v="5"/>
    <s v="Jason Myers"/>
    <x v="8"/>
    <n v="2024"/>
  </r>
  <r>
    <x v="6"/>
    <s v="Will"/>
    <n v="1"/>
    <x v="4"/>
    <s v="Houston"/>
    <x v="7"/>
    <n v="2024"/>
  </r>
  <r>
    <x v="7"/>
    <s v="Jay"/>
    <n v="1"/>
    <x v="0"/>
    <s v="Lamar Jackson"/>
    <x v="56"/>
    <n v="2024"/>
  </r>
  <r>
    <x v="7"/>
    <s v="Jay"/>
    <n v="1"/>
    <x v="1"/>
    <s v="Stefon Diggs"/>
    <x v="57"/>
    <n v="2024"/>
  </r>
  <r>
    <x v="7"/>
    <s v="Jay"/>
    <n v="1"/>
    <x v="1"/>
    <s v="Christian Kirk"/>
    <x v="58"/>
    <n v="2024"/>
  </r>
  <r>
    <x v="7"/>
    <s v="Jay"/>
    <n v="1"/>
    <x v="1"/>
    <s v="Amari Cooper"/>
    <x v="59"/>
    <n v="2024"/>
  </r>
  <r>
    <x v="7"/>
    <s v="Jay"/>
    <n v="1"/>
    <x v="2"/>
    <s v="Alvin Kamara"/>
    <x v="13"/>
    <n v="2024"/>
  </r>
  <r>
    <x v="7"/>
    <s v="Jay"/>
    <n v="1"/>
    <x v="2"/>
    <s v="Jonathan Taylor"/>
    <x v="60"/>
    <n v="2024"/>
  </r>
  <r>
    <x v="7"/>
    <s v="Jay"/>
    <n v="1"/>
    <x v="3"/>
    <s v="Mark Andrews"/>
    <x v="61"/>
    <n v="2024"/>
  </r>
  <r>
    <x v="7"/>
    <s v="Jay"/>
    <n v="1"/>
    <x v="5"/>
    <s v="Ka'imi Fairbairn"/>
    <x v="62"/>
    <n v="2024"/>
  </r>
  <r>
    <x v="7"/>
    <s v="Jay"/>
    <n v="1"/>
    <x v="4"/>
    <s v="LA Chargers"/>
    <x v="63"/>
    <n v="2024"/>
  </r>
  <r>
    <x v="8"/>
    <s v="Schulwolf"/>
    <n v="1"/>
    <x v="0"/>
    <s v="Jordan Love"/>
    <x v="64"/>
    <n v="2024"/>
  </r>
  <r>
    <x v="8"/>
    <s v="Schulwolf"/>
    <n v="1"/>
    <x v="1"/>
    <s v="Cooper Kupp"/>
    <x v="65"/>
    <n v="2024"/>
  </r>
  <r>
    <x v="8"/>
    <s v="Schulwolf"/>
    <n v="1"/>
    <x v="1"/>
    <s v="DeVonta Smith"/>
    <x v="66"/>
    <n v="2024"/>
  </r>
  <r>
    <x v="8"/>
    <s v="Schulwolf"/>
    <n v="1"/>
    <x v="1"/>
    <s v="Chris Godwin"/>
    <x v="67"/>
    <n v="2024"/>
  </r>
  <r>
    <x v="8"/>
    <s v="Schulwolf"/>
    <n v="1"/>
    <x v="2"/>
    <s v="Jahmyr Gibbs"/>
    <x v="68"/>
    <n v="2024"/>
  </r>
  <r>
    <x v="8"/>
    <s v="Schulwolf"/>
    <n v="1"/>
    <x v="2"/>
    <s v="James Cook"/>
    <x v="69"/>
    <n v="2024"/>
  </r>
  <r>
    <x v="8"/>
    <s v="Schulwolf"/>
    <n v="1"/>
    <x v="3"/>
    <s v="Dalton Kincaid"/>
    <x v="70"/>
    <n v="2024"/>
  </r>
  <r>
    <x v="8"/>
    <s v="Schulwolf"/>
    <n v="1"/>
    <x v="5"/>
    <s v="Brandon Aubrey"/>
    <x v="71"/>
    <n v="2024"/>
  </r>
  <r>
    <x v="8"/>
    <s v="Schulwolf"/>
    <n v="1"/>
    <x v="4"/>
    <s v="Dallas"/>
    <x v="72"/>
    <n v="2024"/>
  </r>
  <r>
    <x v="9"/>
    <s v="Tommy"/>
    <n v="1"/>
    <x v="0"/>
    <s v="Josh Allen"/>
    <x v="73"/>
    <n v="2024"/>
  </r>
  <r>
    <x v="9"/>
    <s v="Tommy"/>
    <n v="1"/>
    <x v="1"/>
    <s v="Malik Nabers"/>
    <x v="74"/>
    <n v="2024"/>
  </r>
  <r>
    <x v="9"/>
    <s v="Tommy"/>
    <n v="1"/>
    <x v="1"/>
    <s v="DK Metcalf"/>
    <x v="75"/>
    <n v="2024"/>
  </r>
  <r>
    <x v="9"/>
    <s v="Tommy"/>
    <n v="1"/>
    <x v="1"/>
    <s v="Romeo Doubs"/>
    <x v="76"/>
    <n v="2024"/>
  </r>
  <r>
    <x v="9"/>
    <s v="Tommy"/>
    <n v="1"/>
    <x v="2"/>
    <s v="Saquon Barkley"/>
    <x v="77"/>
    <n v="2024"/>
  </r>
  <r>
    <x v="9"/>
    <s v="Tommy"/>
    <n v="1"/>
    <x v="2"/>
    <s v="Rachaad White"/>
    <x v="38"/>
    <n v="2024"/>
  </r>
  <r>
    <x v="9"/>
    <s v="Tommy"/>
    <n v="1"/>
    <x v="3"/>
    <s v="Evan Engram"/>
    <x v="78"/>
    <n v="2024"/>
  </r>
  <r>
    <x v="9"/>
    <s v="Tommy"/>
    <n v="1"/>
    <x v="5"/>
    <s v="Harrison Butker"/>
    <x v="24"/>
    <n v="2024"/>
  </r>
  <r>
    <x v="9"/>
    <s v="Tommy"/>
    <n v="1"/>
    <x v="4"/>
    <s v="San Francisco"/>
    <x v="76"/>
    <n v="2024"/>
  </r>
  <r>
    <x v="10"/>
    <s v="Brand"/>
    <n v="1"/>
    <x v="0"/>
    <s v="Anthony Richardson"/>
    <x v="79"/>
    <n v="2024"/>
  </r>
  <r>
    <x v="10"/>
    <s v="Brand"/>
    <n v="1"/>
    <x v="1"/>
    <s v="Jameson Williams"/>
    <x v="80"/>
    <n v="2024"/>
  </r>
  <r>
    <x v="10"/>
    <s v="Brand"/>
    <n v="1"/>
    <x v="1"/>
    <s v="Christian Watson"/>
    <x v="48"/>
    <n v="2024"/>
  </r>
  <r>
    <x v="10"/>
    <s v="Brand"/>
    <n v="1"/>
    <x v="1"/>
    <s v="Garrett Wilson"/>
    <x v="24"/>
    <n v="2024"/>
  </r>
  <r>
    <x v="10"/>
    <s v="Brand"/>
    <n v="1"/>
    <x v="2"/>
    <s v="Kenneth Walker"/>
    <x v="81"/>
    <n v="2024"/>
  </r>
  <r>
    <x v="10"/>
    <s v="Brand"/>
    <n v="1"/>
    <x v="2"/>
    <s v="Breece Hall"/>
    <x v="47"/>
    <n v="2024"/>
  </r>
  <r>
    <x v="10"/>
    <s v="Brand"/>
    <n v="1"/>
    <x v="3"/>
    <s v="Dallas Goedert"/>
    <x v="82"/>
    <n v="2024"/>
  </r>
  <r>
    <x v="10"/>
    <s v="Brand"/>
    <n v="1"/>
    <x v="5"/>
    <s v="Cairo Santos"/>
    <x v="49"/>
    <n v="2024"/>
  </r>
  <r>
    <x v="10"/>
    <s v="Brand"/>
    <n v="1"/>
    <x v="4"/>
    <s v="New Orleans"/>
    <x v="62"/>
    <n v="2024"/>
  </r>
  <r>
    <x v="11"/>
    <s v="Cam"/>
    <n v="1"/>
    <x v="0"/>
    <s v="Joe Burrow"/>
    <x v="83"/>
    <n v="2024"/>
  </r>
  <r>
    <x v="11"/>
    <s v="Cam"/>
    <n v="1"/>
    <x v="1"/>
    <s v="Ja'Marr Chase"/>
    <x v="84"/>
    <n v="2024"/>
  </r>
  <r>
    <x v="11"/>
    <s v="Cam"/>
    <n v="1"/>
    <x v="1"/>
    <s v="Nico Collins"/>
    <x v="85"/>
    <n v="2024"/>
  </r>
  <r>
    <x v="11"/>
    <s v="Cam"/>
    <n v="1"/>
    <x v="1"/>
    <s v="Andrei Iosivas"/>
    <x v="86"/>
    <n v="2024"/>
  </r>
  <r>
    <x v="11"/>
    <s v="Cam"/>
    <n v="1"/>
    <x v="2"/>
    <s v="Rhamondre Stevenson"/>
    <x v="87"/>
    <n v="2024"/>
  </r>
  <r>
    <x v="11"/>
    <s v="Cam"/>
    <n v="1"/>
    <x v="2"/>
    <s v="Aaron Jones"/>
    <x v="81"/>
    <n v="2024"/>
  </r>
  <r>
    <x v="11"/>
    <s v="Cam"/>
    <n v="1"/>
    <x v="3"/>
    <s v="George Kittle"/>
    <x v="25"/>
    <n v="2024"/>
  </r>
  <r>
    <x v="11"/>
    <s v="Cam"/>
    <n v="1"/>
    <x v="5"/>
    <s v="Evan McPherson"/>
    <x v="25"/>
    <n v="2024"/>
  </r>
  <r>
    <x v="11"/>
    <s v="Cam"/>
    <n v="1"/>
    <x v="4"/>
    <s v="Atlanta"/>
    <x v="16"/>
    <n v="2024"/>
  </r>
  <r>
    <x v="0"/>
    <s v="Brenton"/>
    <n v="2"/>
    <x v="0"/>
    <s v="Baker Mayfield"/>
    <x v="88"/>
    <n v="2024"/>
  </r>
  <r>
    <x v="0"/>
    <s v="Brenton"/>
    <n v="2"/>
    <x v="1"/>
    <s v="Tyreek Hill"/>
    <x v="82"/>
    <n v="2024"/>
  </r>
  <r>
    <x v="0"/>
    <s v="Brenton"/>
    <n v="2"/>
    <x v="1"/>
    <s v="Zay Flowers"/>
    <x v="89"/>
    <n v="2024"/>
  </r>
  <r>
    <x v="0"/>
    <s v="Brenton"/>
    <n v="2"/>
    <x v="1"/>
    <s v="Jayden Reed"/>
    <x v="90"/>
    <n v="2024"/>
  </r>
  <r>
    <x v="0"/>
    <s v="Brenton"/>
    <n v="2"/>
    <x v="2"/>
    <s v="Ezekiel Elliott"/>
    <x v="91"/>
    <n v="2024"/>
  </r>
  <r>
    <x v="0"/>
    <s v="Brenton"/>
    <n v="2"/>
    <x v="2"/>
    <s v="Jerome Ford"/>
    <x v="92"/>
    <n v="2024"/>
  </r>
  <r>
    <x v="0"/>
    <s v="Brenton"/>
    <n v="2"/>
    <x v="3"/>
    <s v="Trey McBride"/>
    <x v="93"/>
    <n v="2024"/>
  </r>
  <r>
    <x v="0"/>
    <s v="Brenton"/>
    <n v="2"/>
    <x v="4"/>
    <s v="Tyler Bass"/>
    <x v="76"/>
    <n v="2024"/>
  </r>
  <r>
    <x v="0"/>
    <s v="Brenton"/>
    <n v="2"/>
    <x v="5"/>
    <s v="Jacksonville"/>
    <x v="16"/>
    <n v="2024"/>
  </r>
  <r>
    <x v="2"/>
    <s v="Mike"/>
    <n v="2"/>
    <x v="0"/>
    <s v="Patrick Mahomes"/>
    <x v="94"/>
    <n v="2024"/>
  </r>
  <r>
    <x v="2"/>
    <s v="Mike"/>
    <n v="2"/>
    <x v="1"/>
    <s v="Davante Adams"/>
    <x v="95"/>
    <n v="2024"/>
  </r>
  <r>
    <x v="2"/>
    <s v="Mike"/>
    <n v="2"/>
    <x v="1"/>
    <s v="Mike Evans"/>
    <x v="96"/>
    <n v="2024"/>
  </r>
  <r>
    <x v="2"/>
    <s v="Mike"/>
    <n v="2"/>
    <x v="1"/>
    <s v="Khalil Shakir"/>
    <x v="3"/>
    <n v="2024"/>
  </r>
  <r>
    <x v="2"/>
    <s v="Mike"/>
    <n v="2"/>
    <x v="2"/>
    <s v="Derrick Henry"/>
    <x v="97"/>
    <n v="2024"/>
  </r>
  <r>
    <x v="2"/>
    <s v="Mike"/>
    <n v="2"/>
    <x v="2"/>
    <s v="Tyjae Spears"/>
    <x v="86"/>
    <n v="2024"/>
  </r>
  <r>
    <x v="2"/>
    <s v="Mike"/>
    <n v="2"/>
    <x v="3"/>
    <s v="Sam LaPorta"/>
    <x v="98"/>
    <n v="2024"/>
  </r>
  <r>
    <x v="2"/>
    <s v="Mike"/>
    <n v="2"/>
    <x v="4"/>
    <s v="Buffalo"/>
    <x v="62"/>
    <n v="2024"/>
  </r>
  <r>
    <x v="2"/>
    <s v="Mike"/>
    <n v="2"/>
    <x v="5"/>
    <s v="Jason Sanders"/>
    <x v="16"/>
    <n v="2024"/>
  </r>
  <r>
    <x v="1"/>
    <s v="Todd"/>
    <n v="2"/>
    <x v="0"/>
    <s v="Dak Prescott"/>
    <x v="99"/>
    <n v="2024"/>
  </r>
  <r>
    <x v="1"/>
    <s v="Todd"/>
    <n v="2"/>
    <x v="1"/>
    <s v="Deebo Samuel"/>
    <x v="100"/>
    <n v="2024"/>
  </r>
  <r>
    <x v="1"/>
    <s v="Todd"/>
    <n v="2"/>
    <x v="1"/>
    <s v="Rashee Rice"/>
    <x v="101"/>
    <n v="2024"/>
  </r>
  <r>
    <x v="1"/>
    <s v="Todd"/>
    <n v="2"/>
    <x v="1"/>
    <s v="Calvin Ridley"/>
    <x v="102"/>
    <n v="2024"/>
  </r>
  <r>
    <x v="1"/>
    <s v="Todd"/>
    <n v="2"/>
    <x v="2"/>
    <s v="De'Von Achane"/>
    <x v="40"/>
    <n v="2024"/>
  </r>
  <r>
    <x v="1"/>
    <s v="Todd"/>
    <n v="2"/>
    <x v="2"/>
    <s v="James Conner"/>
    <x v="57"/>
    <n v="2024"/>
  </r>
  <r>
    <x v="1"/>
    <s v="Todd"/>
    <n v="2"/>
    <x v="3"/>
    <s v="Kyle Pitts"/>
    <x v="58"/>
    <n v="2024"/>
  </r>
  <r>
    <x v="1"/>
    <s v="Todd"/>
    <n v="2"/>
    <x v="4"/>
    <s v="Seattle"/>
    <x v="103"/>
    <n v="2024"/>
  </r>
  <r>
    <x v="1"/>
    <s v="Todd"/>
    <n v="2"/>
    <x v="5"/>
    <s v="Chris Boswell"/>
    <x v="24"/>
    <n v="2024"/>
  </r>
  <r>
    <x v="7"/>
    <s v="Jay"/>
    <n v="2"/>
    <x v="0"/>
    <s v="Lamar Jackson"/>
    <x v="104"/>
    <n v="2024"/>
  </r>
  <r>
    <x v="7"/>
    <s v="Jay"/>
    <n v="2"/>
    <x v="1"/>
    <s v="Stefon Diggs"/>
    <x v="96"/>
    <n v="2024"/>
  </r>
  <r>
    <x v="7"/>
    <s v="Jay"/>
    <n v="2"/>
    <x v="1"/>
    <s v="Amari Cooper"/>
    <x v="59"/>
    <n v="2024"/>
  </r>
  <r>
    <x v="7"/>
    <s v="Jay"/>
    <n v="2"/>
    <x v="1"/>
    <s v="Christian Kirk"/>
    <x v="105"/>
    <n v="2024"/>
  </r>
  <r>
    <x v="7"/>
    <s v="Jay"/>
    <n v="2"/>
    <x v="2"/>
    <s v="Alvin Kamara"/>
    <x v="106"/>
    <n v="2024"/>
  </r>
  <r>
    <x v="7"/>
    <s v="Jay"/>
    <n v="2"/>
    <x v="2"/>
    <s v="Jonathan Taylor"/>
    <x v="107"/>
    <n v="2024"/>
  </r>
  <r>
    <x v="7"/>
    <s v="Jay"/>
    <n v="2"/>
    <x v="3"/>
    <s v="Mark Andrews"/>
    <x v="108"/>
    <n v="2024"/>
  </r>
  <r>
    <x v="7"/>
    <s v="Jay"/>
    <n v="2"/>
    <x v="5"/>
    <s v="Ka'imi Fairbairn"/>
    <x v="109"/>
    <n v="2024"/>
  </r>
  <r>
    <x v="7"/>
    <s v="Jay"/>
    <n v="2"/>
    <x v="4"/>
    <s v="LA Chargers"/>
    <x v="100"/>
    <n v="2024"/>
  </r>
  <r>
    <x v="4"/>
    <s v="Eli"/>
    <n v="2"/>
    <x v="0"/>
    <s v="Jalen Hurts"/>
    <x v="110"/>
    <n v="2024"/>
  </r>
  <r>
    <x v="4"/>
    <s v="Eli"/>
    <n v="2"/>
    <x v="1"/>
    <s v="Justin Jefferson"/>
    <x v="111"/>
    <n v="2024"/>
  </r>
  <r>
    <x v="4"/>
    <s v="Eli"/>
    <n v="2"/>
    <x v="1"/>
    <s v="DJ Moore"/>
    <x v="112"/>
    <n v="2024"/>
  </r>
  <r>
    <x v="4"/>
    <s v="Eli"/>
    <n v="2"/>
    <x v="1"/>
    <s v="Demarcus Robinson"/>
    <x v="25"/>
    <n v="2024"/>
  </r>
  <r>
    <x v="4"/>
    <s v="Eli"/>
    <n v="2"/>
    <x v="2"/>
    <s v="Bijan Robinson"/>
    <x v="113"/>
    <n v="2024"/>
  </r>
  <r>
    <x v="4"/>
    <s v="Eli"/>
    <n v="2"/>
    <x v="2"/>
    <s v="Jordan Mason"/>
    <x v="114"/>
    <n v="2024"/>
  </r>
  <r>
    <x v="4"/>
    <s v="Eli"/>
    <n v="2"/>
    <x v="3"/>
    <s v="Dalton Schultz"/>
    <x v="115"/>
    <n v="2024"/>
  </r>
  <r>
    <x v="4"/>
    <s v="Eli"/>
    <n v="2"/>
    <x v="5"/>
    <s v="Jake Moody"/>
    <x v="103"/>
    <n v="2024"/>
  </r>
  <r>
    <x v="4"/>
    <s v="Eli"/>
    <n v="2"/>
    <x v="4"/>
    <s v="NYJ"/>
    <x v="8"/>
    <n v="2024"/>
  </r>
  <r>
    <x v="6"/>
    <s v="Will"/>
    <n v="2"/>
    <x v="0"/>
    <s v="Geno Smith"/>
    <x v="116"/>
    <n v="2024"/>
  </r>
  <r>
    <x v="6"/>
    <s v="Will"/>
    <n v="2"/>
    <x v="1"/>
    <s v="Amon-Ra St. Brown"/>
    <x v="117"/>
    <n v="2024"/>
  </r>
  <r>
    <x v="6"/>
    <s v="Will"/>
    <n v="2"/>
    <x v="1"/>
    <s v="Drake London"/>
    <x v="118"/>
    <n v="2024"/>
  </r>
  <r>
    <x v="6"/>
    <s v="Will"/>
    <n v="2"/>
    <x v="1"/>
    <s v="Jaxon Smith-Njigba"/>
    <x v="119"/>
    <n v="2024"/>
  </r>
  <r>
    <x v="6"/>
    <s v="Will"/>
    <n v="2"/>
    <x v="2"/>
    <s v="Travis Etienne"/>
    <x v="120"/>
    <n v="2024"/>
  </r>
  <r>
    <x v="6"/>
    <s v="Will"/>
    <n v="2"/>
    <x v="2"/>
    <s v="Zach Charbonet"/>
    <x v="68"/>
    <n v="2024"/>
  </r>
  <r>
    <x v="6"/>
    <s v="Will"/>
    <n v="2"/>
    <x v="3"/>
    <s v="Travis Kelce"/>
    <x v="121"/>
    <n v="2024"/>
  </r>
  <r>
    <x v="6"/>
    <s v="Will"/>
    <n v="2"/>
    <x v="5"/>
    <s v="Jason Myers"/>
    <x v="122"/>
    <n v="2024"/>
  </r>
  <r>
    <x v="6"/>
    <s v="Will"/>
    <n v="2"/>
    <x v="4"/>
    <s v="Houston"/>
    <x v="101"/>
    <n v="2024"/>
  </r>
  <r>
    <x v="8"/>
    <s v="Schulwolf"/>
    <n v="2"/>
    <x v="0"/>
    <s v="Jayden Daniels"/>
    <x v="123"/>
    <n v="2024"/>
  </r>
  <r>
    <x v="8"/>
    <s v="Schulwolf"/>
    <n v="2"/>
    <x v="1"/>
    <s v="Chris Godwin"/>
    <x v="124"/>
    <n v="2024"/>
  </r>
  <r>
    <x v="8"/>
    <s v="Schulwolf"/>
    <n v="2"/>
    <x v="1"/>
    <s v="DeVonta Smith"/>
    <x v="125"/>
    <n v="2024"/>
  </r>
  <r>
    <x v="8"/>
    <s v="Schulwolf"/>
    <n v="2"/>
    <x v="1"/>
    <s v="Cooper Kupp"/>
    <x v="96"/>
    <n v="2024"/>
  </r>
  <r>
    <x v="8"/>
    <s v="Schulwolf"/>
    <n v="2"/>
    <x v="2"/>
    <s v="James Cook"/>
    <x v="126"/>
    <n v="2024"/>
  </r>
  <r>
    <x v="8"/>
    <s v="Schulwolf"/>
    <n v="2"/>
    <x v="2"/>
    <s v="Jahmyr Gibbs"/>
    <x v="127"/>
    <n v="2024"/>
  </r>
  <r>
    <x v="8"/>
    <s v="Schulwolf"/>
    <n v="2"/>
    <x v="3"/>
    <s v="Dalton Kincaid"/>
    <x v="128"/>
    <n v="2024"/>
  </r>
  <r>
    <x v="8"/>
    <s v="Schulwolf"/>
    <n v="2"/>
    <x v="5"/>
    <s v="Brandon Aubrey"/>
    <x v="62"/>
    <n v="2024"/>
  </r>
  <r>
    <x v="8"/>
    <s v="Schulwolf"/>
    <n v="2"/>
    <x v="4"/>
    <s v="Dallas"/>
    <x v="129"/>
    <n v="2024"/>
  </r>
  <r>
    <x v="3"/>
    <s v="Kevin"/>
    <n v="2"/>
    <x v="0"/>
    <s v="CJ Stroud"/>
    <x v="130"/>
    <n v="2024"/>
  </r>
  <r>
    <x v="3"/>
    <s v="Kevin"/>
    <n v="2"/>
    <x v="1"/>
    <s v="Marvin Harrison Jr"/>
    <x v="131"/>
    <n v="2024"/>
  </r>
  <r>
    <x v="3"/>
    <s v="Kevin"/>
    <n v="2"/>
    <x v="1"/>
    <s v="Chris Olave"/>
    <x v="60"/>
    <n v="2024"/>
  </r>
  <r>
    <x v="3"/>
    <s v="Kevin"/>
    <n v="2"/>
    <x v="1"/>
    <s v="George Pickens"/>
    <x v="132"/>
    <n v="2024"/>
  </r>
  <r>
    <x v="3"/>
    <s v="Kevin"/>
    <n v="2"/>
    <x v="2"/>
    <s v="Isiah Pacheco"/>
    <x v="38"/>
    <n v="2024"/>
  </r>
  <r>
    <x v="3"/>
    <s v="Kevin"/>
    <n v="2"/>
    <x v="2"/>
    <s v="Najee Harris"/>
    <x v="133"/>
    <n v="2024"/>
  </r>
  <r>
    <x v="3"/>
    <s v="Kevin"/>
    <n v="2"/>
    <x v="3"/>
    <s v="Hunter Henry"/>
    <x v="134"/>
    <n v="2024"/>
  </r>
  <r>
    <x v="3"/>
    <s v="Kevin"/>
    <n v="2"/>
    <x v="5"/>
    <s v="Justin Tucker"/>
    <x v="49"/>
    <n v="2024"/>
  </r>
  <r>
    <x v="3"/>
    <s v="Kevin"/>
    <n v="2"/>
    <x v="4"/>
    <s v="Cleveland"/>
    <x v="24"/>
    <n v="2024"/>
  </r>
  <r>
    <x v="10"/>
    <s v="Brand"/>
    <n v="2"/>
    <x v="0"/>
    <s v="Anthony Richardson"/>
    <x v="135"/>
    <n v="2024"/>
  </r>
  <r>
    <x v="10"/>
    <s v="Brand"/>
    <n v="2"/>
    <x v="1"/>
    <s v="Jameson Williams"/>
    <x v="66"/>
    <n v="2024"/>
  </r>
  <r>
    <x v="10"/>
    <s v="Brand"/>
    <n v="2"/>
    <x v="1"/>
    <s v="Garrett Wilson"/>
    <x v="136"/>
    <n v="2024"/>
  </r>
  <r>
    <x v="10"/>
    <s v="Brand"/>
    <n v="2"/>
    <x v="1"/>
    <s v="Michael Pittman"/>
    <x v="54"/>
    <n v="2024"/>
  </r>
  <r>
    <x v="10"/>
    <s v="Brand"/>
    <n v="2"/>
    <x v="2"/>
    <s v="Breece Hall"/>
    <x v="137"/>
    <n v="2024"/>
  </r>
  <r>
    <x v="10"/>
    <s v="Brand"/>
    <n v="2"/>
    <x v="2"/>
    <s v="Bucky Irving"/>
    <x v="37"/>
    <n v="2024"/>
  </r>
  <r>
    <x v="10"/>
    <s v="Brand"/>
    <n v="2"/>
    <x v="3"/>
    <s v="Dallas Goedert"/>
    <x v="128"/>
    <n v="2024"/>
  </r>
  <r>
    <x v="10"/>
    <s v="Brand"/>
    <n v="2"/>
    <x v="5"/>
    <s v="Cairo Santos"/>
    <x v="138"/>
    <n v="2024"/>
  </r>
  <r>
    <x v="10"/>
    <s v="Brand"/>
    <n v="2"/>
    <x v="4"/>
    <s v="Indianapolis"/>
    <x v="139"/>
    <n v="2024"/>
  </r>
  <r>
    <x v="9"/>
    <s v="Tommy"/>
    <n v="2"/>
    <x v="0"/>
    <s v="Josh Allen"/>
    <x v="140"/>
    <n v="2024"/>
  </r>
  <r>
    <x v="9"/>
    <s v="Tommy"/>
    <n v="2"/>
    <x v="1"/>
    <s v="DK Metcalf"/>
    <x v="141"/>
    <n v="2024"/>
  </r>
  <r>
    <x v="9"/>
    <s v="Tommy"/>
    <n v="2"/>
    <x v="1"/>
    <s v="Malik Nabers"/>
    <x v="142"/>
    <n v="2024"/>
  </r>
  <r>
    <x v="9"/>
    <s v="Tommy"/>
    <n v="2"/>
    <x v="1"/>
    <s v="Xavier Worthy"/>
    <x v="143"/>
    <n v="2024"/>
  </r>
  <r>
    <x v="9"/>
    <s v="Tommy"/>
    <n v="2"/>
    <x v="2"/>
    <s v="Saquon Barkley"/>
    <x v="144"/>
    <n v="2024"/>
  </r>
  <r>
    <x v="9"/>
    <s v="Tommy"/>
    <n v="2"/>
    <x v="2"/>
    <s v="Kyren Williams"/>
    <x v="145"/>
    <n v="2024"/>
  </r>
  <r>
    <x v="9"/>
    <s v="Tommy"/>
    <n v="2"/>
    <x v="3"/>
    <s v="Evan Engram"/>
    <x v="146"/>
    <n v="2024"/>
  </r>
  <r>
    <x v="9"/>
    <s v="Tommy"/>
    <n v="2"/>
    <x v="5"/>
    <s v="Harrison Butker"/>
    <x v="8"/>
    <n v="2024"/>
  </r>
  <r>
    <x v="9"/>
    <s v="Tommy"/>
    <n v="2"/>
    <x v="4"/>
    <s v="San Francisco"/>
    <x v="16"/>
    <n v="2024"/>
  </r>
  <r>
    <x v="11"/>
    <s v="Cam"/>
    <n v="2"/>
    <x v="0"/>
    <s v="Kyler Murray"/>
    <x v="147"/>
    <n v="2024"/>
  </r>
  <r>
    <x v="11"/>
    <s v="Cam"/>
    <n v="2"/>
    <x v="1"/>
    <s v="Nico Collins"/>
    <x v="148"/>
    <n v="2024"/>
  </r>
  <r>
    <x v="11"/>
    <s v="Cam"/>
    <n v="2"/>
    <x v="1"/>
    <s v="Ja'Marr Chase"/>
    <x v="6"/>
    <n v="2024"/>
  </r>
  <r>
    <x v="11"/>
    <s v="Cam"/>
    <n v="2"/>
    <x v="1"/>
    <s v="Brandon Aiyuk"/>
    <x v="149"/>
    <n v="2024"/>
  </r>
  <r>
    <x v="11"/>
    <s v="Cam"/>
    <n v="2"/>
    <x v="2"/>
    <s v="Rhamondre Stevenson"/>
    <x v="101"/>
    <n v="2024"/>
  </r>
  <r>
    <x v="11"/>
    <s v="Cam"/>
    <n v="2"/>
    <x v="2"/>
    <s v="JK Dobbins"/>
    <x v="150"/>
    <n v="2024"/>
  </r>
  <r>
    <x v="11"/>
    <s v="Cam"/>
    <n v="2"/>
    <x v="3"/>
    <s v="George Kittle"/>
    <x v="125"/>
    <n v="2024"/>
  </r>
  <r>
    <x v="11"/>
    <s v="Cam"/>
    <n v="2"/>
    <x v="5"/>
    <s v="Evan McPherson"/>
    <x v="63"/>
    <n v="2024"/>
  </r>
  <r>
    <x v="11"/>
    <s v="Cam"/>
    <n v="2"/>
    <x v="4"/>
    <s v="Baltimore"/>
    <x v="32"/>
    <n v="2024"/>
  </r>
  <r>
    <x v="5"/>
    <s v="Burnett/Jasjaap"/>
    <n v="2"/>
    <x v="0"/>
    <s v="Brock Purdy"/>
    <x v="151"/>
    <n v="2024"/>
  </r>
  <r>
    <x v="5"/>
    <s v="Burnett/Jasjaap"/>
    <n v="2"/>
    <x v="1"/>
    <s v="CeeDee Lamb"/>
    <x v="62"/>
    <n v="2024"/>
  </r>
  <r>
    <x v="5"/>
    <s v="Burnett/Jasjaap"/>
    <n v="2"/>
    <x v="1"/>
    <s v="Jaylen Waddle"/>
    <x v="23"/>
    <n v="2024"/>
  </r>
  <r>
    <x v="5"/>
    <s v="Burnett/Jasjaap"/>
    <n v="2"/>
    <x v="1"/>
    <s v="Rashid Shaheed"/>
    <x v="57"/>
    <n v="2024"/>
  </r>
  <r>
    <x v="5"/>
    <s v="Burnett/Jasjaap"/>
    <n v="2"/>
    <x v="2"/>
    <s v="David Montgomery"/>
    <x v="63"/>
    <n v="2024"/>
  </r>
  <r>
    <x v="5"/>
    <s v="Burnett/Jasjaap"/>
    <n v="2"/>
    <x v="2"/>
    <s v="Josh Jacobs"/>
    <x v="152"/>
    <n v="2024"/>
  </r>
  <r>
    <x v="5"/>
    <s v="Burnett/Jasjaap"/>
    <n v="2"/>
    <x v="3"/>
    <s v="Brock Bowers"/>
    <x v="130"/>
    <n v="2024"/>
  </r>
  <r>
    <x v="5"/>
    <s v="Burnett/Jasjaap"/>
    <n v="2"/>
    <x v="5"/>
    <s v="Jake Elliott"/>
    <x v="76"/>
    <n v="2024"/>
  </r>
  <r>
    <x v="5"/>
    <s v="Burnett/Jasjaap"/>
    <n v="2"/>
    <x v="4"/>
    <s v="Pittsburgh"/>
    <x v="100"/>
    <n v="2024"/>
  </r>
  <r>
    <x v="0"/>
    <s v="Brenton"/>
    <n v="3"/>
    <x v="0"/>
    <s v="Derek Carr"/>
    <x v="153"/>
    <n v="2024"/>
  </r>
  <r>
    <x v="0"/>
    <s v="Brenton"/>
    <n v="3"/>
    <x v="1"/>
    <s v="Tyreek Hill"/>
    <x v="6"/>
    <n v="2024"/>
  </r>
  <r>
    <x v="0"/>
    <s v="Brenton"/>
    <n v="3"/>
    <x v="1"/>
    <s v="Zay Flowers"/>
    <x v="154"/>
    <n v="2024"/>
  </r>
  <r>
    <x v="0"/>
    <s v="Brenton"/>
    <n v="3"/>
    <x v="1"/>
    <s v="Jayden Reed"/>
    <x v="155"/>
    <n v="2024"/>
  </r>
  <r>
    <x v="0"/>
    <s v="Brenton"/>
    <n v="3"/>
    <x v="2"/>
    <s v="Cam Akers"/>
    <x v="156"/>
    <n v="2024"/>
  </r>
  <r>
    <x v="0"/>
    <s v="Brenton"/>
    <n v="3"/>
    <x v="2"/>
    <s v="Jerome Ford"/>
    <x v="157"/>
    <n v="2024"/>
  </r>
  <r>
    <x v="0"/>
    <s v="Brenton"/>
    <n v="3"/>
    <x v="3"/>
    <s v="Trey McBride"/>
    <x v="16"/>
    <n v="2024"/>
  </r>
  <r>
    <x v="0"/>
    <s v="Brenton"/>
    <n v="3"/>
    <x v="5"/>
    <s v="Tyler Bass"/>
    <x v="138"/>
    <n v="2024"/>
  </r>
  <r>
    <x v="0"/>
    <s v="Brenton"/>
    <n v="3"/>
    <x v="4"/>
    <s v="Tampa Bay"/>
    <x v="78"/>
    <n v="2024"/>
  </r>
  <r>
    <x v="3"/>
    <s v="Kevin"/>
    <n v="3"/>
    <x v="0"/>
    <s v="CJ Stroud"/>
    <x v="158"/>
    <n v="2024"/>
  </r>
  <r>
    <x v="3"/>
    <s v="Kevin"/>
    <n v="3"/>
    <x v="1"/>
    <s v="Chris Olave"/>
    <x v="159"/>
    <n v="2024"/>
  </r>
  <r>
    <x v="3"/>
    <s v="Kevin"/>
    <n v="3"/>
    <x v="1"/>
    <s v="Marvin Harrison Jr"/>
    <x v="134"/>
    <n v="2024"/>
  </r>
  <r>
    <x v="3"/>
    <s v="Kevin"/>
    <n v="3"/>
    <x v="1"/>
    <s v="George Pickens"/>
    <x v="136"/>
    <n v="2024"/>
  </r>
  <r>
    <x v="3"/>
    <s v="Kevin"/>
    <n v="3"/>
    <x v="2"/>
    <s v="Najee Harris"/>
    <x v="43"/>
    <n v="2024"/>
  </r>
  <r>
    <x v="3"/>
    <s v="Kevin"/>
    <n v="3"/>
    <x v="2"/>
    <s v="Joe Mixon"/>
    <x v="146"/>
    <n v="2024"/>
  </r>
  <r>
    <x v="3"/>
    <s v="Kevin"/>
    <n v="3"/>
    <x v="3"/>
    <s v="Hunter Henry"/>
    <x v="160"/>
    <n v="2024"/>
  </r>
  <r>
    <x v="3"/>
    <s v="Kevin"/>
    <n v="3"/>
    <x v="5"/>
    <s v="Justin Tucker"/>
    <x v="7"/>
    <n v="2024"/>
  </r>
  <r>
    <x v="3"/>
    <s v="Kevin"/>
    <n v="3"/>
    <x v="4"/>
    <s v="Cleveland"/>
    <x v="103"/>
    <n v="2024"/>
  </r>
  <r>
    <x v="2"/>
    <s v="Mike"/>
    <n v="3"/>
    <x v="0"/>
    <s v="Patrick Mahomes"/>
    <x v="104"/>
    <n v="2024"/>
  </r>
  <r>
    <x v="2"/>
    <s v="Mike"/>
    <n v="3"/>
    <x v="1"/>
    <s v="Tank Dell"/>
    <x v="161"/>
    <n v="2024"/>
  </r>
  <r>
    <x v="2"/>
    <s v="Mike"/>
    <n v="3"/>
    <x v="1"/>
    <s v="Davante Adams"/>
    <x v="25"/>
    <n v="2024"/>
  </r>
  <r>
    <x v="2"/>
    <s v="Mike"/>
    <n v="3"/>
    <x v="1"/>
    <s v="Khalil Shakir"/>
    <x v="11"/>
    <n v="2024"/>
  </r>
  <r>
    <x v="2"/>
    <s v="Mike"/>
    <n v="3"/>
    <x v="2"/>
    <s v="Derrick Henry"/>
    <x v="162"/>
    <n v="2024"/>
  </r>
  <r>
    <x v="2"/>
    <s v="Mike"/>
    <n v="3"/>
    <x v="2"/>
    <s v="Carson Steele"/>
    <x v="133"/>
    <n v="2024"/>
  </r>
  <r>
    <x v="2"/>
    <s v="Mike"/>
    <n v="3"/>
    <x v="3"/>
    <s v="Sam LaPorta"/>
    <x v="163"/>
    <n v="2024"/>
  </r>
  <r>
    <x v="2"/>
    <s v="Mike"/>
    <n v="3"/>
    <x v="5"/>
    <s v="Younghoe Koo"/>
    <x v="76"/>
    <n v="2024"/>
  </r>
  <r>
    <x v="2"/>
    <s v="Mike"/>
    <n v="3"/>
    <x v="4"/>
    <s v="Buffalo"/>
    <x v="100"/>
    <n v="2024"/>
  </r>
  <r>
    <x v="7"/>
    <s v="Jay"/>
    <n v="3"/>
    <x v="0"/>
    <s v="Lamar Jackson"/>
    <x v="164"/>
    <n v="2024"/>
  </r>
  <r>
    <x v="7"/>
    <s v="Jay"/>
    <n v="3"/>
    <x v="1"/>
    <s v="Amari Cooper"/>
    <x v="165"/>
    <n v="2024"/>
  </r>
  <r>
    <x v="7"/>
    <s v="Jay"/>
    <n v="3"/>
    <x v="1"/>
    <s v="Stefon Diggs"/>
    <x v="166"/>
    <n v="2024"/>
  </r>
  <r>
    <x v="7"/>
    <s v="Jay"/>
    <n v="3"/>
    <x v="1"/>
    <s v="Tee Higgins"/>
    <x v="167"/>
    <n v="2024"/>
  </r>
  <r>
    <x v="7"/>
    <s v="Jay"/>
    <n v="3"/>
    <x v="2"/>
    <s v="Jonathan Taylor"/>
    <x v="40"/>
    <n v="2024"/>
  </r>
  <r>
    <x v="7"/>
    <s v="Jay"/>
    <n v="3"/>
    <x v="2"/>
    <s v="Alvin Kamara"/>
    <x v="113"/>
    <n v="2024"/>
  </r>
  <r>
    <x v="7"/>
    <s v="Jay"/>
    <n v="3"/>
    <x v="3"/>
    <s v="Mark Andrews"/>
    <x v="146"/>
    <n v="2024"/>
  </r>
  <r>
    <x v="7"/>
    <s v="Jay"/>
    <n v="3"/>
    <x v="5"/>
    <s v="Ka'imi Fairbairn"/>
    <x v="78"/>
    <n v="2024"/>
  </r>
  <r>
    <x v="7"/>
    <s v="Jay"/>
    <n v="3"/>
    <x v="4"/>
    <s v="Cincinnati"/>
    <x v="129"/>
    <n v="2024"/>
  </r>
  <r>
    <x v="1"/>
    <s v="Todd"/>
    <n v="3"/>
    <x v="0"/>
    <s v="Dak Prescott"/>
    <x v="168"/>
    <n v="2024"/>
  </r>
  <r>
    <x v="1"/>
    <s v="Todd"/>
    <n v="3"/>
    <x v="1"/>
    <s v="Rashee Rice"/>
    <x v="169"/>
    <n v="2024"/>
  </r>
  <r>
    <x v="1"/>
    <s v="Todd"/>
    <n v="3"/>
    <x v="1"/>
    <s v="Brian Thomas Jr"/>
    <x v="170"/>
    <n v="2024"/>
  </r>
  <r>
    <x v="1"/>
    <s v="Todd"/>
    <n v="3"/>
    <x v="1"/>
    <s v="Calvin Ridley"/>
    <x v="171"/>
    <n v="2024"/>
  </r>
  <r>
    <x v="1"/>
    <s v="Todd"/>
    <n v="3"/>
    <x v="2"/>
    <s v="De'Von Achane"/>
    <x v="170"/>
    <n v="2024"/>
  </r>
  <r>
    <x v="1"/>
    <s v="Todd"/>
    <n v="3"/>
    <x v="2"/>
    <s v="D'Andre Swift"/>
    <x v="22"/>
    <n v="2024"/>
  </r>
  <r>
    <x v="1"/>
    <s v="Todd"/>
    <n v="3"/>
    <x v="3"/>
    <s v="Kyle Pitts"/>
    <x v="92"/>
    <n v="2024"/>
  </r>
  <r>
    <x v="1"/>
    <s v="Todd"/>
    <n v="3"/>
    <x v="5"/>
    <s v="Chris Boswell"/>
    <x v="32"/>
    <n v="2024"/>
  </r>
  <r>
    <x v="1"/>
    <s v="Todd"/>
    <n v="3"/>
    <x v="4"/>
    <s v="Las Vegas"/>
    <x v="172"/>
    <n v="2024"/>
  </r>
  <r>
    <x v="4"/>
    <s v="Eli"/>
    <n v="3"/>
    <x v="0"/>
    <s v="Jalen Hurts"/>
    <x v="173"/>
    <n v="2024"/>
  </r>
  <r>
    <x v="4"/>
    <s v="Eli"/>
    <n v="3"/>
    <x v="1"/>
    <s v="Justin Jefferson"/>
    <x v="125"/>
    <n v="2024"/>
  </r>
  <r>
    <x v="4"/>
    <s v="Eli"/>
    <n v="3"/>
    <x v="1"/>
    <s v="Rome Odunze"/>
    <x v="10"/>
    <n v="2024"/>
  </r>
  <r>
    <x v="4"/>
    <s v="Eli"/>
    <n v="3"/>
    <x v="1"/>
    <s v="DJ Moore"/>
    <x v="174"/>
    <n v="2024"/>
  </r>
  <r>
    <x v="4"/>
    <s v="Eli"/>
    <n v="3"/>
    <x v="2"/>
    <s v="Bijan Robinson"/>
    <x v="175"/>
    <n v="2024"/>
  </r>
  <r>
    <x v="4"/>
    <s v="Eli"/>
    <n v="3"/>
    <x v="2"/>
    <s v="Jordan Mason"/>
    <x v="158"/>
    <n v="2024"/>
  </r>
  <r>
    <x v="4"/>
    <s v="Eli"/>
    <n v="3"/>
    <x v="3"/>
    <s v="Dalton Schultz"/>
    <x v="28"/>
    <n v="2024"/>
  </r>
  <r>
    <x v="4"/>
    <s v="Eli"/>
    <n v="3"/>
    <x v="5"/>
    <s v="Jake Moody"/>
    <x v="25"/>
    <n v="2024"/>
  </r>
  <r>
    <x v="4"/>
    <s v="Eli"/>
    <n v="3"/>
    <x v="4"/>
    <s v="NYJ"/>
    <x v="176"/>
    <n v="2024"/>
  </r>
  <r>
    <x v="6"/>
    <s v="Will"/>
    <n v="3"/>
    <x v="0"/>
    <s v="Geno Smith"/>
    <x v="177"/>
    <n v="2024"/>
  </r>
  <r>
    <x v="6"/>
    <s v="Will"/>
    <n v="3"/>
    <x v="1"/>
    <s v="Amon-Ra St. Brown"/>
    <x v="62"/>
    <n v="2024"/>
  </r>
  <r>
    <x v="6"/>
    <s v="Will"/>
    <n v="3"/>
    <x v="1"/>
    <s v="Drake London"/>
    <x v="93"/>
    <n v="2024"/>
  </r>
  <r>
    <x v="6"/>
    <s v="Will"/>
    <n v="3"/>
    <x v="1"/>
    <s v="Ladd McConkey"/>
    <x v="178"/>
    <n v="2024"/>
  </r>
  <r>
    <x v="6"/>
    <s v="Will"/>
    <n v="3"/>
    <x v="2"/>
    <s v="Zach Charbonet"/>
    <x v="179"/>
    <n v="2024"/>
  </r>
  <r>
    <x v="6"/>
    <s v="Will"/>
    <n v="3"/>
    <x v="2"/>
    <s v="Travis Etienne"/>
    <x v="27"/>
    <n v="2024"/>
  </r>
  <r>
    <x v="6"/>
    <s v="Will"/>
    <n v="3"/>
    <x v="3"/>
    <s v="Travis Kelce"/>
    <x v="103"/>
    <n v="2024"/>
  </r>
  <r>
    <x v="6"/>
    <s v="Will"/>
    <n v="3"/>
    <x v="5"/>
    <s v="Jason Myers"/>
    <x v="32"/>
    <n v="2024"/>
  </r>
  <r>
    <x v="6"/>
    <s v="Will"/>
    <n v="3"/>
    <x v="4"/>
    <s v="Houston"/>
    <x v="16"/>
    <n v="2024"/>
  </r>
  <r>
    <x v="11"/>
    <s v="Cam"/>
    <n v="3"/>
    <x v="0"/>
    <s v="Joe Burrow"/>
    <x v="180"/>
    <n v="2024"/>
  </r>
  <r>
    <x v="11"/>
    <s v="Cam"/>
    <n v="3"/>
    <x v="1"/>
    <s v="Ja'Marr Chase"/>
    <x v="181"/>
    <n v="2024"/>
  </r>
  <r>
    <x v="11"/>
    <s v="Cam"/>
    <n v="3"/>
    <x v="1"/>
    <s v="Nico Collins"/>
    <x v="21"/>
    <n v="2024"/>
  </r>
  <r>
    <x v="11"/>
    <s v="Cam"/>
    <n v="3"/>
    <x v="1"/>
    <s v="Brandon Aiyuk"/>
    <x v="170"/>
    <n v="2024"/>
  </r>
  <r>
    <x v="11"/>
    <s v="Cam"/>
    <n v="3"/>
    <x v="2"/>
    <s v="Aaron Jones"/>
    <x v="182"/>
    <n v="2024"/>
  </r>
  <r>
    <x v="11"/>
    <s v="Cam"/>
    <n v="3"/>
    <x v="2"/>
    <s v="JK Dobbins"/>
    <x v="92"/>
    <n v="2024"/>
  </r>
  <r>
    <x v="11"/>
    <s v="Cam"/>
    <n v="3"/>
    <x v="3"/>
    <s v="Pat Freiermuth"/>
    <x v="128"/>
    <n v="2024"/>
  </r>
  <r>
    <x v="11"/>
    <s v="Cam"/>
    <n v="3"/>
    <x v="5"/>
    <s v="Evan McPherson"/>
    <x v="32"/>
    <n v="2024"/>
  </r>
  <r>
    <x v="11"/>
    <s v="Cam"/>
    <n v="3"/>
    <x v="4"/>
    <s v="Chicago"/>
    <x v="16"/>
    <n v="2024"/>
  </r>
  <r>
    <x v="8"/>
    <s v="Schulwolf"/>
    <n v="3"/>
    <x v="0"/>
    <s v="Jayden Daniels"/>
    <x v="183"/>
    <n v="2024"/>
  </r>
  <r>
    <x v="8"/>
    <s v="Schulwolf"/>
    <n v="3"/>
    <x v="1"/>
    <s v="Chris Godwin"/>
    <x v="130"/>
    <n v="2024"/>
  </r>
  <r>
    <x v="8"/>
    <s v="Schulwolf"/>
    <n v="3"/>
    <x v="1"/>
    <s v="DeVonta Smith"/>
    <x v="46"/>
    <n v="2024"/>
  </r>
  <r>
    <x v="8"/>
    <s v="Schulwolf"/>
    <n v="3"/>
    <x v="1"/>
    <s v="Jerry Jeudy"/>
    <x v="184"/>
    <n v="2024"/>
  </r>
  <r>
    <x v="8"/>
    <s v="Schulwolf"/>
    <n v="3"/>
    <x v="2"/>
    <s v="Zack Moss"/>
    <x v="185"/>
    <n v="2024"/>
  </r>
  <r>
    <x v="8"/>
    <s v="Schulwolf"/>
    <n v="3"/>
    <x v="2"/>
    <s v="James Cook"/>
    <x v="186"/>
    <n v="2024"/>
  </r>
  <r>
    <x v="8"/>
    <s v="Schulwolf"/>
    <n v="3"/>
    <x v="3"/>
    <s v="Dalton Kincaid"/>
    <x v="187"/>
    <n v="2024"/>
  </r>
  <r>
    <x v="8"/>
    <s v="Schulwolf"/>
    <n v="3"/>
    <x v="5"/>
    <s v="Brandon Aubrey"/>
    <x v="138"/>
    <n v="2024"/>
  </r>
  <r>
    <x v="8"/>
    <s v="Schulwolf"/>
    <n v="3"/>
    <x v="4"/>
    <s v="Dallas"/>
    <x v="188"/>
    <n v="2024"/>
  </r>
  <r>
    <x v="10"/>
    <s v="Brand"/>
    <n v="3"/>
    <x v="0"/>
    <s v="Anthony Richardson"/>
    <x v="189"/>
    <n v="2024"/>
  </r>
  <r>
    <x v="10"/>
    <s v="Brand"/>
    <n v="3"/>
    <x v="1"/>
    <s v="Garrett Wilson"/>
    <x v="69"/>
    <n v="2024"/>
  </r>
  <r>
    <x v="10"/>
    <s v="Brand"/>
    <n v="3"/>
    <x v="1"/>
    <s v="Michael Pittman"/>
    <x v="90"/>
    <n v="2024"/>
  </r>
  <r>
    <x v="10"/>
    <s v="Brand"/>
    <n v="3"/>
    <x v="1"/>
    <s v="Brandin Cooks"/>
    <x v="59"/>
    <n v="2024"/>
  </r>
  <r>
    <x v="10"/>
    <s v="Brand"/>
    <n v="3"/>
    <x v="2"/>
    <s v="Breece Hall"/>
    <x v="190"/>
    <n v="2024"/>
  </r>
  <r>
    <x v="10"/>
    <s v="Brand"/>
    <n v="3"/>
    <x v="2"/>
    <s v="Bucky Irving"/>
    <x v="191"/>
    <n v="2024"/>
  </r>
  <r>
    <x v="10"/>
    <s v="Brand"/>
    <n v="3"/>
    <x v="3"/>
    <s v="Dallas Goedert"/>
    <x v="192"/>
    <n v="2024"/>
  </r>
  <r>
    <x v="10"/>
    <s v="Brand"/>
    <n v="3"/>
    <x v="5"/>
    <s v="Cairo Santos"/>
    <x v="25"/>
    <n v="2024"/>
  </r>
  <r>
    <x v="10"/>
    <s v="Brand"/>
    <n v="3"/>
    <x v="4"/>
    <s v="Indianapolis"/>
    <x v="8"/>
    <n v="2024"/>
  </r>
  <r>
    <x v="9"/>
    <s v="Tommy"/>
    <n v="3"/>
    <x v="0"/>
    <s v="Josh Allen"/>
    <x v="193"/>
    <n v="2024"/>
  </r>
  <r>
    <x v="9"/>
    <s v="Tommy"/>
    <n v="3"/>
    <x v="1"/>
    <s v="Malik Nabers"/>
    <x v="179"/>
    <n v="2024"/>
  </r>
  <r>
    <x v="9"/>
    <s v="Tommy"/>
    <n v="3"/>
    <x v="1"/>
    <s v="DK Metcalf"/>
    <x v="194"/>
    <n v="2024"/>
  </r>
  <r>
    <x v="9"/>
    <s v="Tommy"/>
    <n v="3"/>
    <x v="1"/>
    <s v="Xavier Worthy"/>
    <x v="16"/>
    <n v="2024"/>
  </r>
  <r>
    <x v="9"/>
    <s v="Tommy"/>
    <n v="3"/>
    <x v="2"/>
    <s v="Saquon Barkley"/>
    <x v="195"/>
    <n v="2024"/>
  </r>
  <r>
    <x v="9"/>
    <s v="Tommy"/>
    <n v="3"/>
    <x v="2"/>
    <s v="Kyren Williams"/>
    <x v="196"/>
    <n v="2024"/>
  </r>
  <r>
    <x v="9"/>
    <s v="Tommy"/>
    <n v="3"/>
    <x v="3"/>
    <s v="Mike Gesicki"/>
    <x v="184"/>
    <n v="2024"/>
  </r>
  <r>
    <x v="9"/>
    <s v="Tommy"/>
    <n v="3"/>
    <x v="5"/>
    <s v="Harrison Butker"/>
    <x v="122"/>
    <n v="2024"/>
  </r>
  <r>
    <x v="9"/>
    <s v="Tommy"/>
    <n v="3"/>
    <x v="4"/>
    <s v="San Francisco"/>
    <x v="16"/>
    <n v="2024"/>
  </r>
  <r>
    <x v="5"/>
    <s v="Burnett/Jasjaap"/>
    <n v="3"/>
    <x v="0"/>
    <s v="Brock Purdy"/>
    <x v="197"/>
    <n v="2024"/>
  </r>
  <r>
    <x v="5"/>
    <s v="Burnett/Jasjaap"/>
    <n v="3"/>
    <x v="1"/>
    <s v="CeeDee Lamb"/>
    <x v="184"/>
    <n v="2024"/>
  </r>
  <r>
    <x v="5"/>
    <s v="Burnett/Jasjaap"/>
    <n v="3"/>
    <x v="1"/>
    <s v="Jaylen Waddle"/>
    <x v="163"/>
    <n v="2024"/>
  </r>
  <r>
    <x v="5"/>
    <s v="Burnett/Jasjaap"/>
    <n v="3"/>
    <x v="1"/>
    <s v="Rashid Shaheed"/>
    <x v="146"/>
    <n v="2024"/>
  </r>
  <r>
    <x v="5"/>
    <s v="Burnett/Jasjaap"/>
    <n v="3"/>
    <x v="2"/>
    <s v="David Montgomery"/>
    <x v="198"/>
    <n v="2024"/>
  </r>
  <r>
    <x v="5"/>
    <s v="Burnett/Jasjaap"/>
    <n v="3"/>
    <x v="2"/>
    <s v="Josh Jacobs"/>
    <x v="128"/>
    <n v="2024"/>
  </r>
  <r>
    <x v="5"/>
    <s v="Burnett/Jasjaap"/>
    <n v="3"/>
    <x v="3"/>
    <s v="Brock Bowers"/>
    <x v="90"/>
    <n v="2024"/>
  </r>
  <r>
    <x v="5"/>
    <s v="Burnett/Jasjaap"/>
    <n v="3"/>
    <x v="5"/>
    <s v="Jake Elliott"/>
    <x v="78"/>
    <n v="2024"/>
  </r>
  <r>
    <x v="5"/>
    <s v="Burnett/Jasjaap"/>
    <n v="3"/>
    <x v="4"/>
    <s v="Pittsburgh"/>
    <x v="122"/>
    <n v="2024"/>
  </r>
  <r>
    <x v="0"/>
    <s v="Brenton"/>
    <n v="4"/>
    <x v="0"/>
    <s v="Baker Mayfield"/>
    <x v="199"/>
    <n v="2024"/>
  </r>
  <r>
    <x v="0"/>
    <s v="Brenton"/>
    <n v="4"/>
    <x v="1"/>
    <s v="Jayden Reed"/>
    <x v="200"/>
    <n v="2024"/>
  </r>
  <r>
    <x v="0"/>
    <s v="Brenton"/>
    <n v="4"/>
    <x v="1"/>
    <s v="Courtland Sutton"/>
    <x v="201"/>
    <n v="2024"/>
  </r>
  <r>
    <x v="0"/>
    <s v="Brenton"/>
    <n v="4"/>
    <x v="1"/>
    <s v="Tyreek Hill"/>
    <x v="45"/>
    <n v="2024"/>
  </r>
  <r>
    <x v="0"/>
    <s v="Brenton"/>
    <n v="4"/>
    <x v="2"/>
    <s v="Jerome Ford"/>
    <x v="122"/>
    <n v="2024"/>
  </r>
  <r>
    <x v="0"/>
    <s v="Brenton"/>
    <n v="4"/>
    <x v="2"/>
    <s v="Cam Akers"/>
    <x v="128"/>
    <n v="2024"/>
  </r>
  <r>
    <x v="0"/>
    <s v="Brenton"/>
    <n v="4"/>
    <x v="3"/>
    <s v="Colby Parkinson"/>
    <x v="128"/>
    <n v="2024"/>
  </r>
  <r>
    <x v="0"/>
    <s v="Brenton"/>
    <n v="4"/>
    <x v="5"/>
    <s v="Tyler Bass"/>
    <x v="103"/>
    <n v="2024"/>
  </r>
  <r>
    <x v="0"/>
    <s v="Brenton"/>
    <n v="4"/>
    <x v="4"/>
    <s v="Kansas City"/>
    <x v="76"/>
    <n v="2024"/>
  </r>
  <r>
    <x v="0"/>
    <s v="Brenton"/>
    <n v="4"/>
    <x v="6"/>
    <s v="Zay Flowers"/>
    <x v="202"/>
    <n v="2024"/>
  </r>
  <r>
    <x v="7"/>
    <s v="Jay"/>
    <n v="4"/>
    <x v="0"/>
    <s v="Lamar Jackson"/>
    <x v="203"/>
    <n v="2024"/>
  </r>
  <r>
    <x v="7"/>
    <s v="Jay"/>
    <n v="4"/>
    <x v="1"/>
    <s v="Amari Cooper"/>
    <x v="6"/>
    <n v="2024"/>
  </r>
  <r>
    <x v="7"/>
    <s v="Jay"/>
    <n v="4"/>
    <x v="1"/>
    <s v="Stefon Diggs"/>
    <x v="101"/>
    <n v="2024"/>
  </r>
  <r>
    <x v="7"/>
    <s v="Jay"/>
    <n v="4"/>
    <x v="1"/>
    <s v="Jauan Jennings"/>
    <x v="204"/>
    <n v="2024"/>
  </r>
  <r>
    <x v="7"/>
    <s v="Jay"/>
    <n v="4"/>
    <x v="2"/>
    <s v="Brian Robinson"/>
    <x v="88"/>
    <n v="2024"/>
  </r>
  <r>
    <x v="7"/>
    <s v="Jay"/>
    <n v="4"/>
    <x v="2"/>
    <s v="Alvin Kamara"/>
    <x v="205"/>
    <n v="2024"/>
  </r>
  <r>
    <x v="7"/>
    <s v="Jay"/>
    <n v="4"/>
    <x v="3"/>
    <s v="Tyler Conklin"/>
    <x v="206"/>
    <n v="2024"/>
  </r>
  <r>
    <x v="7"/>
    <s v="Jay"/>
    <n v="4"/>
    <x v="5"/>
    <s v="Ka'imi Fairbairn"/>
    <x v="25"/>
    <n v="2024"/>
  </r>
  <r>
    <x v="7"/>
    <s v="Jay"/>
    <n v="4"/>
    <x v="4"/>
    <s v="Miami"/>
    <x v="7"/>
    <n v="2024"/>
  </r>
  <r>
    <x v="7"/>
    <s v="Jay"/>
    <n v="4"/>
    <x v="7"/>
    <s v="Jonathan Taylor"/>
    <x v="67"/>
    <n v="2024"/>
  </r>
  <r>
    <x v="8"/>
    <s v="Schulwolf"/>
    <n v="4"/>
    <x v="0"/>
    <s v="Jayden Daniels"/>
    <x v="207"/>
    <n v="2024"/>
  </r>
  <r>
    <x v="8"/>
    <s v="Schulwolf"/>
    <n v="4"/>
    <x v="1"/>
    <s v="Terry McLaurin"/>
    <x v="85"/>
    <n v="2024"/>
  </r>
  <r>
    <x v="8"/>
    <s v="Schulwolf"/>
    <n v="4"/>
    <x v="1"/>
    <s v="Jerry Jeudy"/>
    <x v="208"/>
    <n v="2024"/>
  </r>
  <r>
    <x v="8"/>
    <s v="Schulwolf"/>
    <n v="4"/>
    <x v="1"/>
    <s v="Chris Godwin"/>
    <x v="191"/>
    <n v="2024"/>
  </r>
  <r>
    <x v="8"/>
    <s v="Schulwolf"/>
    <n v="4"/>
    <x v="2"/>
    <s v="Jahmyr Gibbs"/>
    <x v="209"/>
    <n v="2024"/>
  </r>
  <r>
    <x v="8"/>
    <s v="Schulwolf"/>
    <n v="4"/>
    <x v="2"/>
    <s v="Zack Moss"/>
    <x v="47"/>
    <n v="2024"/>
  </r>
  <r>
    <x v="8"/>
    <s v="Schulwolf"/>
    <n v="4"/>
    <x v="3"/>
    <s v="Dalton Kincaid"/>
    <x v="210"/>
    <n v="2024"/>
  </r>
  <r>
    <x v="8"/>
    <s v="Schulwolf"/>
    <n v="4"/>
    <x v="5"/>
    <s v="Brandon Aubrey"/>
    <x v="138"/>
    <n v="2024"/>
  </r>
  <r>
    <x v="8"/>
    <s v="Schulwolf"/>
    <n v="4"/>
    <x v="4"/>
    <s v="Dallas"/>
    <x v="7"/>
    <n v="2024"/>
  </r>
  <r>
    <x v="8"/>
    <s v="Schulwolf"/>
    <n v="4"/>
    <x v="7"/>
    <s v="James Cook"/>
    <x v="128"/>
    <n v="2024"/>
  </r>
  <r>
    <x v="5"/>
    <s v="Burnett/Jasjaap"/>
    <n v="4"/>
    <x v="0"/>
    <s v="Brock Purdy"/>
    <x v="211"/>
    <n v="2024"/>
  </r>
  <r>
    <x v="5"/>
    <s v="Burnett/Jasjaap"/>
    <n v="4"/>
    <x v="1"/>
    <s v="CeeDee Lamb"/>
    <x v="87"/>
    <n v="2024"/>
  </r>
  <r>
    <x v="5"/>
    <s v="Burnett/Jasjaap"/>
    <n v="4"/>
    <x v="1"/>
    <s v="Jaylen Waddle"/>
    <x v="90"/>
    <n v="2024"/>
  </r>
  <r>
    <x v="5"/>
    <s v="Burnett/Jasjaap"/>
    <n v="4"/>
    <x v="1"/>
    <s v="Rashid Shaheed"/>
    <x v="20"/>
    <n v="2024"/>
  </r>
  <r>
    <x v="5"/>
    <s v="Burnett/Jasjaap"/>
    <n v="4"/>
    <x v="2"/>
    <s v="David Montgomery"/>
    <x v="107"/>
    <n v="2024"/>
  </r>
  <r>
    <x v="5"/>
    <s v="Burnett/Jasjaap"/>
    <n v="4"/>
    <x v="2"/>
    <s v="Josh Jacobs"/>
    <x v="158"/>
    <n v="2024"/>
  </r>
  <r>
    <x v="5"/>
    <s v="Burnett/Jasjaap"/>
    <n v="4"/>
    <x v="3"/>
    <s v="Brock Bowers"/>
    <x v="86"/>
    <n v="2024"/>
  </r>
  <r>
    <x v="5"/>
    <s v="Burnett/Jasjaap"/>
    <n v="4"/>
    <x v="5"/>
    <s v="Jake Elliott"/>
    <x v="139"/>
    <n v="2024"/>
  </r>
  <r>
    <x v="5"/>
    <s v="Burnett/Jasjaap"/>
    <n v="4"/>
    <x v="4"/>
    <s v="Pittsburgh"/>
    <x v="78"/>
    <n v="2024"/>
  </r>
  <r>
    <x v="5"/>
    <s v="Burnett/Jasjaap"/>
    <n v="4"/>
    <x v="7"/>
    <s v="Gus Edwards"/>
    <x v="160"/>
    <n v="2024"/>
  </r>
  <r>
    <x v="2"/>
    <s v="Mike"/>
    <n v="4"/>
    <x v="0"/>
    <s v="Patrick Mahomes"/>
    <x v="49"/>
    <n v="2024"/>
  </r>
  <r>
    <x v="2"/>
    <s v="Mike"/>
    <n v="4"/>
    <x v="1"/>
    <s v="Mike Evans"/>
    <x v="212"/>
    <n v="2024"/>
  </r>
  <r>
    <x v="2"/>
    <s v="Mike"/>
    <n v="4"/>
    <x v="1"/>
    <s v="Khalil Shakir"/>
    <x v="136"/>
    <n v="2024"/>
  </r>
  <r>
    <x v="2"/>
    <s v="Mike"/>
    <n v="4"/>
    <x v="1"/>
    <s v="Quentin Johnston"/>
    <x v="213"/>
    <n v="2024"/>
  </r>
  <r>
    <x v="2"/>
    <s v="Mike"/>
    <n v="4"/>
    <x v="2"/>
    <s v="Derrick Henry"/>
    <x v="214"/>
    <n v="2024"/>
  </r>
  <r>
    <x v="2"/>
    <s v="Mike"/>
    <n v="4"/>
    <x v="2"/>
    <s v="Carson Steele"/>
    <x v="215"/>
    <n v="2024"/>
  </r>
  <r>
    <x v="2"/>
    <s v="Mike"/>
    <n v="4"/>
    <x v="3"/>
    <s v="Jake Ferguson"/>
    <x v="18"/>
    <n v="2024"/>
  </r>
  <r>
    <x v="2"/>
    <s v="Mike"/>
    <n v="4"/>
    <x v="5"/>
    <s v="Younghoe Koo"/>
    <x v="109"/>
    <n v="2024"/>
  </r>
  <r>
    <x v="2"/>
    <s v="Mike"/>
    <n v="4"/>
    <x v="4"/>
    <s v="Buffalo"/>
    <x v="188"/>
    <n v="2024"/>
  </r>
  <r>
    <x v="2"/>
    <s v="Mike"/>
    <n v="4"/>
    <x v="8"/>
    <s v="Sam LaPorta"/>
    <x v="170"/>
    <n v="2024"/>
  </r>
  <r>
    <x v="4"/>
    <s v="Eli"/>
    <n v="4"/>
    <x v="0"/>
    <s v="Jalen Hurts"/>
    <x v="216"/>
    <n v="2024"/>
  </r>
  <r>
    <x v="4"/>
    <s v="Eli"/>
    <n v="4"/>
    <x v="1"/>
    <s v="Justin Jefferson"/>
    <x v="217"/>
    <n v="2024"/>
  </r>
  <r>
    <x v="4"/>
    <s v="Eli"/>
    <n v="4"/>
    <x v="1"/>
    <s v="DJ Moore"/>
    <x v="218"/>
    <n v="2024"/>
  </r>
  <r>
    <x v="4"/>
    <s v="Eli"/>
    <n v="4"/>
    <x v="1"/>
    <s v="Jalen Tolbert"/>
    <x v="132"/>
    <n v="2024"/>
  </r>
  <r>
    <x v="4"/>
    <s v="Eli"/>
    <n v="4"/>
    <x v="2"/>
    <s v="Jordan Mason"/>
    <x v="33"/>
    <n v="2024"/>
  </r>
  <r>
    <x v="4"/>
    <s v="Eli"/>
    <n v="4"/>
    <x v="2"/>
    <s v="Bijan Robinson"/>
    <x v="156"/>
    <n v="2024"/>
  </r>
  <r>
    <x v="4"/>
    <s v="Eli"/>
    <n v="4"/>
    <x v="3"/>
    <s v="Dalton Schultz"/>
    <x v="219"/>
    <n v="2024"/>
  </r>
  <r>
    <x v="4"/>
    <s v="Eli"/>
    <n v="4"/>
    <x v="5"/>
    <s v="Jake Moody"/>
    <x v="49"/>
    <n v="2024"/>
  </r>
  <r>
    <x v="4"/>
    <s v="Eli"/>
    <n v="4"/>
    <x v="4"/>
    <s v="NYJ"/>
    <x v="24"/>
    <n v="2024"/>
  </r>
  <r>
    <x v="4"/>
    <s v="Eli"/>
    <n v="4"/>
    <x v="6"/>
    <s v="Rome Odunze"/>
    <x v="202"/>
    <n v="2024"/>
  </r>
  <r>
    <x v="1"/>
    <s v="Todd"/>
    <n v="4"/>
    <x v="0"/>
    <s v="Dak Prescott"/>
    <x v="220"/>
    <n v="2024"/>
  </r>
  <r>
    <x v="1"/>
    <s v="Todd"/>
    <n v="4"/>
    <x v="1"/>
    <s v="Brian Thomas Jr"/>
    <x v="57"/>
    <n v="2024"/>
  </r>
  <r>
    <x v="1"/>
    <s v="Todd"/>
    <n v="4"/>
    <x v="1"/>
    <s v="Diontae Johnson"/>
    <x v="14"/>
    <n v="2024"/>
  </r>
  <r>
    <x v="1"/>
    <s v="Todd"/>
    <n v="4"/>
    <x v="1"/>
    <s v="Deebo Samuel"/>
    <x v="161"/>
    <n v="2024"/>
  </r>
  <r>
    <x v="1"/>
    <s v="Todd"/>
    <n v="4"/>
    <x v="2"/>
    <s v="James Conner"/>
    <x v="14"/>
    <n v="2024"/>
  </r>
  <r>
    <x v="1"/>
    <s v="Todd"/>
    <n v="4"/>
    <x v="2"/>
    <s v="De'Von Achane"/>
    <x v="75"/>
    <n v="2024"/>
  </r>
  <r>
    <x v="1"/>
    <s v="Todd"/>
    <n v="4"/>
    <x v="3"/>
    <s v="Kyle Pitts"/>
    <x v="146"/>
    <n v="2024"/>
  </r>
  <r>
    <x v="1"/>
    <s v="Todd"/>
    <n v="4"/>
    <x v="5"/>
    <s v="Chris Boswell"/>
    <x v="32"/>
    <n v="2024"/>
  </r>
  <r>
    <x v="1"/>
    <s v="Todd"/>
    <n v="4"/>
    <x v="4"/>
    <s v="Tennessee"/>
    <x v="49"/>
    <n v="2024"/>
  </r>
  <r>
    <x v="1"/>
    <s v="Todd"/>
    <n v="4"/>
    <x v="6"/>
    <s v="Rashee Rice"/>
    <x v="146"/>
    <n v="2024"/>
  </r>
  <r>
    <x v="11"/>
    <s v="Cam"/>
    <n v="4"/>
    <x v="0"/>
    <s v="Kyler Murray"/>
    <x v="221"/>
    <n v="2024"/>
  </r>
  <r>
    <x v="11"/>
    <s v="Cam"/>
    <n v="4"/>
    <x v="1"/>
    <s v="Ja'Marr Chase"/>
    <x v="101"/>
    <n v="2024"/>
  </r>
  <r>
    <x v="11"/>
    <s v="Cam"/>
    <n v="4"/>
    <x v="1"/>
    <s v="Nico Collins"/>
    <x v="222"/>
    <n v="2024"/>
  </r>
  <r>
    <x v="11"/>
    <s v="Cam"/>
    <n v="4"/>
    <x v="1"/>
    <s v="Jakobi Meyers"/>
    <x v="223"/>
    <n v="2024"/>
  </r>
  <r>
    <x v="11"/>
    <s v="Cam"/>
    <n v="4"/>
    <x v="2"/>
    <s v="Aaron Jones"/>
    <x v="4"/>
    <n v="2024"/>
  </r>
  <r>
    <x v="11"/>
    <s v="Cam"/>
    <n v="4"/>
    <x v="2"/>
    <s v="Rhamondre Stevenson"/>
    <x v="45"/>
    <n v="2024"/>
  </r>
  <r>
    <x v="11"/>
    <s v="Cam"/>
    <n v="4"/>
    <x v="3"/>
    <s v="George Kittle"/>
    <x v="224"/>
    <n v="2024"/>
  </r>
  <r>
    <x v="11"/>
    <s v="Cam"/>
    <n v="4"/>
    <x v="5"/>
    <s v="Evan McPherson"/>
    <x v="49"/>
    <n v="2024"/>
  </r>
  <r>
    <x v="11"/>
    <s v="Cam"/>
    <n v="4"/>
    <x v="4"/>
    <s v="Chicago"/>
    <x v="76"/>
    <n v="2024"/>
  </r>
  <r>
    <x v="11"/>
    <s v="Cam"/>
    <n v="4"/>
    <x v="6"/>
    <s v="Brandon Aiyuk"/>
    <x v="225"/>
    <n v="2024"/>
  </r>
  <r>
    <x v="6"/>
    <s v="Will"/>
    <n v="4"/>
    <x v="0"/>
    <s v="Geno Smith"/>
    <x v="226"/>
    <n v="2024"/>
  </r>
  <r>
    <x v="6"/>
    <s v="Will"/>
    <n v="4"/>
    <x v="1"/>
    <s v="Amon-Ra St. Brown"/>
    <x v="227"/>
    <n v="2024"/>
  </r>
  <r>
    <x v="6"/>
    <s v="Will"/>
    <n v="4"/>
    <x v="1"/>
    <s v="Drake London"/>
    <x v="156"/>
    <n v="2024"/>
  </r>
  <r>
    <x v="6"/>
    <s v="Will"/>
    <n v="4"/>
    <x v="1"/>
    <s v="Ladd McConkey"/>
    <x v="228"/>
    <n v="2024"/>
  </r>
  <r>
    <x v="6"/>
    <s v="Will"/>
    <n v="4"/>
    <x v="2"/>
    <s v="Travis Etienne"/>
    <x v="23"/>
    <n v="2024"/>
  </r>
  <r>
    <x v="6"/>
    <s v="Will"/>
    <n v="4"/>
    <x v="2"/>
    <s v="Zach Charbonet"/>
    <x v="133"/>
    <n v="2024"/>
  </r>
  <r>
    <x v="6"/>
    <s v="Will"/>
    <n v="4"/>
    <x v="3"/>
    <s v="Travis Kelce"/>
    <x v="51"/>
    <n v="2024"/>
  </r>
  <r>
    <x v="6"/>
    <s v="Will"/>
    <n v="4"/>
    <x v="5"/>
    <s v="Jason Myers"/>
    <x v="7"/>
    <n v="2024"/>
  </r>
  <r>
    <x v="6"/>
    <s v="Will"/>
    <n v="4"/>
    <x v="4"/>
    <s v="Houston"/>
    <x v="78"/>
    <n v="2024"/>
  </r>
  <r>
    <x v="6"/>
    <s v="Will"/>
    <n v="4"/>
    <x v="6"/>
    <s v="Jaxon Smith-Njigba"/>
    <x v="74"/>
    <n v="2024"/>
  </r>
  <r>
    <x v="9"/>
    <s v="Tommy"/>
    <n v="4"/>
    <x v="0"/>
    <s v="Josh Allen"/>
    <x v="170"/>
    <n v="2024"/>
  </r>
  <r>
    <x v="9"/>
    <s v="Tommy"/>
    <n v="4"/>
    <x v="1"/>
    <s v="Malik Nabers"/>
    <x v="125"/>
    <n v="2024"/>
  </r>
  <r>
    <x v="9"/>
    <s v="Tommy"/>
    <n v="4"/>
    <x v="1"/>
    <s v="Xavier Worthy"/>
    <x v="31"/>
    <n v="2024"/>
  </r>
  <r>
    <x v="9"/>
    <s v="Tommy"/>
    <n v="4"/>
    <x v="1"/>
    <s v="DK Metcalf"/>
    <x v="66"/>
    <n v="2024"/>
  </r>
  <r>
    <x v="9"/>
    <s v="Tommy"/>
    <n v="4"/>
    <x v="2"/>
    <s v="Kyren Williams"/>
    <x v="194"/>
    <n v="2024"/>
  </r>
  <r>
    <x v="9"/>
    <s v="Tommy"/>
    <n v="4"/>
    <x v="2"/>
    <s v="Saquon Barkley"/>
    <x v="229"/>
    <n v="2024"/>
  </r>
  <r>
    <x v="9"/>
    <s v="Tommy"/>
    <n v="4"/>
    <x v="3"/>
    <s v="Mike Gesicki"/>
    <x v="230"/>
    <n v="2024"/>
  </r>
  <r>
    <x v="9"/>
    <s v="Tommy"/>
    <n v="4"/>
    <x v="5"/>
    <s v="Harrison Butker"/>
    <x v="103"/>
    <n v="2024"/>
  </r>
  <r>
    <x v="9"/>
    <s v="Tommy"/>
    <n v="4"/>
    <x v="4"/>
    <s v="San Francisco"/>
    <x v="33"/>
    <n v="2024"/>
  </r>
  <r>
    <x v="9"/>
    <s v="Tommy"/>
    <n v="4"/>
    <x v="7"/>
    <s v="Rachaad White"/>
    <x v="156"/>
    <n v="2024"/>
  </r>
  <r>
    <x v="10"/>
    <s v="Brand"/>
    <n v="4"/>
    <x v="0"/>
    <s v="Anthony Richardson"/>
    <x v="231"/>
    <n v="2024"/>
  </r>
  <r>
    <x v="10"/>
    <s v="Brand"/>
    <n v="4"/>
    <x v="1"/>
    <s v="Michael Pittman"/>
    <x v="130"/>
    <n v="2024"/>
  </r>
  <r>
    <x v="10"/>
    <s v="Brand"/>
    <n v="4"/>
    <x v="1"/>
    <s v="Garrett Wilson"/>
    <x v="163"/>
    <n v="2024"/>
  </r>
  <r>
    <x v="10"/>
    <s v="Brand"/>
    <n v="4"/>
    <x v="1"/>
    <s v="Jameson Williams"/>
    <x v="63"/>
    <n v="2024"/>
  </r>
  <r>
    <x v="10"/>
    <s v="Brand"/>
    <n v="4"/>
    <x v="2"/>
    <s v="Kenneth Walker"/>
    <x v="195"/>
    <n v="2024"/>
  </r>
  <r>
    <x v="10"/>
    <s v="Brand"/>
    <n v="4"/>
    <x v="2"/>
    <s v="Breece Hall"/>
    <x v="5"/>
    <n v="2024"/>
  </r>
  <r>
    <x v="10"/>
    <s v="Brand"/>
    <n v="4"/>
    <x v="3"/>
    <s v="Dallas Goedert"/>
    <x v="218"/>
    <n v="2024"/>
  </r>
  <r>
    <x v="10"/>
    <s v="Brand"/>
    <n v="4"/>
    <x v="5"/>
    <s v="Cairo Santos"/>
    <x v="76"/>
    <n v="2024"/>
  </r>
  <r>
    <x v="10"/>
    <s v="Brand"/>
    <n v="4"/>
    <x v="4"/>
    <s v="Las Vegas"/>
    <x v="8"/>
    <n v="2024"/>
  </r>
  <r>
    <x v="10"/>
    <s v="Brand"/>
    <n v="4"/>
    <x v="6"/>
    <s v="Keenan Allen"/>
    <x v="232"/>
    <n v="2024"/>
  </r>
  <r>
    <x v="3"/>
    <s v="Kevin"/>
    <n v="4"/>
    <x v="0"/>
    <s v="CJ Stroud"/>
    <x v="148"/>
    <n v="2024"/>
  </r>
  <r>
    <x v="3"/>
    <s v="Kevin"/>
    <n v="4"/>
    <x v="1"/>
    <s v="Jordan Addison"/>
    <x v="205"/>
    <n v="2024"/>
  </r>
  <r>
    <x v="3"/>
    <s v="Kevin"/>
    <n v="4"/>
    <x v="1"/>
    <s v="Marvin Harrison Jr"/>
    <x v="49"/>
    <n v="2024"/>
  </r>
  <r>
    <x v="3"/>
    <s v="Kevin"/>
    <n v="4"/>
    <x v="1"/>
    <s v="George Pickens"/>
    <x v="233"/>
    <n v="2024"/>
  </r>
  <r>
    <x v="3"/>
    <s v="Kevin"/>
    <n v="4"/>
    <x v="2"/>
    <s v="Chuba Hubbard"/>
    <x v="87"/>
    <n v="2024"/>
  </r>
  <r>
    <x v="3"/>
    <s v="Kevin"/>
    <n v="4"/>
    <x v="2"/>
    <s v="Najee Harris"/>
    <x v="48"/>
    <n v="2024"/>
  </r>
  <r>
    <x v="3"/>
    <s v="Kevin"/>
    <n v="4"/>
    <x v="3"/>
    <s v="Hunter Henry"/>
    <x v="37"/>
    <n v="2024"/>
  </r>
  <r>
    <x v="3"/>
    <s v="Kevin"/>
    <n v="4"/>
    <x v="5"/>
    <s v="Justin Tucker"/>
    <x v="103"/>
    <n v="2024"/>
  </r>
  <r>
    <x v="3"/>
    <s v="Kevin"/>
    <n v="4"/>
    <x v="4"/>
    <s v="Cleveland"/>
    <x v="122"/>
    <n v="2024"/>
  </r>
  <r>
    <x v="3"/>
    <s v="Kevin"/>
    <n v="4"/>
    <x v="6"/>
    <s v="Chris Olave"/>
    <x v="234"/>
    <n v="202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64">
  <r>
    <x v="0"/>
    <s v="Brenton"/>
    <n v="1"/>
    <x v="0"/>
    <s v="Trevor Lawrence"/>
    <x v="0"/>
    <n v="2024"/>
  </r>
  <r>
    <x v="0"/>
    <s v="Brenton"/>
    <n v="1"/>
    <x v="1"/>
    <s v="Jayden Reed"/>
    <x v="1"/>
    <n v="2024"/>
  </r>
  <r>
    <x v="0"/>
    <s v="Brenton"/>
    <n v="1"/>
    <x v="1"/>
    <s v="Tyreek Hill"/>
    <x v="2"/>
    <n v="2024"/>
  </r>
  <r>
    <x v="0"/>
    <s v="Brenton"/>
    <n v="1"/>
    <x v="1"/>
    <s v="Zay Flowers"/>
    <x v="3"/>
    <n v="2024"/>
  </r>
  <r>
    <x v="0"/>
    <s v="Brenton"/>
    <n v="1"/>
    <x v="2"/>
    <s v="Jerome Ford"/>
    <x v="4"/>
    <n v="2024"/>
  </r>
  <r>
    <x v="0"/>
    <s v="Brenton"/>
    <n v="1"/>
    <x v="2"/>
    <s v="Javonte Williams"/>
    <x v="5"/>
    <n v="2024"/>
  </r>
  <r>
    <x v="0"/>
    <s v="Brenton"/>
    <n v="1"/>
    <x v="3"/>
    <s v="Trey McBride"/>
    <x v="6"/>
    <n v="2024"/>
  </r>
  <r>
    <x v="0"/>
    <s v="Brenton"/>
    <n v="1"/>
    <x v="4"/>
    <s v="Cincinnati"/>
    <x v="7"/>
    <n v="2024"/>
  </r>
  <r>
    <x v="0"/>
    <s v="Brenton"/>
    <n v="1"/>
    <x v="5"/>
    <s v="Tyler Bass"/>
    <x v="8"/>
    <n v="2024"/>
  </r>
  <r>
    <x v="1"/>
    <s v="Todd"/>
    <n v="1"/>
    <x v="0"/>
    <s v="Dak Prescott"/>
    <x v="9"/>
    <n v="2024"/>
  </r>
  <r>
    <x v="1"/>
    <s v="Todd"/>
    <n v="1"/>
    <x v="1"/>
    <s v="AJ Brown"/>
    <x v="10"/>
    <n v="2024"/>
  </r>
  <r>
    <x v="1"/>
    <s v="Todd"/>
    <n v="1"/>
    <x v="1"/>
    <s v="Deebo Samuel"/>
    <x v="11"/>
    <n v="2024"/>
  </r>
  <r>
    <x v="1"/>
    <s v="Todd"/>
    <n v="1"/>
    <x v="1"/>
    <s v="Rashee Rice"/>
    <x v="12"/>
    <n v="2024"/>
  </r>
  <r>
    <x v="1"/>
    <s v="Todd"/>
    <n v="1"/>
    <x v="2"/>
    <s v="De'Von Achane"/>
    <x v="13"/>
    <n v="2024"/>
  </r>
  <r>
    <x v="1"/>
    <s v="Todd"/>
    <n v="1"/>
    <x v="2"/>
    <s v="James Conner"/>
    <x v="14"/>
    <n v="2024"/>
  </r>
  <r>
    <x v="1"/>
    <s v="Todd"/>
    <n v="1"/>
    <x v="3"/>
    <s v="Pat Freiermuth"/>
    <x v="15"/>
    <n v="2024"/>
  </r>
  <r>
    <x v="1"/>
    <s v="Todd"/>
    <n v="1"/>
    <x v="4"/>
    <s v="Seattle"/>
    <x v="8"/>
    <n v="2024"/>
  </r>
  <r>
    <x v="1"/>
    <s v="Todd"/>
    <n v="1"/>
    <x v="5"/>
    <s v="Younghoe Koo"/>
    <x v="16"/>
    <n v="2024"/>
  </r>
  <r>
    <x v="2"/>
    <s v="Mike"/>
    <n v="1"/>
    <x v="0"/>
    <s v="Patrick Mahomes"/>
    <x v="17"/>
    <n v="2024"/>
  </r>
  <r>
    <x v="2"/>
    <s v="Mike"/>
    <n v="1"/>
    <x v="1"/>
    <s v="Davante Adams"/>
    <x v="18"/>
    <n v="2024"/>
  </r>
  <r>
    <x v="2"/>
    <s v="Mike"/>
    <n v="1"/>
    <x v="1"/>
    <s v="Mike Evans"/>
    <x v="19"/>
    <n v="2024"/>
  </r>
  <r>
    <x v="2"/>
    <s v="Mike"/>
    <n v="1"/>
    <x v="1"/>
    <s v="Khalil Shakir"/>
    <x v="20"/>
    <n v="2024"/>
  </r>
  <r>
    <x v="2"/>
    <s v="Mike"/>
    <n v="1"/>
    <x v="2"/>
    <s v="Derrick Henry"/>
    <x v="21"/>
    <n v="2024"/>
  </r>
  <r>
    <x v="2"/>
    <s v="Mike"/>
    <n v="1"/>
    <x v="2"/>
    <s v="Tyjae Spears"/>
    <x v="22"/>
    <n v="2024"/>
  </r>
  <r>
    <x v="2"/>
    <s v="Mike"/>
    <n v="1"/>
    <x v="3"/>
    <s v="Sam LaPorta"/>
    <x v="23"/>
    <n v="2024"/>
  </r>
  <r>
    <x v="2"/>
    <s v="Mike"/>
    <n v="1"/>
    <x v="5"/>
    <s v="Jason Sanders"/>
    <x v="24"/>
    <n v="2024"/>
  </r>
  <r>
    <x v="2"/>
    <s v="Mike"/>
    <n v="1"/>
    <x v="4"/>
    <s v="Buffalo"/>
    <x v="25"/>
    <n v="2024"/>
  </r>
  <r>
    <x v="3"/>
    <s v="Kevin"/>
    <n v="1"/>
    <x v="0"/>
    <s v="CJ Stroud"/>
    <x v="26"/>
    <n v="2024"/>
  </r>
  <r>
    <x v="3"/>
    <s v="Kevin"/>
    <n v="1"/>
    <x v="1"/>
    <s v="George Pickens"/>
    <x v="27"/>
    <n v="2024"/>
  </r>
  <r>
    <x v="3"/>
    <s v="Kevin"/>
    <n v="1"/>
    <x v="1"/>
    <s v="Chris Olave"/>
    <x v="28"/>
    <n v="2024"/>
  </r>
  <r>
    <x v="3"/>
    <s v="Kevin"/>
    <n v="1"/>
    <x v="1"/>
    <s v="Marvin Harrison Jr"/>
    <x v="29"/>
    <n v="2024"/>
  </r>
  <r>
    <x v="3"/>
    <s v="Kevin"/>
    <n v="1"/>
    <x v="2"/>
    <s v="Joe Mixon"/>
    <x v="30"/>
    <n v="2024"/>
  </r>
  <r>
    <x v="3"/>
    <s v="Kevin"/>
    <n v="1"/>
    <x v="2"/>
    <s v="Isiah Pacheco"/>
    <x v="31"/>
    <n v="2024"/>
  </r>
  <r>
    <x v="3"/>
    <s v="Kevin"/>
    <n v="1"/>
    <x v="3"/>
    <s v="Hunter Henry"/>
    <x v="5"/>
    <n v="2024"/>
  </r>
  <r>
    <x v="3"/>
    <s v="Kevin"/>
    <n v="1"/>
    <x v="5"/>
    <s v="Justin Tucker"/>
    <x v="32"/>
    <n v="2024"/>
  </r>
  <r>
    <x v="3"/>
    <s v="Kevin"/>
    <n v="1"/>
    <x v="4"/>
    <s v="Minnesota"/>
    <x v="33"/>
    <n v="2024"/>
  </r>
  <r>
    <x v="4"/>
    <s v="Eli"/>
    <n v="1"/>
    <x v="0"/>
    <s v="Jalen Hurts"/>
    <x v="34"/>
    <n v="2024"/>
  </r>
  <r>
    <x v="4"/>
    <s v="Eli"/>
    <n v="1"/>
    <x v="1"/>
    <s v="Justin Jefferson"/>
    <x v="35"/>
    <n v="2024"/>
  </r>
  <r>
    <x v="4"/>
    <s v="Eli"/>
    <n v="1"/>
    <x v="1"/>
    <s v="DJ Moore"/>
    <x v="36"/>
    <n v="2024"/>
  </r>
  <r>
    <x v="4"/>
    <s v="Eli"/>
    <n v="1"/>
    <x v="1"/>
    <s v="DeMario Douglas"/>
    <x v="37"/>
    <n v="2024"/>
  </r>
  <r>
    <x v="4"/>
    <s v="Eli"/>
    <n v="1"/>
    <x v="2"/>
    <s v="Bijan Robinson"/>
    <x v="38"/>
    <n v="2024"/>
  </r>
  <r>
    <x v="4"/>
    <s v="Eli"/>
    <n v="1"/>
    <x v="2"/>
    <s v="Jaylen Warren"/>
    <x v="7"/>
    <n v="2024"/>
  </r>
  <r>
    <x v="4"/>
    <s v="Eli"/>
    <n v="1"/>
    <x v="3"/>
    <s v="David Njoku"/>
    <x v="39"/>
    <n v="2024"/>
  </r>
  <r>
    <x v="4"/>
    <s v="Eli"/>
    <n v="1"/>
    <x v="5"/>
    <s v="Jake Moody"/>
    <x v="40"/>
    <n v="2024"/>
  </r>
  <r>
    <x v="4"/>
    <s v="Eli"/>
    <n v="1"/>
    <x v="4"/>
    <s v="NYJ"/>
    <x v="41"/>
    <n v="2024"/>
  </r>
  <r>
    <x v="5"/>
    <s v="Burnett/Jasjaap"/>
    <n v="1"/>
    <x v="0"/>
    <s v="Brock Purdy"/>
    <x v="42"/>
    <n v="2024"/>
  </r>
  <r>
    <x v="5"/>
    <s v="Burnett/Jasjaap"/>
    <n v="1"/>
    <x v="1"/>
    <s v="CeeDee Lamb"/>
    <x v="43"/>
    <n v="2024"/>
  </r>
  <r>
    <x v="5"/>
    <s v="Burnett/Jasjaap"/>
    <n v="1"/>
    <x v="1"/>
    <s v="Jaylen Waddle"/>
    <x v="44"/>
    <n v="2024"/>
  </r>
  <r>
    <x v="5"/>
    <s v="Burnett/Jasjaap"/>
    <n v="1"/>
    <x v="1"/>
    <s v="Puka Nacua"/>
    <x v="45"/>
    <n v="2024"/>
  </r>
  <r>
    <x v="5"/>
    <s v="Burnett/Jasjaap"/>
    <n v="1"/>
    <x v="2"/>
    <s v="Josh Jacobs"/>
    <x v="46"/>
    <n v="2024"/>
  </r>
  <r>
    <x v="5"/>
    <s v="Burnett/Jasjaap"/>
    <n v="1"/>
    <x v="2"/>
    <s v="David Montgomery"/>
    <x v="47"/>
    <n v="2024"/>
  </r>
  <r>
    <x v="5"/>
    <s v="Burnett/Jasjaap"/>
    <n v="1"/>
    <x v="3"/>
    <s v="Brock Bowers"/>
    <x v="48"/>
    <n v="2024"/>
  </r>
  <r>
    <x v="5"/>
    <s v="Burnett/Jasjaap"/>
    <n v="1"/>
    <x v="5"/>
    <s v="Jake Elliott"/>
    <x v="8"/>
    <n v="2024"/>
  </r>
  <r>
    <x v="5"/>
    <s v="Burnett/Jasjaap"/>
    <n v="1"/>
    <x v="4"/>
    <s v="Pittsburgh"/>
    <x v="49"/>
    <n v="2024"/>
  </r>
  <r>
    <x v="6"/>
    <s v="Will"/>
    <n v="1"/>
    <x v="0"/>
    <s v="Caleb Williams"/>
    <x v="50"/>
    <n v="2024"/>
  </r>
  <r>
    <x v="6"/>
    <s v="Will"/>
    <n v="1"/>
    <x v="1"/>
    <s v="Ladd McConkey"/>
    <x v="51"/>
    <n v="2024"/>
  </r>
  <r>
    <x v="6"/>
    <s v="Will"/>
    <n v="1"/>
    <x v="1"/>
    <s v="Amon-Ra St. Brown"/>
    <x v="5"/>
    <n v="2024"/>
  </r>
  <r>
    <x v="6"/>
    <s v="Will"/>
    <n v="1"/>
    <x v="1"/>
    <s v="Drake London"/>
    <x v="52"/>
    <n v="2024"/>
  </r>
  <r>
    <x v="6"/>
    <s v="Will"/>
    <n v="1"/>
    <x v="2"/>
    <s v="Travis Etienne"/>
    <x v="53"/>
    <n v="2024"/>
  </r>
  <r>
    <x v="6"/>
    <s v="Will"/>
    <n v="1"/>
    <x v="2"/>
    <s v="Zamir White"/>
    <x v="54"/>
    <n v="2024"/>
  </r>
  <r>
    <x v="6"/>
    <s v="Will"/>
    <n v="1"/>
    <x v="3"/>
    <s v="Kyle Pitts"/>
    <x v="55"/>
    <n v="2024"/>
  </r>
  <r>
    <x v="6"/>
    <s v="Will"/>
    <n v="1"/>
    <x v="5"/>
    <s v="Jason Myers"/>
    <x v="8"/>
    <n v="2024"/>
  </r>
  <r>
    <x v="6"/>
    <s v="Will"/>
    <n v="1"/>
    <x v="4"/>
    <s v="Houston"/>
    <x v="7"/>
    <n v="2024"/>
  </r>
  <r>
    <x v="7"/>
    <s v="Jay"/>
    <n v="1"/>
    <x v="0"/>
    <s v="Lamar Jackson"/>
    <x v="56"/>
    <n v="2024"/>
  </r>
  <r>
    <x v="7"/>
    <s v="Jay"/>
    <n v="1"/>
    <x v="1"/>
    <s v="Stefon Diggs"/>
    <x v="57"/>
    <n v="2024"/>
  </r>
  <r>
    <x v="7"/>
    <s v="Jay"/>
    <n v="1"/>
    <x v="1"/>
    <s v="Christian Kirk"/>
    <x v="58"/>
    <n v="2024"/>
  </r>
  <r>
    <x v="7"/>
    <s v="Jay"/>
    <n v="1"/>
    <x v="1"/>
    <s v="Amari Cooper"/>
    <x v="59"/>
    <n v="2024"/>
  </r>
  <r>
    <x v="7"/>
    <s v="Jay"/>
    <n v="1"/>
    <x v="2"/>
    <s v="Alvin Kamara"/>
    <x v="13"/>
    <n v="2024"/>
  </r>
  <r>
    <x v="7"/>
    <s v="Jay"/>
    <n v="1"/>
    <x v="2"/>
    <s v="Jonathan Taylor"/>
    <x v="60"/>
    <n v="2024"/>
  </r>
  <r>
    <x v="7"/>
    <s v="Jay"/>
    <n v="1"/>
    <x v="3"/>
    <s v="Mark Andrews"/>
    <x v="61"/>
    <n v="2024"/>
  </r>
  <r>
    <x v="7"/>
    <s v="Jay"/>
    <n v="1"/>
    <x v="5"/>
    <s v="Ka'imi Fairbairn"/>
    <x v="62"/>
    <n v="2024"/>
  </r>
  <r>
    <x v="7"/>
    <s v="Jay"/>
    <n v="1"/>
    <x v="4"/>
    <s v="LA Chargers"/>
    <x v="63"/>
    <n v="2024"/>
  </r>
  <r>
    <x v="8"/>
    <s v="Schulwolf"/>
    <n v="1"/>
    <x v="0"/>
    <s v="Jordan Love"/>
    <x v="64"/>
    <n v="2024"/>
  </r>
  <r>
    <x v="8"/>
    <s v="Schulwolf"/>
    <n v="1"/>
    <x v="1"/>
    <s v="Cooper Kupp"/>
    <x v="65"/>
    <n v="2024"/>
  </r>
  <r>
    <x v="8"/>
    <s v="Schulwolf"/>
    <n v="1"/>
    <x v="1"/>
    <s v="DeVonta Smith"/>
    <x v="66"/>
    <n v="2024"/>
  </r>
  <r>
    <x v="8"/>
    <s v="Schulwolf"/>
    <n v="1"/>
    <x v="1"/>
    <s v="Chris Godwin"/>
    <x v="67"/>
    <n v="2024"/>
  </r>
  <r>
    <x v="8"/>
    <s v="Schulwolf"/>
    <n v="1"/>
    <x v="2"/>
    <s v="Jahmyr Gibbs"/>
    <x v="68"/>
    <n v="2024"/>
  </r>
  <r>
    <x v="8"/>
    <s v="Schulwolf"/>
    <n v="1"/>
    <x v="2"/>
    <s v="James Cook"/>
    <x v="69"/>
    <n v="2024"/>
  </r>
  <r>
    <x v="8"/>
    <s v="Schulwolf"/>
    <n v="1"/>
    <x v="3"/>
    <s v="Dalton Kincaid"/>
    <x v="70"/>
    <n v="2024"/>
  </r>
  <r>
    <x v="8"/>
    <s v="Schulwolf"/>
    <n v="1"/>
    <x v="5"/>
    <s v="Brandon Aubrey"/>
    <x v="71"/>
    <n v="2024"/>
  </r>
  <r>
    <x v="8"/>
    <s v="Schulwolf"/>
    <n v="1"/>
    <x v="4"/>
    <s v="Dallas"/>
    <x v="72"/>
    <n v="2024"/>
  </r>
  <r>
    <x v="9"/>
    <s v="Tommy"/>
    <n v="1"/>
    <x v="0"/>
    <s v="Josh Allen"/>
    <x v="73"/>
    <n v="2024"/>
  </r>
  <r>
    <x v="9"/>
    <s v="Tommy"/>
    <n v="1"/>
    <x v="1"/>
    <s v="Malik Nabers"/>
    <x v="74"/>
    <n v="2024"/>
  </r>
  <r>
    <x v="9"/>
    <s v="Tommy"/>
    <n v="1"/>
    <x v="1"/>
    <s v="DK Metcalf"/>
    <x v="75"/>
    <n v="2024"/>
  </r>
  <r>
    <x v="9"/>
    <s v="Tommy"/>
    <n v="1"/>
    <x v="1"/>
    <s v="Romeo Doubs"/>
    <x v="76"/>
    <n v="2024"/>
  </r>
  <r>
    <x v="9"/>
    <s v="Tommy"/>
    <n v="1"/>
    <x v="2"/>
    <s v="Saquon Barkley"/>
    <x v="77"/>
    <n v="2024"/>
  </r>
  <r>
    <x v="9"/>
    <s v="Tommy"/>
    <n v="1"/>
    <x v="2"/>
    <s v="Rachaad White"/>
    <x v="38"/>
    <n v="2024"/>
  </r>
  <r>
    <x v="9"/>
    <s v="Tommy"/>
    <n v="1"/>
    <x v="3"/>
    <s v="Evan Engram"/>
    <x v="78"/>
    <n v="2024"/>
  </r>
  <r>
    <x v="9"/>
    <s v="Tommy"/>
    <n v="1"/>
    <x v="5"/>
    <s v="Harrison Butker"/>
    <x v="24"/>
    <n v="2024"/>
  </r>
  <r>
    <x v="9"/>
    <s v="Tommy"/>
    <n v="1"/>
    <x v="4"/>
    <s v="San Francisco"/>
    <x v="76"/>
    <n v="2024"/>
  </r>
  <r>
    <x v="10"/>
    <s v="Brand"/>
    <n v="1"/>
    <x v="0"/>
    <s v="Anthony Richardson"/>
    <x v="79"/>
    <n v="2024"/>
  </r>
  <r>
    <x v="10"/>
    <s v="Brand"/>
    <n v="1"/>
    <x v="1"/>
    <s v="Jameson Williams"/>
    <x v="80"/>
    <n v="2024"/>
  </r>
  <r>
    <x v="10"/>
    <s v="Brand"/>
    <n v="1"/>
    <x v="1"/>
    <s v="Christian Watson"/>
    <x v="48"/>
    <n v="2024"/>
  </r>
  <r>
    <x v="10"/>
    <s v="Brand"/>
    <n v="1"/>
    <x v="1"/>
    <s v="Garrett Wilson"/>
    <x v="24"/>
    <n v="2024"/>
  </r>
  <r>
    <x v="10"/>
    <s v="Brand"/>
    <n v="1"/>
    <x v="2"/>
    <s v="Kenneth Walker"/>
    <x v="81"/>
    <n v="2024"/>
  </r>
  <r>
    <x v="10"/>
    <s v="Brand"/>
    <n v="1"/>
    <x v="2"/>
    <s v="Breece Hall"/>
    <x v="47"/>
    <n v="2024"/>
  </r>
  <r>
    <x v="10"/>
    <s v="Brand"/>
    <n v="1"/>
    <x v="3"/>
    <s v="Dallas Goedert"/>
    <x v="82"/>
    <n v="2024"/>
  </r>
  <r>
    <x v="10"/>
    <s v="Brand"/>
    <n v="1"/>
    <x v="5"/>
    <s v="Cairo Santos"/>
    <x v="49"/>
    <n v="2024"/>
  </r>
  <r>
    <x v="10"/>
    <s v="Brand"/>
    <n v="1"/>
    <x v="4"/>
    <s v="New Orleans"/>
    <x v="62"/>
    <n v="2024"/>
  </r>
  <r>
    <x v="11"/>
    <s v="Cam"/>
    <n v="1"/>
    <x v="0"/>
    <s v="Joe Burrow"/>
    <x v="83"/>
    <n v="2024"/>
  </r>
  <r>
    <x v="11"/>
    <s v="Cam"/>
    <n v="1"/>
    <x v="1"/>
    <s v="Ja'Marr Chase"/>
    <x v="84"/>
    <n v="2024"/>
  </r>
  <r>
    <x v="11"/>
    <s v="Cam"/>
    <n v="1"/>
    <x v="1"/>
    <s v="Nico Collins"/>
    <x v="85"/>
    <n v="2024"/>
  </r>
  <r>
    <x v="11"/>
    <s v="Cam"/>
    <n v="1"/>
    <x v="1"/>
    <s v="Andrei Iosivas"/>
    <x v="86"/>
    <n v="2024"/>
  </r>
  <r>
    <x v="11"/>
    <s v="Cam"/>
    <n v="1"/>
    <x v="2"/>
    <s v="Rhamondre Stevenson"/>
    <x v="87"/>
    <n v="2024"/>
  </r>
  <r>
    <x v="11"/>
    <s v="Cam"/>
    <n v="1"/>
    <x v="2"/>
    <s v="Aaron Jones"/>
    <x v="81"/>
    <n v="2024"/>
  </r>
  <r>
    <x v="11"/>
    <s v="Cam"/>
    <n v="1"/>
    <x v="3"/>
    <s v="George Kittle"/>
    <x v="25"/>
    <n v="2024"/>
  </r>
  <r>
    <x v="11"/>
    <s v="Cam"/>
    <n v="1"/>
    <x v="5"/>
    <s v="Evan McPherson"/>
    <x v="25"/>
    <n v="2024"/>
  </r>
  <r>
    <x v="11"/>
    <s v="Cam"/>
    <n v="1"/>
    <x v="4"/>
    <s v="Atlanta"/>
    <x v="16"/>
    <n v="2024"/>
  </r>
  <r>
    <x v="0"/>
    <s v="Brenton"/>
    <n v="2"/>
    <x v="0"/>
    <s v="Baker Mayfield"/>
    <x v="88"/>
    <n v="2024"/>
  </r>
  <r>
    <x v="0"/>
    <s v="Brenton"/>
    <n v="2"/>
    <x v="1"/>
    <s v="Tyreek Hill"/>
    <x v="82"/>
    <n v="2024"/>
  </r>
  <r>
    <x v="0"/>
    <s v="Brenton"/>
    <n v="2"/>
    <x v="1"/>
    <s v="Zay Flowers"/>
    <x v="89"/>
    <n v="2024"/>
  </r>
  <r>
    <x v="0"/>
    <s v="Brenton"/>
    <n v="2"/>
    <x v="1"/>
    <s v="Jayden Reed"/>
    <x v="90"/>
    <n v="2024"/>
  </r>
  <r>
    <x v="0"/>
    <s v="Brenton"/>
    <n v="2"/>
    <x v="2"/>
    <s v="Ezekiel Elliott"/>
    <x v="91"/>
    <n v="2024"/>
  </r>
  <r>
    <x v="0"/>
    <s v="Brenton"/>
    <n v="2"/>
    <x v="2"/>
    <s v="Jerome Ford"/>
    <x v="92"/>
    <n v="2024"/>
  </r>
  <r>
    <x v="0"/>
    <s v="Brenton"/>
    <n v="2"/>
    <x v="3"/>
    <s v="Trey McBride"/>
    <x v="93"/>
    <n v="2024"/>
  </r>
  <r>
    <x v="0"/>
    <s v="Brenton"/>
    <n v="2"/>
    <x v="4"/>
    <s v="Tyler Bass"/>
    <x v="76"/>
    <n v="2024"/>
  </r>
  <r>
    <x v="0"/>
    <s v="Brenton"/>
    <n v="2"/>
    <x v="5"/>
    <s v="Jacksonville"/>
    <x v="16"/>
    <n v="2024"/>
  </r>
  <r>
    <x v="2"/>
    <s v="Mike"/>
    <n v="2"/>
    <x v="0"/>
    <s v="Patrick Mahomes"/>
    <x v="94"/>
    <n v="2024"/>
  </r>
  <r>
    <x v="2"/>
    <s v="Mike"/>
    <n v="2"/>
    <x v="1"/>
    <s v="Davante Adams"/>
    <x v="95"/>
    <n v="2024"/>
  </r>
  <r>
    <x v="2"/>
    <s v="Mike"/>
    <n v="2"/>
    <x v="1"/>
    <s v="Mike Evans"/>
    <x v="96"/>
    <n v="2024"/>
  </r>
  <r>
    <x v="2"/>
    <s v="Mike"/>
    <n v="2"/>
    <x v="1"/>
    <s v="Khalil Shakir"/>
    <x v="3"/>
    <n v="2024"/>
  </r>
  <r>
    <x v="2"/>
    <s v="Mike"/>
    <n v="2"/>
    <x v="2"/>
    <s v="Derrick Henry"/>
    <x v="97"/>
    <n v="2024"/>
  </r>
  <r>
    <x v="2"/>
    <s v="Mike"/>
    <n v="2"/>
    <x v="2"/>
    <s v="Tyjae Spears"/>
    <x v="86"/>
    <n v="2024"/>
  </r>
  <r>
    <x v="2"/>
    <s v="Mike"/>
    <n v="2"/>
    <x v="3"/>
    <s v="Sam LaPorta"/>
    <x v="98"/>
    <n v="2024"/>
  </r>
  <r>
    <x v="2"/>
    <s v="Mike"/>
    <n v="2"/>
    <x v="4"/>
    <s v="Buffalo"/>
    <x v="62"/>
    <n v="2024"/>
  </r>
  <r>
    <x v="2"/>
    <s v="Mike"/>
    <n v="2"/>
    <x v="5"/>
    <s v="Jason Sanders"/>
    <x v="16"/>
    <n v="2024"/>
  </r>
  <r>
    <x v="1"/>
    <s v="Todd"/>
    <n v="2"/>
    <x v="0"/>
    <s v="Dak Prescott"/>
    <x v="99"/>
    <n v="2024"/>
  </r>
  <r>
    <x v="1"/>
    <s v="Todd"/>
    <n v="2"/>
    <x v="1"/>
    <s v="Deebo Samuel"/>
    <x v="100"/>
    <n v="2024"/>
  </r>
  <r>
    <x v="1"/>
    <s v="Todd"/>
    <n v="2"/>
    <x v="1"/>
    <s v="Rashee Rice"/>
    <x v="101"/>
    <n v="2024"/>
  </r>
  <r>
    <x v="1"/>
    <s v="Todd"/>
    <n v="2"/>
    <x v="1"/>
    <s v="Calvin Ridley"/>
    <x v="102"/>
    <n v="2024"/>
  </r>
  <r>
    <x v="1"/>
    <s v="Todd"/>
    <n v="2"/>
    <x v="2"/>
    <s v="De'Von Achane"/>
    <x v="40"/>
    <n v="2024"/>
  </r>
  <r>
    <x v="1"/>
    <s v="Todd"/>
    <n v="2"/>
    <x v="2"/>
    <s v="James Conner"/>
    <x v="57"/>
    <n v="2024"/>
  </r>
  <r>
    <x v="1"/>
    <s v="Todd"/>
    <n v="2"/>
    <x v="3"/>
    <s v="Kyle Pitts"/>
    <x v="58"/>
    <n v="2024"/>
  </r>
  <r>
    <x v="1"/>
    <s v="Todd"/>
    <n v="2"/>
    <x v="4"/>
    <s v="Seattle"/>
    <x v="103"/>
    <n v="2024"/>
  </r>
  <r>
    <x v="1"/>
    <s v="Todd"/>
    <n v="2"/>
    <x v="5"/>
    <s v="Chris Boswell"/>
    <x v="24"/>
    <n v="2024"/>
  </r>
  <r>
    <x v="7"/>
    <s v="Jay"/>
    <n v="2"/>
    <x v="0"/>
    <s v="Lamar Jackson"/>
    <x v="104"/>
    <n v="2024"/>
  </r>
  <r>
    <x v="7"/>
    <s v="Jay"/>
    <n v="2"/>
    <x v="1"/>
    <s v="Stefon Diggs"/>
    <x v="96"/>
    <n v="2024"/>
  </r>
  <r>
    <x v="7"/>
    <s v="Jay"/>
    <n v="2"/>
    <x v="1"/>
    <s v="Amari Cooper"/>
    <x v="59"/>
    <n v="2024"/>
  </r>
  <r>
    <x v="7"/>
    <s v="Jay"/>
    <n v="2"/>
    <x v="1"/>
    <s v="Christian Kirk"/>
    <x v="105"/>
    <n v="2024"/>
  </r>
  <r>
    <x v="7"/>
    <s v="Jay"/>
    <n v="2"/>
    <x v="2"/>
    <s v="Alvin Kamara"/>
    <x v="106"/>
    <n v="2024"/>
  </r>
  <r>
    <x v="7"/>
    <s v="Jay"/>
    <n v="2"/>
    <x v="2"/>
    <s v="Jonathan Taylor"/>
    <x v="107"/>
    <n v="2024"/>
  </r>
  <r>
    <x v="7"/>
    <s v="Jay"/>
    <n v="2"/>
    <x v="3"/>
    <s v="Mark Andrews"/>
    <x v="108"/>
    <n v="2024"/>
  </r>
  <r>
    <x v="7"/>
    <s v="Jay"/>
    <n v="2"/>
    <x v="5"/>
    <s v="Ka'imi Fairbairn"/>
    <x v="109"/>
    <n v="2024"/>
  </r>
  <r>
    <x v="7"/>
    <s v="Jay"/>
    <n v="2"/>
    <x v="4"/>
    <s v="LA Chargers"/>
    <x v="100"/>
    <n v="2024"/>
  </r>
  <r>
    <x v="4"/>
    <s v="Eli"/>
    <n v="2"/>
    <x v="0"/>
    <s v="Jalen Hurts"/>
    <x v="110"/>
    <n v="2024"/>
  </r>
  <r>
    <x v="4"/>
    <s v="Eli"/>
    <n v="2"/>
    <x v="1"/>
    <s v="Justin Jefferson"/>
    <x v="111"/>
    <n v="2024"/>
  </r>
  <r>
    <x v="4"/>
    <s v="Eli"/>
    <n v="2"/>
    <x v="1"/>
    <s v="DJ Moore"/>
    <x v="112"/>
    <n v="2024"/>
  </r>
  <r>
    <x v="4"/>
    <s v="Eli"/>
    <n v="2"/>
    <x v="1"/>
    <s v="Demarcus Robinson"/>
    <x v="25"/>
    <n v="2024"/>
  </r>
  <r>
    <x v="4"/>
    <s v="Eli"/>
    <n v="2"/>
    <x v="2"/>
    <s v="Bijan Robinson"/>
    <x v="113"/>
    <n v="2024"/>
  </r>
  <r>
    <x v="4"/>
    <s v="Eli"/>
    <n v="2"/>
    <x v="2"/>
    <s v="Jordan Mason"/>
    <x v="114"/>
    <n v="2024"/>
  </r>
  <r>
    <x v="4"/>
    <s v="Eli"/>
    <n v="2"/>
    <x v="3"/>
    <s v="Dalton Schultz"/>
    <x v="115"/>
    <n v="2024"/>
  </r>
  <r>
    <x v="4"/>
    <s v="Eli"/>
    <n v="2"/>
    <x v="5"/>
    <s v="Jake Moody"/>
    <x v="103"/>
    <n v="2024"/>
  </r>
  <r>
    <x v="4"/>
    <s v="Eli"/>
    <n v="2"/>
    <x v="4"/>
    <s v="NYJ"/>
    <x v="8"/>
    <n v="2024"/>
  </r>
  <r>
    <x v="6"/>
    <s v="Will"/>
    <n v="2"/>
    <x v="0"/>
    <s v="Geno Smith"/>
    <x v="116"/>
    <n v="2024"/>
  </r>
  <r>
    <x v="6"/>
    <s v="Will"/>
    <n v="2"/>
    <x v="1"/>
    <s v="Amon-Ra St. Brown"/>
    <x v="117"/>
    <n v="2024"/>
  </r>
  <r>
    <x v="6"/>
    <s v="Will"/>
    <n v="2"/>
    <x v="1"/>
    <s v="Drake London"/>
    <x v="118"/>
    <n v="2024"/>
  </r>
  <r>
    <x v="6"/>
    <s v="Will"/>
    <n v="2"/>
    <x v="1"/>
    <s v="Jaxon Smith-Njigba"/>
    <x v="119"/>
    <n v="2024"/>
  </r>
  <r>
    <x v="6"/>
    <s v="Will"/>
    <n v="2"/>
    <x v="2"/>
    <s v="Travis Etienne"/>
    <x v="120"/>
    <n v="2024"/>
  </r>
  <r>
    <x v="6"/>
    <s v="Will"/>
    <n v="2"/>
    <x v="2"/>
    <s v="Zach Charbonet"/>
    <x v="68"/>
    <n v="2024"/>
  </r>
  <r>
    <x v="6"/>
    <s v="Will"/>
    <n v="2"/>
    <x v="3"/>
    <s v="Travis Kelce"/>
    <x v="121"/>
    <n v="2024"/>
  </r>
  <r>
    <x v="6"/>
    <s v="Will"/>
    <n v="2"/>
    <x v="5"/>
    <s v="Jason Myers"/>
    <x v="122"/>
    <n v="2024"/>
  </r>
  <r>
    <x v="6"/>
    <s v="Will"/>
    <n v="2"/>
    <x v="4"/>
    <s v="Houston"/>
    <x v="101"/>
    <n v="2024"/>
  </r>
  <r>
    <x v="8"/>
    <s v="Schulwolf"/>
    <n v="2"/>
    <x v="0"/>
    <s v="Jayden Daniels"/>
    <x v="123"/>
    <n v="2024"/>
  </r>
  <r>
    <x v="8"/>
    <s v="Schulwolf"/>
    <n v="2"/>
    <x v="1"/>
    <s v="Chris Godwin"/>
    <x v="124"/>
    <n v="2024"/>
  </r>
  <r>
    <x v="8"/>
    <s v="Schulwolf"/>
    <n v="2"/>
    <x v="1"/>
    <s v="DeVonta Smith"/>
    <x v="125"/>
    <n v="2024"/>
  </r>
  <r>
    <x v="8"/>
    <s v="Schulwolf"/>
    <n v="2"/>
    <x v="1"/>
    <s v="Cooper Kupp"/>
    <x v="96"/>
    <n v="2024"/>
  </r>
  <r>
    <x v="8"/>
    <s v="Schulwolf"/>
    <n v="2"/>
    <x v="2"/>
    <s v="James Cook"/>
    <x v="126"/>
    <n v="2024"/>
  </r>
  <r>
    <x v="8"/>
    <s v="Schulwolf"/>
    <n v="2"/>
    <x v="2"/>
    <s v="Jahmyr Gibbs"/>
    <x v="127"/>
    <n v="2024"/>
  </r>
  <r>
    <x v="8"/>
    <s v="Schulwolf"/>
    <n v="2"/>
    <x v="3"/>
    <s v="Dalton Kincaid"/>
    <x v="128"/>
    <n v="2024"/>
  </r>
  <r>
    <x v="8"/>
    <s v="Schulwolf"/>
    <n v="2"/>
    <x v="5"/>
    <s v="Brandon Aubrey"/>
    <x v="62"/>
    <n v="2024"/>
  </r>
  <r>
    <x v="8"/>
    <s v="Schulwolf"/>
    <n v="2"/>
    <x v="4"/>
    <s v="Dallas"/>
    <x v="129"/>
    <n v="2024"/>
  </r>
  <r>
    <x v="3"/>
    <s v="Kevin"/>
    <n v="2"/>
    <x v="0"/>
    <s v="CJ Stroud"/>
    <x v="130"/>
    <n v="2024"/>
  </r>
  <r>
    <x v="3"/>
    <s v="Kevin"/>
    <n v="2"/>
    <x v="1"/>
    <s v="Marvin Harrison Jr"/>
    <x v="131"/>
    <n v="2024"/>
  </r>
  <r>
    <x v="3"/>
    <s v="Kevin"/>
    <n v="2"/>
    <x v="1"/>
    <s v="Chris Olave"/>
    <x v="60"/>
    <n v="2024"/>
  </r>
  <r>
    <x v="3"/>
    <s v="Kevin"/>
    <n v="2"/>
    <x v="1"/>
    <s v="George Pickens"/>
    <x v="132"/>
    <n v="2024"/>
  </r>
  <r>
    <x v="3"/>
    <s v="Kevin"/>
    <n v="2"/>
    <x v="2"/>
    <s v="Isiah Pacheco"/>
    <x v="38"/>
    <n v="2024"/>
  </r>
  <r>
    <x v="3"/>
    <s v="Kevin"/>
    <n v="2"/>
    <x v="2"/>
    <s v="Najee Harris"/>
    <x v="133"/>
    <n v="2024"/>
  </r>
  <r>
    <x v="3"/>
    <s v="Kevin"/>
    <n v="2"/>
    <x v="3"/>
    <s v="Hunter Henry"/>
    <x v="134"/>
    <n v="2024"/>
  </r>
  <r>
    <x v="3"/>
    <s v="Kevin"/>
    <n v="2"/>
    <x v="5"/>
    <s v="Justin Tucker"/>
    <x v="49"/>
    <n v="2024"/>
  </r>
  <r>
    <x v="3"/>
    <s v="Kevin"/>
    <n v="2"/>
    <x v="4"/>
    <s v="Cleveland"/>
    <x v="24"/>
    <n v="2024"/>
  </r>
  <r>
    <x v="10"/>
    <s v="Brand"/>
    <n v="2"/>
    <x v="0"/>
    <s v="Anthony Richardson"/>
    <x v="135"/>
    <n v="2024"/>
  </r>
  <r>
    <x v="10"/>
    <s v="Brand"/>
    <n v="2"/>
    <x v="1"/>
    <s v="Jameson Williams"/>
    <x v="66"/>
    <n v="2024"/>
  </r>
  <r>
    <x v="10"/>
    <s v="Brand"/>
    <n v="2"/>
    <x v="1"/>
    <s v="Garrett Wilson"/>
    <x v="136"/>
    <n v="2024"/>
  </r>
  <r>
    <x v="10"/>
    <s v="Brand"/>
    <n v="2"/>
    <x v="1"/>
    <s v="Michael Pittman"/>
    <x v="54"/>
    <n v="2024"/>
  </r>
  <r>
    <x v="10"/>
    <s v="Brand"/>
    <n v="2"/>
    <x v="2"/>
    <s v="Breece Hall"/>
    <x v="137"/>
    <n v="2024"/>
  </r>
  <r>
    <x v="10"/>
    <s v="Brand"/>
    <n v="2"/>
    <x v="2"/>
    <s v="Bucky Irving"/>
    <x v="37"/>
    <n v="2024"/>
  </r>
  <r>
    <x v="10"/>
    <s v="Brand"/>
    <n v="2"/>
    <x v="3"/>
    <s v="Dallas Goedert"/>
    <x v="128"/>
    <n v="2024"/>
  </r>
  <r>
    <x v="10"/>
    <s v="Brand"/>
    <n v="2"/>
    <x v="5"/>
    <s v="Cairo Santos"/>
    <x v="138"/>
    <n v="2024"/>
  </r>
  <r>
    <x v="10"/>
    <s v="Brand"/>
    <n v="2"/>
    <x v="4"/>
    <s v="Indianapolis"/>
    <x v="139"/>
    <n v="2024"/>
  </r>
  <r>
    <x v="9"/>
    <s v="Tommy"/>
    <n v="2"/>
    <x v="0"/>
    <s v="Josh Allen"/>
    <x v="140"/>
    <n v="2024"/>
  </r>
  <r>
    <x v="9"/>
    <s v="Tommy"/>
    <n v="2"/>
    <x v="1"/>
    <s v="DK Metcalf"/>
    <x v="141"/>
    <n v="2024"/>
  </r>
  <r>
    <x v="9"/>
    <s v="Tommy"/>
    <n v="2"/>
    <x v="1"/>
    <s v="Malik Nabers"/>
    <x v="142"/>
    <n v="2024"/>
  </r>
  <r>
    <x v="9"/>
    <s v="Tommy"/>
    <n v="2"/>
    <x v="1"/>
    <s v="Xavier Worthy"/>
    <x v="143"/>
    <n v="2024"/>
  </r>
  <r>
    <x v="9"/>
    <s v="Tommy"/>
    <n v="2"/>
    <x v="2"/>
    <s v="Saquon Barkley"/>
    <x v="144"/>
    <n v="2024"/>
  </r>
  <r>
    <x v="9"/>
    <s v="Tommy"/>
    <n v="2"/>
    <x v="2"/>
    <s v="Kyren Williams"/>
    <x v="145"/>
    <n v="2024"/>
  </r>
  <r>
    <x v="9"/>
    <s v="Tommy"/>
    <n v="2"/>
    <x v="3"/>
    <s v="Evan Engram"/>
    <x v="146"/>
    <n v="2024"/>
  </r>
  <r>
    <x v="9"/>
    <s v="Tommy"/>
    <n v="2"/>
    <x v="5"/>
    <s v="Harrison Butker"/>
    <x v="8"/>
    <n v="2024"/>
  </r>
  <r>
    <x v="9"/>
    <s v="Tommy"/>
    <n v="2"/>
    <x v="4"/>
    <s v="San Francisco"/>
    <x v="16"/>
    <n v="2024"/>
  </r>
  <r>
    <x v="11"/>
    <s v="Cam"/>
    <n v="2"/>
    <x v="0"/>
    <s v="Kyler Murray"/>
    <x v="147"/>
    <n v="2024"/>
  </r>
  <r>
    <x v="11"/>
    <s v="Cam"/>
    <n v="2"/>
    <x v="1"/>
    <s v="Nico Collins"/>
    <x v="148"/>
    <n v="2024"/>
  </r>
  <r>
    <x v="11"/>
    <s v="Cam"/>
    <n v="2"/>
    <x v="1"/>
    <s v="Ja'Marr Chase"/>
    <x v="6"/>
    <n v="2024"/>
  </r>
  <r>
    <x v="11"/>
    <s v="Cam"/>
    <n v="2"/>
    <x v="1"/>
    <s v="Brandon Aiyuk"/>
    <x v="149"/>
    <n v="2024"/>
  </r>
  <r>
    <x v="11"/>
    <s v="Cam"/>
    <n v="2"/>
    <x v="2"/>
    <s v="Rhamondre Stevenson"/>
    <x v="101"/>
    <n v="2024"/>
  </r>
  <r>
    <x v="11"/>
    <s v="Cam"/>
    <n v="2"/>
    <x v="2"/>
    <s v="JK Dobbins"/>
    <x v="150"/>
    <n v="2024"/>
  </r>
  <r>
    <x v="11"/>
    <s v="Cam"/>
    <n v="2"/>
    <x v="3"/>
    <s v="George Kittle"/>
    <x v="125"/>
    <n v="2024"/>
  </r>
  <r>
    <x v="11"/>
    <s v="Cam"/>
    <n v="2"/>
    <x v="5"/>
    <s v="Evan McPherson"/>
    <x v="63"/>
    <n v="2024"/>
  </r>
  <r>
    <x v="11"/>
    <s v="Cam"/>
    <n v="2"/>
    <x v="4"/>
    <s v="Baltimore"/>
    <x v="32"/>
    <n v="2024"/>
  </r>
  <r>
    <x v="5"/>
    <s v="Burnett/Jasjaap"/>
    <n v="2"/>
    <x v="0"/>
    <s v="Brock Purdy"/>
    <x v="151"/>
    <n v="2024"/>
  </r>
  <r>
    <x v="5"/>
    <s v="Burnett/Jasjaap"/>
    <n v="2"/>
    <x v="1"/>
    <s v="CeeDee Lamb"/>
    <x v="62"/>
    <n v="2024"/>
  </r>
  <r>
    <x v="5"/>
    <s v="Burnett/Jasjaap"/>
    <n v="2"/>
    <x v="1"/>
    <s v="Jaylen Waddle"/>
    <x v="23"/>
    <n v="2024"/>
  </r>
  <r>
    <x v="5"/>
    <s v="Burnett/Jasjaap"/>
    <n v="2"/>
    <x v="1"/>
    <s v="Rashid Shaheed"/>
    <x v="57"/>
    <n v="2024"/>
  </r>
  <r>
    <x v="5"/>
    <s v="Burnett/Jasjaap"/>
    <n v="2"/>
    <x v="2"/>
    <s v="David Montgomery"/>
    <x v="63"/>
    <n v="2024"/>
  </r>
  <r>
    <x v="5"/>
    <s v="Burnett/Jasjaap"/>
    <n v="2"/>
    <x v="2"/>
    <s v="Josh Jacobs"/>
    <x v="152"/>
    <n v="2024"/>
  </r>
  <r>
    <x v="5"/>
    <s v="Burnett/Jasjaap"/>
    <n v="2"/>
    <x v="3"/>
    <s v="Brock Bowers"/>
    <x v="130"/>
    <n v="2024"/>
  </r>
  <r>
    <x v="5"/>
    <s v="Burnett/Jasjaap"/>
    <n v="2"/>
    <x v="5"/>
    <s v="Jake Elliott"/>
    <x v="76"/>
    <n v="2024"/>
  </r>
  <r>
    <x v="5"/>
    <s v="Burnett/Jasjaap"/>
    <n v="2"/>
    <x v="4"/>
    <s v="Pittsburgh"/>
    <x v="100"/>
    <n v="2024"/>
  </r>
  <r>
    <x v="0"/>
    <s v="Brenton"/>
    <n v="3"/>
    <x v="0"/>
    <s v="Derek Carr"/>
    <x v="153"/>
    <n v="2024"/>
  </r>
  <r>
    <x v="0"/>
    <s v="Brenton"/>
    <n v="3"/>
    <x v="1"/>
    <s v="Tyreek Hill"/>
    <x v="6"/>
    <n v="2024"/>
  </r>
  <r>
    <x v="0"/>
    <s v="Brenton"/>
    <n v="3"/>
    <x v="1"/>
    <s v="Zay Flowers"/>
    <x v="154"/>
    <n v="2024"/>
  </r>
  <r>
    <x v="0"/>
    <s v="Brenton"/>
    <n v="3"/>
    <x v="1"/>
    <s v="Jayden Reed"/>
    <x v="155"/>
    <n v="2024"/>
  </r>
  <r>
    <x v="0"/>
    <s v="Brenton"/>
    <n v="3"/>
    <x v="2"/>
    <s v="Cam Akers"/>
    <x v="156"/>
    <n v="2024"/>
  </r>
  <r>
    <x v="0"/>
    <s v="Brenton"/>
    <n v="3"/>
    <x v="2"/>
    <s v="Jerome Ford"/>
    <x v="157"/>
    <n v="2024"/>
  </r>
  <r>
    <x v="0"/>
    <s v="Brenton"/>
    <n v="3"/>
    <x v="3"/>
    <s v="Trey McBride"/>
    <x v="16"/>
    <n v="2024"/>
  </r>
  <r>
    <x v="0"/>
    <s v="Brenton"/>
    <n v="3"/>
    <x v="5"/>
    <s v="Tyler Bass"/>
    <x v="138"/>
    <n v="2024"/>
  </r>
  <r>
    <x v="0"/>
    <s v="Brenton"/>
    <n v="3"/>
    <x v="4"/>
    <s v="Tampa Bay"/>
    <x v="78"/>
    <n v="2024"/>
  </r>
  <r>
    <x v="3"/>
    <s v="Kevin"/>
    <n v="3"/>
    <x v="0"/>
    <s v="CJ Stroud"/>
    <x v="158"/>
    <n v="2024"/>
  </r>
  <r>
    <x v="3"/>
    <s v="Kevin"/>
    <n v="3"/>
    <x v="1"/>
    <s v="Chris Olave"/>
    <x v="159"/>
    <n v="2024"/>
  </r>
  <r>
    <x v="3"/>
    <s v="Kevin"/>
    <n v="3"/>
    <x v="1"/>
    <s v="Marvin Harrison Jr"/>
    <x v="134"/>
    <n v="2024"/>
  </r>
  <r>
    <x v="3"/>
    <s v="Kevin"/>
    <n v="3"/>
    <x v="1"/>
    <s v="George Pickens"/>
    <x v="136"/>
    <n v="2024"/>
  </r>
  <r>
    <x v="3"/>
    <s v="Kevin"/>
    <n v="3"/>
    <x v="2"/>
    <s v="Najee Harris"/>
    <x v="43"/>
    <n v="2024"/>
  </r>
  <r>
    <x v="3"/>
    <s v="Kevin"/>
    <n v="3"/>
    <x v="2"/>
    <s v="Joe Mixon"/>
    <x v="146"/>
    <n v="2024"/>
  </r>
  <r>
    <x v="3"/>
    <s v="Kevin"/>
    <n v="3"/>
    <x v="3"/>
    <s v="Hunter Henry"/>
    <x v="160"/>
    <n v="2024"/>
  </r>
  <r>
    <x v="3"/>
    <s v="Kevin"/>
    <n v="3"/>
    <x v="5"/>
    <s v="Justin Tucker"/>
    <x v="7"/>
    <n v="2024"/>
  </r>
  <r>
    <x v="3"/>
    <s v="Kevin"/>
    <n v="3"/>
    <x v="4"/>
    <s v="Cleveland"/>
    <x v="103"/>
    <n v="2024"/>
  </r>
  <r>
    <x v="2"/>
    <s v="Mike"/>
    <n v="3"/>
    <x v="0"/>
    <s v="Patrick Mahomes"/>
    <x v="104"/>
    <n v="2024"/>
  </r>
  <r>
    <x v="2"/>
    <s v="Mike"/>
    <n v="3"/>
    <x v="1"/>
    <s v="Tank Dell"/>
    <x v="161"/>
    <n v="2024"/>
  </r>
  <r>
    <x v="2"/>
    <s v="Mike"/>
    <n v="3"/>
    <x v="1"/>
    <s v="Davante Adams"/>
    <x v="25"/>
    <n v="2024"/>
  </r>
  <r>
    <x v="2"/>
    <s v="Mike"/>
    <n v="3"/>
    <x v="1"/>
    <s v="Khalil Shakir"/>
    <x v="11"/>
    <n v="2024"/>
  </r>
  <r>
    <x v="2"/>
    <s v="Mike"/>
    <n v="3"/>
    <x v="2"/>
    <s v="Derrick Henry"/>
    <x v="162"/>
    <n v="2024"/>
  </r>
  <r>
    <x v="2"/>
    <s v="Mike"/>
    <n v="3"/>
    <x v="2"/>
    <s v="Carson Steele"/>
    <x v="133"/>
    <n v="2024"/>
  </r>
  <r>
    <x v="2"/>
    <s v="Mike"/>
    <n v="3"/>
    <x v="3"/>
    <s v="Sam LaPorta"/>
    <x v="163"/>
    <n v="2024"/>
  </r>
  <r>
    <x v="2"/>
    <s v="Mike"/>
    <n v="3"/>
    <x v="5"/>
    <s v="Younghoe Koo"/>
    <x v="76"/>
    <n v="2024"/>
  </r>
  <r>
    <x v="2"/>
    <s v="Mike"/>
    <n v="3"/>
    <x v="4"/>
    <s v="Buffalo"/>
    <x v="100"/>
    <n v="2024"/>
  </r>
  <r>
    <x v="7"/>
    <s v="Jay"/>
    <n v="3"/>
    <x v="0"/>
    <s v="Lamar Jackson"/>
    <x v="164"/>
    <n v="2024"/>
  </r>
  <r>
    <x v="7"/>
    <s v="Jay"/>
    <n v="3"/>
    <x v="1"/>
    <s v="Amari Cooper"/>
    <x v="165"/>
    <n v="2024"/>
  </r>
  <r>
    <x v="7"/>
    <s v="Jay"/>
    <n v="3"/>
    <x v="1"/>
    <s v="Stefon Diggs"/>
    <x v="166"/>
    <n v="2024"/>
  </r>
  <r>
    <x v="7"/>
    <s v="Jay"/>
    <n v="3"/>
    <x v="1"/>
    <s v="Tee Higgins"/>
    <x v="167"/>
    <n v="2024"/>
  </r>
  <r>
    <x v="7"/>
    <s v="Jay"/>
    <n v="3"/>
    <x v="2"/>
    <s v="Jonathan Taylor"/>
    <x v="40"/>
    <n v="2024"/>
  </r>
  <r>
    <x v="7"/>
    <s v="Jay"/>
    <n v="3"/>
    <x v="2"/>
    <s v="Alvin Kamara"/>
    <x v="113"/>
    <n v="2024"/>
  </r>
  <r>
    <x v="7"/>
    <s v="Jay"/>
    <n v="3"/>
    <x v="3"/>
    <s v="Mark Andrews"/>
    <x v="146"/>
    <n v="2024"/>
  </r>
  <r>
    <x v="7"/>
    <s v="Jay"/>
    <n v="3"/>
    <x v="5"/>
    <s v="Ka'imi Fairbairn"/>
    <x v="78"/>
    <n v="2024"/>
  </r>
  <r>
    <x v="7"/>
    <s v="Jay"/>
    <n v="3"/>
    <x v="4"/>
    <s v="Cincinnati"/>
    <x v="129"/>
    <n v="2024"/>
  </r>
  <r>
    <x v="1"/>
    <s v="Todd"/>
    <n v="3"/>
    <x v="0"/>
    <s v="Dak Prescott"/>
    <x v="168"/>
    <n v="2024"/>
  </r>
  <r>
    <x v="1"/>
    <s v="Todd"/>
    <n v="3"/>
    <x v="1"/>
    <s v="Rashee Rice"/>
    <x v="169"/>
    <n v="2024"/>
  </r>
  <r>
    <x v="1"/>
    <s v="Todd"/>
    <n v="3"/>
    <x v="1"/>
    <s v="Brian Thomas Jr"/>
    <x v="170"/>
    <n v="2024"/>
  </r>
  <r>
    <x v="1"/>
    <s v="Todd"/>
    <n v="3"/>
    <x v="1"/>
    <s v="Calvin Ridley"/>
    <x v="171"/>
    <n v="2024"/>
  </r>
  <r>
    <x v="1"/>
    <s v="Todd"/>
    <n v="3"/>
    <x v="2"/>
    <s v="De'Von Achane"/>
    <x v="170"/>
    <n v="2024"/>
  </r>
  <r>
    <x v="1"/>
    <s v="Todd"/>
    <n v="3"/>
    <x v="2"/>
    <s v="D'Andre Swift"/>
    <x v="22"/>
    <n v="2024"/>
  </r>
  <r>
    <x v="1"/>
    <s v="Todd"/>
    <n v="3"/>
    <x v="3"/>
    <s v="Kyle Pitts"/>
    <x v="92"/>
    <n v="2024"/>
  </r>
  <r>
    <x v="1"/>
    <s v="Todd"/>
    <n v="3"/>
    <x v="5"/>
    <s v="Chris Boswell"/>
    <x v="32"/>
    <n v="2024"/>
  </r>
  <r>
    <x v="1"/>
    <s v="Todd"/>
    <n v="3"/>
    <x v="4"/>
    <s v="Las Vegas"/>
    <x v="172"/>
    <n v="2024"/>
  </r>
  <r>
    <x v="4"/>
    <s v="Eli"/>
    <n v="3"/>
    <x v="0"/>
    <s v="Jalen Hurts"/>
    <x v="173"/>
    <n v="2024"/>
  </r>
  <r>
    <x v="4"/>
    <s v="Eli"/>
    <n v="3"/>
    <x v="1"/>
    <s v="Justin Jefferson"/>
    <x v="125"/>
    <n v="2024"/>
  </r>
  <r>
    <x v="4"/>
    <s v="Eli"/>
    <n v="3"/>
    <x v="1"/>
    <s v="Rome Odunze"/>
    <x v="10"/>
    <n v="2024"/>
  </r>
  <r>
    <x v="4"/>
    <s v="Eli"/>
    <n v="3"/>
    <x v="1"/>
    <s v="DJ Moore"/>
    <x v="174"/>
    <n v="2024"/>
  </r>
  <r>
    <x v="4"/>
    <s v="Eli"/>
    <n v="3"/>
    <x v="2"/>
    <s v="Bijan Robinson"/>
    <x v="175"/>
    <n v="2024"/>
  </r>
  <r>
    <x v="4"/>
    <s v="Eli"/>
    <n v="3"/>
    <x v="2"/>
    <s v="Jordan Mason"/>
    <x v="158"/>
    <n v="2024"/>
  </r>
  <r>
    <x v="4"/>
    <s v="Eli"/>
    <n v="3"/>
    <x v="3"/>
    <s v="Dalton Schultz"/>
    <x v="28"/>
    <n v="2024"/>
  </r>
  <r>
    <x v="4"/>
    <s v="Eli"/>
    <n v="3"/>
    <x v="5"/>
    <s v="Jake Moody"/>
    <x v="25"/>
    <n v="2024"/>
  </r>
  <r>
    <x v="4"/>
    <s v="Eli"/>
    <n v="3"/>
    <x v="4"/>
    <s v="NYJ"/>
    <x v="176"/>
    <n v="2024"/>
  </r>
  <r>
    <x v="6"/>
    <s v="Will"/>
    <n v="3"/>
    <x v="0"/>
    <s v="Geno Smith"/>
    <x v="177"/>
    <n v="2024"/>
  </r>
  <r>
    <x v="6"/>
    <s v="Will"/>
    <n v="3"/>
    <x v="1"/>
    <s v="Amon-Ra St. Brown"/>
    <x v="62"/>
    <n v="2024"/>
  </r>
  <r>
    <x v="6"/>
    <s v="Will"/>
    <n v="3"/>
    <x v="1"/>
    <s v="Drake London"/>
    <x v="93"/>
    <n v="2024"/>
  </r>
  <r>
    <x v="6"/>
    <s v="Will"/>
    <n v="3"/>
    <x v="1"/>
    <s v="Ladd McConkey"/>
    <x v="178"/>
    <n v="2024"/>
  </r>
  <r>
    <x v="6"/>
    <s v="Will"/>
    <n v="3"/>
    <x v="2"/>
    <s v="Zach Charbonet"/>
    <x v="179"/>
    <n v="2024"/>
  </r>
  <r>
    <x v="6"/>
    <s v="Will"/>
    <n v="3"/>
    <x v="2"/>
    <s v="Travis Etienne"/>
    <x v="27"/>
    <n v="2024"/>
  </r>
  <r>
    <x v="6"/>
    <s v="Will"/>
    <n v="3"/>
    <x v="3"/>
    <s v="Travis Kelce"/>
    <x v="103"/>
    <n v="2024"/>
  </r>
  <r>
    <x v="6"/>
    <s v="Will"/>
    <n v="3"/>
    <x v="5"/>
    <s v="Jason Myers"/>
    <x v="32"/>
    <n v="2024"/>
  </r>
  <r>
    <x v="6"/>
    <s v="Will"/>
    <n v="3"/>
    <x v="4"/>
    <s v="Houston"/>
    <x v="16"/>
    <n v="2024"/>
  </r>
  <r>
    <x v="11"/>
    <s v="Cam"/>
    <n v="3"/>
    <x v="0"/>
    <s v="Joe Burrow"/>
    <x v="180"/>
    <n v="2024"/>
  </r>
  <r>
    <x v="11"/>
    <s v="Cam"/>
    <n v="3"/>
    <x v="1"/>
    <s v="Ja'Marr Chase"/>
    <x v="181"/>
    <n v="2024"/>
  </r>
  <r>
    <x v="11"/>
    <s v="Cam"/>
    <n v="3"/>
    <x v="1"/>
    <s v="Nico Collins"/>
    <x v="21"/>
    <n v="2024"/>
  </r>
  <r>
    <x v="11"/>
    <s v="Cam"/>
    <n v="3"/>
    <x v="1"/>
    <s v="Brandon Aiyuk"/>
    <x v="170"/>
    <n v="2024"/>
  </r>
  <r>
    <x v="11"/>
    <s v="Cam"/>
    <n v="3"/>
    <x v="2"/>
    <s v="Aaron Jones"/>
    <x v="182"/>
    <n v="2024"/>
  </r>
  <r>
    <x v="11"/>
    <s v="Cam"/>
    <n v="3"/>
    <x v="2"/>
    <s v="JK Dobbins"/>
    <x v="92"/>
    <n v="2024"/>
  </r>
  <r>
    <x v="11"/>
    <s v="Cam"/>
    <n v="3"/>
    <x v="3"/>
    <s v="Pat Freiermuth"/>
    <x v="128"/>
    <n v="2024"/>
  </r>
  <r>
    <x v="11"/>
    <s v="Cam"/>
    <n v="3"/>
    <x v="5"/>
    <s v="Evan McPherson"/>
    <x v="32"/>
    <n v="2024"/>
  </r>
  <r>
    <x v="11"/>
    <s v="Cam"/>
    <n v="3"/>
    <x v="4"/>
    <s v="Chicago"/>
    <x v="16"/>
    <n v="2024"/>
  </r>
  <r>
    <x v="8"/>
    <s v="Schulwolf"/>
    <n v="3"/>
    <x v="0"/>
    <s v="Jayden Daniels"/>
    <x v="183"/>
    <n v="2024"/>
  </r>
  <r>
    <x v="8"/>
    <s v="Schulwolf"/>
    <n v="3"/>
    <x v="1"/>
    <s v="Chris Godwin"/>
    <x v="130"/>
    <n v="2024"/>
  </r>
  <r>
    <x v="8"/>
    <s v="Schulwolf"/>
    <n v="3"/>
    <x v="1"/>
    <s v="DeVonta Smith"/>
    <x v="46"/>
    <n v="2024"/>
  </r>
  <r>
    <x v="8"/>
    <s v="Schulwolf"/>
    <n v="3"/>
    <x v="1"/>
    <s v="Jerry Jeudy"/>
    <x v="184"/>
    <n v="2024"/>
  </r>
  <r>
    <x v="8"/>
    <s v="Schulwolf"/>
    <n v="3"/>
    <x v="2"/>
    <s v="Zack Moss"/>
    <x v="185"/>
    <n v="2024"/>
  </r>
  <r>
    <x v="8"/>
    <s v="Schulwolf"/>
    <n v="3"/>
    <x v="2"/>
    <s v="James Cook"/>
    <x v="186"/>
    <n v="2024"/>
  </r>
  <r>
    <x v="8"/>
    <s v="Schulwolf"/>
    <n v="3"/>
    <x v="3"/>
    <s v="Dalton Kincaid"/>
    <x v="187"/>
    <n v="2024"/>
  </r>
  <r>
    <x v="8"/>
    <s v="Schulwolf"/>
    <n v="3"/>
    <x v="5"/>
    <s v="Brandon Aubrey"/>
    <x v="138"/>
    <n v="2024"/>
  </r>
  <r>
    <x v="8"/>
    <s v="Schulwolf"/>
    <n v="3"/>
    <x v="4"/>
    <s v="Dallas"/>
    <x v="188"/>
    <n v="2024"/>
  </r>
  <r>
    <x v="10"/>
    <s v="Brand"/>
    <n v="3"/>
    <x v="0"/>
    <s v="Anthony Richardson"/>
    <x v="189"/>
    <n v="2024"/>
  </r>
  <r>
    <x v="10"/>
    <s v="Brand"/>
    <n v="3"/>
    <x v="1"/>
    <s v="Garrett Wilson"/>
    <x v="69"/>
    <n v="2024"/>
  </r>
  <r>
    <x v="10"/>
    <s v="Brand"/>
    <n v="3"/>
    <x v="1"/>
    <s v="Michael Pittman"/>
    <x v="90"/>
    <n v="2024"/>
  </r>
  <r>
    <x v="10"/>
    <s v="Brand"/>
    <n v="3"/>
    <x v="1"/>
    <s v="Brandin Cooks"/>
    <x v="59"/>
    <n v="2024"/>
  </r>
  <r>
    <x v="10"/>
    <s v="Brand"/>
    <n v="3"/>
    <x v="2"/>
    <s v="Breece Hall"/>
    <x v="190"/>
    <n v="2024"/>
  </r>
  <r>
    <x v="10"/>
    <s v="Brand"/>
    <n v="3"/>
    <x v="2"/>
    <s v="Bucky Irving"/>
    <x v="191"/>
    <n v="2024"/>
  </r>
  <r>
    <x v="10"/>
    <s v="Brand"/>
    <n v="3"/>
    <x v="3"/>
    <s v="Dallas Goedert"/>
    <x v="192"/>
    <n v="2024"/>
  </r>
  <r>
    <x v="10"/>
    <s v="Brand"/>
    <n v="3"/>
    <x v="5"/>
    <s v="Cairo Santos"/>
    <x v="25"/>
    <n v="2024"/>
  </r>
  <r>
    <x v="10"/>
    <s v="Brand"/>
    <n v="3"/>
    <x v="4"/>
    <s v="Indianapolis"/>
    <x v="8"/>
    <n v="2024"/>
  </r>
  <r>
    <x v="9"/>
    <s v="Tommy"/>
    <n v="3"/>
    <x v="0"/>
    <s v="Josh Allen"/>
    <x v="193"/>
    <n v="2024"/>
  </r>
  <r>
    <x v="9"/>
    <s v="Tommy"/>
    <n v="3"/>
    <x v="1"/>
    <s v="Malik Nabers"/>
    <x v="179"/>
    <n v="2024"/>
  </r>
  <r>
    <x v="9"/>
    <s v="Tommy"/>
    <n v="3"/>
    <x v="1"/>
    <s v="DK Metcalf"/>
    <x v="194"/>
    <n v="2024"/>
  </r>
  <r>
    <x v="9"/>
    <s v="Tommy"/>
    <n v="3"/>
    <x v="1"/>
    <s v="Xavier Worthy"/>
    <x v="16"/>
    <n v="2024"/>
  </r>
  <r>
    <x v="9"/>
    <s v="Tommy"/>
    <n v="3"/>
    <x v="2"/>
    <s v="Saquon Barkley"/>
    <x v="195"/>
    <n v="2024"/>
  </r>
  <r>
    <x v="9"/>
    <s v="Tommy"/>
    <n v="3"/>
    <x v="2"/>
    <s v="Kyren Williams"/>
    <x v="196"/>
    <n v="2024"/>
  </r>
  <r>
    <x v="9"/>
    <s v="Tommy"/>
    <n v="3"/>
    <x v="3"/>
    <s v="Mike Gesicki"/>
    <x v="184"/>
    <n v="2024"/>
  </r>
  <r>
    <x v="9"/>
    <s v="Tommy"/>
    <n v="3"/>
    <x v="5"/>
    <s v="Harrison Butker"/>
    <x v="122"/>
    <n v="2024"/>
  </r>
  <r>
    <x v="9"/>
    <s v="Tommy"/>
    <n v="3"/>
    <x v="4"/>
    <s v="San Francisco"/>
    <x v="16"/>
    <n v="2024"/>
  </r>
  <r>
    <x v="5"/>
    <s v="Burnett/Jasjaap"/>
    <n v="3"/>
    <x v="0"/>
    <s v="Brock Purdy"/>
    <x v="197"/>
    <n v="2024"/>
  </r>
  <r>
    <x v="5"/>
    <s v="Burnett/Jasjaap"/>
    <n v="3"/>
    <x v="1"/>
    <s v="CeeDee Lamb"/>
    <x v="184"/>
    <n v="2024"/>
  </r>
  <r>
    <x v="5"/>
    <s v="Burnett/Jasjaap"/>
    <n v="3"/>
    <x v="1"/>
    <s v="Jaylen Waddle"/>
    <x v="163"/>
    <n v="2024"/>
  </r>
  <r>
    <x v="5"/>
    <s v="Burnett/Jasjaap"/>
    <n v="3"/>
    <x v="1"/>
    <s v="Rashid Shaheed"/>
    <x v="146"/>
    <n v="2024"/>
  </r>
  <r>
    <x v="5"/>
    <s v="Burnett/Jasjaap"/>
    <n v="3"/>
    <x v="2"/>
    <s v="David Montgomery"/>
    <x v="198"/>
    <n v="2024"/>
  </r>
  <r>
    <x v="5"/>
    <s v="Burnett/Jasjaap"/>
    <n v="3"/>
    <x v="2"/>
    <s v="Josh Jacobs"/>
    <x v="128"/>
    <n v="2024"/>
  </r>
  <r>
    <x v="5"/>
    <s v="Burnett/Jasjaap"/>
    <n v="3"/>
    <x v="3"/>
    <s v="Brock Bowers"/>
    <x v="90"/>
    <n v="2024"/>
  </r>
  <r>
    <x v="5"/>
    <s v="Burnett/Jasjaap"/>
    <n v="3"/>
    <x v="5"/>
    <s v="Jake Elliott"/>
    <x v="78"/>
    <n v="2024"/>
  </r>
  <r>
    <x v="5"/>
    <s v="Burnett/Jasjaap"/>
    <n v="3"/>
    <x v="4"/>
    <s v="Pittsburgh"/>
    <x v="122"/>
    <n v="2024"/>
  </r>
  <r>
    <x v="0"/>
    <s v="Brenton"/>
    <n v="4"/>
    <x v="0"/>
    <s v="Baker Mayfield"/>
    <x v="199"/>
    <n v="2024"/>
  </r>
  <r>
    <x v="0"/>
    <s v="Brenton"/>
    <n v="4"/>
    <x v="1"/>
    <s v="Jayden Reed"/>
    <x v="200"/>
    <n v="2024"/>
  </r>
  <r>
    <x v="0"/>
    <s v="Brenton"/>
    <n v="4"/>
    <x v="1"/>
    <s v="Courtland Sutton"/>
    <x v="201"/>
    <n v="2024"/>
  </r>
  <r>
    <x v="0"/>
    <s v="Brenton"/>
    <n v="4"/>
    <x v="1"/>
    <s v="Tyreek Hill"/>
    <x v="45"/>
    <n v="2024"/>
  </r>
  <r>
    <x v="0"/>
    <s v="Brenton"/>
    <n v="4"/>
    <x v="2"/>
    <s v="Jerome Ford"/>
    <x v="122"/>
    <n v="2024"/>
  </r>
  <r>
    <x v="0"/>
    <s v="Brenton"/>
    <n v="4"/>
    <x v="2"/>
    <s v="Cam Akers"/>
    <x v="128"/>
    <n v="2024"/>
  </r>
  <r>
    <x v="0"/>
    <s v="Brenton"/>
    <n v="4"/>
    <x v="3"/>
    <s v="Colby Parkinson"/>
    <x v="128"/>
    <n v="2024"/>
  </r>
  <r>
    <x v="0"/>
    <s v="Brenton"/>
    <n v="4"/>
    <x v="5"/>
    <s v="Tyler Bass"/>
    <x v="103"/>
    <n v="2024"/>
  </r>
  <r>
    <x v="0"/>
    <s v="Brenton"/>
    <n v="4"/>
    <x v="4"/>
    <s v="Kansas City"/>
    <x v="76"/>
    <n v="2024"/>
  </r>
  <r>
    <x v="0"/>
    <s v="Brenton"/>
    <n v="4"/>
    <x v="6"/>
    <s v="Zay Flowers"/>
    <x v="202"/>
    <n v="2024"/>
  </r>
  <r>
    <x v="7"/>
    <s v="Jay"/>
    <n v="4"/>
    <x v="0"/>
    <s v="Lamar Jackson"/>
    <x v="203"/>
    <n v="2024"/>
  </r>
  <r>
    <x v="7"/>
    <s v="Jay"/>
    <n v="4"/>
    <x v="1"/>
    <s v="Amari Cooper"/>
    <x v="6"/>
    <n v="2024"/>
  </r>
  <r>
    <x v="7"/>
    <s v="Jay"/>
    <n v="4"/>
    <x v="1"/>
    <s v="Stefon Diggs"/>
    <x v="101"/>
    <n v="2024"/>
  </r>
  <r>
    <x v="7"/>
    <s v="Jay"/>
    <n v="4"/>
    <x v="1"/>
    <s v="Jauan Jennings"/>
    <x v="204"/>
    <n v="2024"/>
  </r>
  <r>
    <x v="7"/>
    <s v="Jay"/>
    <n v="4"/>
    <x v="2"/>
    <s v="Brian Robinson"/>
    <x v="88"/>
    <n v="2024"/>
  </r>
  <r>
    <x v="7"/>
    <s v="Jay"/>
    <n v="4"/>
    <x v="2"/>
    <s v="Alvin Kamara"/>
    <x v="205"/>
    <n v="2024"/>
  </r>
  <r>
    <x v="7"/>
    <s v="Jay"/>
    <n v="4"/>
    <x v="3"/>
    <s v="Tyler Conklin"/>
    <x v="206"/>
    <n v="2024"/>
  </r>
  <r>
    <x v="7"/>
    <s v="Jay"/>
    <n v="4"/>
    <x v="5"/>
    <s v="Ka'imi Fairbairn"/>
    <x v="25"/>
    <n v="2024"/>
  </r>
  <r>
    <x v="7"/>
    <s v="Jay"/>
    <n v="4"/>
    <x v="4"/>
    <s v="Miami"/>
    <x v="7"/>
    <n v="2024"/>
  </r>
  <r>
    <x v="7"/>
    <s v="Jay"/>
    <n v="4"/>
    <x v="7"/>
    <s v="Jonathan Taylor"/>
    <x v="67"/>
    <n v="2024"/>
  </r>
  <r>
    <x v="8"/>
    <s v="Schulwolf"/>
    <n v="4"/>
    <x v="0"/>
    <s v="Jayden Daniels"/>
    <x v="207"/>
    <n v="2024"/>
  </r>
  <r>
    <x v="8"/>
    <s v="Schulwolf"/>
    <n v="4"/>
    <x v="1"/>
    <s v="Terry McLaurin"/>
    <x v="85"/>
    <n v="2024"/>
  </r>
  <r>
    <x v="8"/>
    <s v="Schulwolf"/>
    <n v="4"/>
    <x v="1"/>
    <s v="Jerry Jeudy"/>
    <x v="208"/>
    <n v="2024"/>
  </r>
  <r>
    <x v="8"/>
    <s v="Schulwolf"/>
    <n v="4"/>
    <x v="1"/>
    <s v="Chris Godwin"/>
    <x v="191"/>
    <n v="2024"/>
  </r>
  <r>
    <x v="8"/>
    <s v="Schulwolf"/>
    <n v="4"/>
    <x v="2"/>
    <s v="Jahmyr Gibbs"/>
    <x v="209"/>
    <n v="2024"/>
  </r>
  <r>
    <x v="8"/>
    <s v="Schulwolf"/>
    <n v="4"/>
    <x v="2"/>
    <s v="Zack Moss"/>
    <x v="47"/>
    <n v="2024"/>
  </r>
  <r>
    <x v="8"/>
    <s v="Schulwolf"/>
    <n v="4"/>
    <x v="3"/>
    <s v="Dalton Kincaid"/>
    <x v="210"/>
    <n v="2024"/>
  </r>
  <r>
    <x v="8"/>
    <s v="Schulwolf"/>
    <n v="4"/>
    <x v="5"/>
    <s v="Brandon Aubrey"/>
    <x v="138"/>
    <n v="2024"/>
  </r>
  <r>
    <x v="8"/>
    <s v="Schulwolf"/>
    <n v="4"/>
    <x v="4"/>
    <s v="Dallas"/>
    <x v="7"/>
    <n v="2024"/>
  </r>
  <r>
    <x v="8"/>
    <s v="Schulwolf"/>
    <n v="4"/>
    <x v="7"/>
    <s v="James Cook"/>
    <x v="128"/>
    <n v="2024"/>
  </r>
  <r>
    <x v="5"/>
    <s v="Burnett/Jasjaap"/>
    <n v="4"/>
    <x v="0"/>
    <s v="Brock Purdy"/>
    <x v="211"/>
    <n v="2024"/>
  </r>
  <r>
    <x v="5"/>
    <s v="Burnett/Jasjaap"/>
    <n v="4"/>
    <x v="1"/>
    <s v="CeeDee Lamb"/>
    <x v="87"/>
    <n v="2024"/>
  </r>
  <r>
    <x v="5"/>
    <s v="Burnett/Jasjaap"/>
    <n v="4"/>
    <x v="1"/>
    <s v="Jaylen Waddle"/>
    <x v="90"/>
    <n v="2024"/>
  </r>
  <r>
    <x v="5"/>
    <s v="Burnett/Jasjaap"/>
    <n v="4"/>
    <x v="1"/>
    <s v="Rashid Shaheed"/>
    <x v="20"/>
    <n v="2024"/>
  </r>
  <r>
    <x v="5"/>
    <s v="Burnett/Jasjaap"/>
    <n v="4"/>
    <x v="2"/>
    <s v="David Montgomery"/>
    <x v="107"/>
    <n v="2024"/>
  </r>
  <r>
    <x v="5"/>
    <s v="Burnett/Jasjaap"/>
    <n v="4"/>
    <x v="2"/>
    <s v="Josh Jacobs"/>
    <x v="158"/>
    <n v="2024"/>
  </r>
  <r>
    <x v="5"/>
    <s v="Burnett/Jasjaap"/>
    <n v="4"/>
    <x v="3"/>
    <s v="Brock Bowers"/>
    <x v="86"/>
    <n v="2024"/>
  </r>
  <r>
    <x v="5"/>
    <s v="Burnett/Jasjaap"/>
    <n v="4"/>
    <x v="5"/>
    <s v="Jake Elliott"/>
    <x v="139"/>
    <n v="2024"/>
  </r>
  <r>
    <x v="5"/>
    <s v="Burnett/Jasjaap"/>
    <n v="4"/>
    <x v="4"/>
    <s v="Pittsburgh"/>
    <x v="78"/>
    <n v="2024"/>
  </r>
  <r>
    <x v="5"/>
    <s v="Burnett/Jasjaap"/>
    <n v="4"/>
    <x v="7"/>
    <s v="Gus Edwards"/>
    <x v="160"/>
    <n v="2024"/>
  </r>
  <r>
    <x v="2"/>
    <s v="Mike"/>
    <n v="4"/>
    <x v="0"/>
    <s v="Patrick Mahomes"/>
    <x v="49"/>
    <n v="2024"/>
  </r>
  <r>
    <x v="2"/>
    <s v="Mike"/>
    <n v="4"/>
    <x v="1"/>
    <s v="Mike Evans"/>
    <x v="212"/>
    <n v="2024"/>
  </r>
  <r>
    <x v="2"/>
    <s v="Mike"/>
    <n v="4"/>
    <x v="1"/>
    <s v="Khalil Shakir"/>
    <x v="136"/>
    <n v="2024"/>
  </r>
  <r>
    <x v="2"/>
    <s v="Mike"/>
    <n v="4"/>
    <x v="1"/>
    <s v="Quentin Johnston"/>
    <x v="213"/>
    <n v="2024"/>
  </r>
  <r>
    <x v="2"/>
    <s v="Mike"/>
    <n v="4"/>
    <x v="2"/>
    <s v="Derrick Henry"/>
    <x v="214"/>
    <n v="2024"/>
  </r>
  <r>
    <x v="2"/>
    <s v="Mike"/>
    <n v="4"/>
    <x v="2"/>
    <s v="Carson Steele"/>
    <x v="215"/>
    <n v="2024"/>
  </r>
  <r>
    <x v="2"/>
    <s v="Mike"/>
    <n v="4"/>
    <x v="3"/>
    <s v="Jake Ferguson"/>
    <x v="18"/>
    <n v="2024"/>
  </r>
  <r>
    <x v="2"/>
    <s v="Mike"/>
    <n v="4"/>
    <x v="5"/>
    <s v="Younghoe Koo"/>
    <x v="109"/>
    <n v="2024"/>
  </r>
  <r>
    <x v="2"/>
    <s v="Mike"/>
    <n v="4"/>
    <x v="4"/>
    <s v="Buffalo"/>
    <x v="188"/>
    <n v="2024"/>
  </r>
  <r>
    <x v="2"/>
    <s v="Mike"/>
    <n v="4"/>
    <x v="8"/>
    <s v="Sam LaPorta"/>
    <x v="170"/>
    <n v="2024"/>
  </r>
  <r>
    <x v="4"/>
    <s v="Eli"/>
    <n v="4"/>
    <x v="0"/>
    <s v="Jalen Hurts"/>
    <x v="216"/>
    <n v="2024"/>
  </r>
  <r>
    <x v="4"/>
    <s v="Eli"/>
    <n v="4"/>
    <x v="1"/>
    <s v="Justin Jefferson"/>
    <x v="217"/>
    <n v="2024"/>
  </r>
  <r>
    <x v="4"/>
    <s v="Eli"/>
    <n v="4"/>
    <x v="1"/>
    <s v="DJ Moore"/>
    <x v="218"/>
    <n v="2024"/>
  </r>
  <r>
    <x v="4"/>
    <s v="Eli"/>
    <n v="4"/>
    <x v="1"/>
    <s v="Jalen Tolbert"/>
    <x v="132"/>
    <n v="2024"/>
  </r>
  <r>
    <x v="4"/>
    <s v="Eli"/>
    <n v="4"/>
    <x v="2"/>
    <s v="Jordan Mason"/>
    <x v="33"/>
    <n v="2024"/>
  </r>
  <r>
    <x v="4"/>
    <s v="Eli"/>
    <n v="4"/>
    <x v="2"/>
    <s v="Bijan Robinson"/>
    <x v="156"/>
    <n v="2024"/>
  </r>
  <r>
    <x v="4"/>
    <s v="Eli"/>
    <n v="4"/>
    <x v="3"/>
    <s v="Dalton Schultz"/>
    <x v="219"/>
    <n v="2024"/>
  </r>
  <r>
    <x v="4"/>
    <s v="Eli"/>
    <n v="4"/>
    <x v="5"/>
    <s v="Jake Moody"/>
    <x v="49"/>
    <n v="2024"/>
  </r>
  <r>
    <x v="4"/>
    <s v="Eli"/>
    <n v="4"/>
    <x v="4"/>
    <s v="NYJ"/>
    <x v="24"/>
    <n v="2024"/>
  </r>
  <r>
    <x v="4"/>
    <s v="Eli"/>
    <n v="4"/>
    <x v="6"/>
    <s v="Rome Odunze"/>
    <x v="202"/>
    <n v="2024"/>
  </r>
  <r>
    <x v="1"/>
    <s v="Todd"/>
    <n v="4"/>
    <x v="0"/>
    <s v="Dak Prescott"/>
    <x v="220"/>
    <n v="2024"/>
  </r>
  <r>
    <x v="1"/>
    <s v="Todd"/>
    <n v="4"/>
    <x v="1"/>
    <s v="Brian Thomas Jr"/>
    <x v="57"/>
    <n v="2024"/>
  </r>
  <r>
    <x v="1"/>
    <s v="Todd"/>
    <n v="4"/>
    <x v="1"/>
    <s v="Diontae Johnson"/>
    <x v="14"/>
    <n v="2024"/>
  </r>
  <r>
    <x v="1"/>
    <s v="Todd"/>
    <n v="4"/>
    <x v="1"/>
    <s v="Deebo Samuel"/>
    <x v="161"/>
    <n v="2024"/>
  </r>
  <r>
    <x v="1"/>
    <s v="Todd"/>
    <n v="4"/>
    <x v="2"/>
    <s v="James Conner"/>
    <x v="14"/>
    <n v="2024"/>
  </r>
  <r>
    <x v="1"/>
    <s v="Todd"/>
    <n v="4"/>
    <x v="2"/>
    <s v="De'Von Achane"/>
    <x v="75"/>
    <n v="2024"/>
  </r>
  <r>
    <x v="1"/>
    <s v="Todd"/>
    <n v="4"/>
    <x v="3"/>
    <s v="Kyle Pitts"/>
    <x v="146"/>
    <n v="2024"/>
  </r>
  <r>
    <x v="1"/>
    <s v="Todd"/>
    <n v="4"/>
    <x v="5"/>
    <s v="Chris Boswell"/>
    <x v="32"/>
    <n v="2024"/>
  </r>
  <r>
    <x v="1"/>
    <s v="Todd"/>
    <n v="4"/>
    <x v="4"/>
    <s v="Tennessee"/>
    <x v="49"/>
    <n v="2024"/>
  </r>
  <r>
    <x v="1"/>
    <s v="Todd"/>
    <n v="4"/>
    <x v="6"/>
    <s v="Rashee Rice"/>
    <x v="146"/>
    <n v="2024"/>
  </r>
  <r>
    <x v="11"/>
    <s v="Cam"/>
    <n v="4"/>
    <x v="0"/>
    <s v="Kyler Murray"/>
    <x v="221"/>
    <n v="2024"/>
  </r>
  <r>
    <x v="11"/>
    <s v="Cam"/>
    <n v="4"/>
    <x v="1"/>
    <s v="Ja'Marr Chase"/>
    <x v="101"/>
    <n v="2024"/>
  </r>
  <r>
    <x v="11"/>
    <s v="Cam"/>
    <n v="4"/>
    <x v="1"/>
    <s v="Nico Collins"/>
    <x v="222"/>
    <n v="2024"/>
  </r>
  <r>
    <x v="11"/>
    <s v="Cam"/>
    <n v="4"/>
    <x v="1"/>
    <s v="Jakobi Meyers"/>
    <x v="223"/>
    <n v="2024"/>
  </r>
  <r>
    <x v="11"/>
    <s v="Cam"/>
    <n v="4"/>
    <x v="2"/>
    <s v="Aaron Jones"/>
    <x v="4"/>
    <n v="2024"/>
  </r>
  <r>
    <x v="11"/>
    <s v="Cam"/>
    <n v="4"/>
    <x v="2"/>
    <s v="Rhamondre Stevenson"/>
    <x v="45"/>
    <n v="2024"/>
  </r>
  <r>
    <x v="11"/>
    <s v="Cam"/>
    <n v="4"/>
    <x v="3"/>
    <s v="George Kittle"/>
    <x v="224"/>
    <n v="2024"/>
  </r>
  <r>
    <x v="11"/>
    <s v="Cam"/>
    <n v="4"/>
    <x v="5"/>
    <s v="Evan McPherson"/>
    <x v="49"/>
    <n v="2024"/>
  </r>
  <r>
    <x v="11"/>
    <s v="Cam"/>
    <n v="4"/>
    <x v="4"/>
    <s v="Chicago"/>
    <x v="76"/>
    <n v="2024"/>
  </r>
  <r>
    <x v="11"/>
    <s v="Cam"/>
    <n v="4"/>
    <x v="6"/>
    <s v="Brandon Aiyuk"/>
    <x v="225"/>
    <n v="2024"/>
  </r>
  <r>
    <x v="6"/>
    <s v="Will"/>
    <n v="4"/>
    <x v="0"/>
    <s v="Geno Smith"/>
    <x v="226"/>
    <n v="2024"/>
  </r>
  <r>
    <x v="6"/>
    <s v="Will"/>
    <n v="4"/>
    <x v="1"/>
    <s v="Amon-Ra St. Brown"/>
    <x v="227"/>
    <n v="2024"/>
  </r>
  <r>
    <x v="6"/>
    <s v="Will"/>
    <n v="4"/>
    <x v="1"/>
    <s v="Drake London"/>
    <x v="156"/>
    <n v="2024"/>
  </r>
  <r>
    <x v="6"/>
    <s v="Will"/>
    <n v="4"/>
    <x v="1"/>
    <s v="Ladd McConkey"/>
    <x v="228"/>
    <n v="2024"/>
  </r>
  <r>
    <x v="6"/>
    <s v="Will"/>
    <n v="4"/>
    <x v="2"/>
    <s v="Travis Etienne"/>
    <x v="23"/>
    <n v="2024"/>
  </r>
  <r>
    <x v="6"/>
    <s v="Will"/>
    <n v="4"/>
    <x v="2"/>
    <s v="Zach Charbonet"/>
    <x v="133"/>
    <n v="2024"/>
  </r>
  <r>
    <x v="6"/>
    <s v="Will"/>
    <n v="4"/>
    <x v="3"/>
    <s v="Travis Kelce"/>
    <x v="51"/>
    <n v="2024"/>
  </r>
  <r>
    <x v="6"/>
    <s v="Will"/>
    <n v="4"/>
    <x v="5"/>
    <s v="Jason Myers"/>
    <x v="7"/>
    <n v="2024"/>
  </r>
  <r>
    <x v="6"/>
    <s v="Will"/>
    <n v="4"/>
    <x v="4"/>
    <s v="Houston"/>
    <x v="78"/>
    <n v="2024"/>
  </r>
  <r>
    <x v="6"/>
    <s v="Will"/>
    <n v="4"/>
    <x v="6"/>
    <s v="Jaxon Smith-Njigba"/>
    <x v="74"/>
    <n v="2024"/>
  </r>
  <r>
    <x v="9"/>
    <s v="Tommy"/>
    <n v="4"/>
    <x v="0"/>
    <s v="Josh Allen"/>
    <x v="170"/>
    <n v="2024"/>
  </r>
  <r>
    <x v="9"/>
    <s v="Tommy"/>
    <n v="4"/>
    <x v="1"/>
    <s v="Malik Nabers"/>
    <x v="125"/>
    <n v="2024"/>
  </r>
  <r>
    <x v="9"/>
    <s v="Tommy"/>
    <n v="4"/>
    <x v="1"/>
    <s v="Xavier Worthy"/>
    <x v="31"/>
    <n v="2024"/>
  </r>
  <r>
    <x v="9"/>
    <s v="Tommy"/>
    <n v="4"/>
    <x v="1"/>
    <s v="DK Metcalf"/>
    <x v="66"/>
    <n v="2024"/>
  </r>
  <r>
    <x v="9"/>
    <s v="Tommy"/>
    <n v="4"/>
    <x v="2"/>
    <s v="Kyren Williams"/>
    <x v="194"/>
    <n v="2024"/>
  </r>
  <r>
    <x v="9"/>
    <s v="Tommy"/>
    <n v="4"/>
    <x v="2"/>
    <s v="Saquon Barkley"/>
    <x v="229"/>
    <n v="2024"/>
  </r>
  <r>
    <x v="9"/>
    <s v="Tommy"/>
    <n v="4"/>
    <x v="3"/>
    <s v="Mike Gesicki"/>
    <x v="230"/>
    <n v="2024"/>
  </r>
  <r>
    <x v="9"/>
    <s v="Tommy"/>
    <n v="4"/>
    <x v="5"/>
    <s v="Harrison Butker"/>
    <x v="103"/>
    <n v="2024"/>
  </r>
  <r>
    <x v="9"/>
    <s v="Tommy"/>
    <n v="4"/>
    <x v="4"/>
    <s v="San Francisco"/>
    <x v="33"/>
    <n v="2024"/>
  </r>
  <r>
    <x v="9"/>
    <s v="Tommy"/>
    <n v="4"/>
    <x v="7"/>
    <s v="Rachaad White"/>
    <x v="156"/>
    <n v="2024"/>
  </r>
  <r>
    <x v="10"/>
    <s v="Brand"/>
    <n v="4"/>
    <x v="0"/>
    <s v="Anthony Richardson"/>
    <x v="231"/>
    <n v="2024"/>
  </r>
  <r>
    <x v="10"/>
    <s v="Brand"/>
    <n v="4"/>
    <x v="1"/>
    <s v="Michael Pittman"/>
    <x v="130"/>
    <n v="2024"/>
  </r>
  <r>
    <x v="10"/>
    <s v="Brand"/>
    <n v="4"/>
    <x v="1"/>
    <s v="Garrett Wilson"/>
    <x v="163"/>
    <n v="2024"/>
  </r>
  <r>
    <x v="10"/>
    <s v="Brand"/>
    <n v="4"/>
    <x v="1"/>
    <s v="Jameson Williams"/>
    <x v="63"/>
    <n v="2024"/>
  </r>
  <r>
    <x v="10"/>
    <s v="Brand"/>
    <n v="4"/>
    <x v="2"/>
    <s v="Kenneth Walker"/>
    <x v="195"/>
    <n v="2024"/>
  </r>
  <r>
    <x v="10"/>
    <s v="Brand"/>
    <n v="4"/>
    <x v="2"/>
    <s v="Breece Hall"/>
    <x v="5"/>
    <n v="2024"/>
  </r>
  <r>
    <x v="10"/>
    <s v="Brand"/>
    <n v="4"/>
    <x v="3"/>
    <s v="Dallas Goedert"/>
    <x v="218"/>
    <n v="2024"/>
  </r>
  <r>
    <x v="10"/>
    <s v="Brand"/>
    <n v="4"/>
    <x v="5"/>
    <s v="Cairo Santos"/>
    <x v="76"/>
    <n v="2024"/>
  </r>
  <r>
    <x v="10"/>
    <s v="Brand"/>
    <n v="4"/>
    <x v="4"/>
    <s v="Las Vegas"/>
    <x v="8"/>
    <n v="2024"/>
  </r>
  <r>
    <x v="10"/>
    <s v="Brand"/>
    <n v="4"/>
    <x v="6"/>
    <s v="Keenan Allen"/>
    <x v="232"/>
    <n v="2024"/>
  </r>
  <r>
    <x v="3"/>
    <s v="Kevin"/>
    <n v="4"/>
    <x v="0"/>
    <s v="CJ Stroud"/>
    <x v="148"/>
    <n v="2024"/>
  </r>
  <r>
    <x v="3"/>
    <s v="Kevin"/>
    <n v="4"/>
    <x v="1"/>
    <s v="Jordan Addison"/>
    <x v="205"/>
    <n v="2024"/>
  </r>
  <r>
    <x v="3"/>
    <s v="Kevin"/>
    <n v="4"/>
    <x v="1"/>
    <s v="Marvin Harrison Jr"/>
    <x v="49"/>
    <n v="2024"/>
  </r>
  <r>
    <x v="3"/>
    <s v="Kevin"/>
    <n v="4"/>
    <x v="1"/>
    <s v="George Pickens"/>
    <x v="233"/>
    <n v="2024"/>
  </r>
  <r>
    <x v="3"/>
    <s v="Kevin"/>
    <n v="4"/>
    <x v="2"/>
    <s v="Chuba Hubbard"/>
    <x v="87"/>
    <n v="2024"/>
  </r>
  <r>
    <x v="3"/>
    <s v="Kevin"/>
    <n v="4"/>
    <x v="2"/>
    <s v="Najee Harris"/>
    <x v="48"/>
    <n v="2024"/>
  </r>
  <r>
    <x v="3"/>
    <s v="Kevin"/>
    <n v="4"/>
    <x v="3"/>
    <s v="Hunter Henry"/>
    <x v="37"/>
    <n v="2024"/>
  </r>
  <r>
    <x v="3"/>
    <s v="Kevin"/>
    <n v="4"/>
    <x v="5"/>
    <s v="Justin Tucker"/>
    <x v="103"/>
    <n v="2024"/>
  </r>
  <r>
    <x v="3"/>
    <s v="Kevin"/>
    <n v="4"/>
    <x v="4"/>
    <s v="Cleveland"/>
    <x v="122"/>
    <n v="2024"/>
  </r>
  <r>
    <x v="3"/>
    <s v="Kevin"/>
    <n v="4"/>
    <x v="6"/>
    <s v="Chris Olave"/>
    <x v="234"/>
    <n v="2024"/>
  </r>
  <r>
    <x v="0"/>
    <s v="Brenton"/>
    <n v="5"/>
    <x v="0"/>
    <s v="Baker Mayfield"/>
    <x v="235"/>
    <n v="2024"/>
  </r>
  <r>
    <x v="0"/>
    <s v="Brenton"/>
    <n v="5"/>
    <x v="1"/>
    <s v="Jayden Reed"/>
    <x v="20"/>
    <n v="2024"/>
  </r>
  <r>
    <x v="0"/>
    <s v="Brenton"/>
    <n v="5"/>
    <x v="1"/>
    <s v="Tyreek Hill"/>
    <x v="191"/>
    <n v="2024"/>
  </r>
  <r>
    <x v="0"/>
    <s v="Brenton"/>
    <n v="5"/>
    <x v="1"/>
    <s v="Courtland Sutton"/>
    <x v="91"/>
    <n v="2024"/>
  </r>
  <r>
    <x v="0"/>
    <s v="Brenton"/>
    <n v="5"/>
    <x v="2"/>
    <s v="Javonte Williams"/>
    <x v="38"/>
    <n v="2024"/>
  </r>
  <r>
    <x v="0"/>
    <s v="Brenton"/>
    <n v="5"/>
    <x v="2"/>
    <s v="Jerome Ford"/>
    <x v="39"/>
    <n v="2024"/>
  </r>
  <r>
    <x v="0"/>
    <s v="Brenton"/>
    <n v="5"/>
    <x v="3"/>
    <s v="Trey McBride"/>
    <x v="112"/>
    <n v="2024"/>
  </r>
  <r>
    <x v="0"/>
    <s v="Brenton"/>
    <n v="5"/>
    <x v="5"/>
    <s v="Tyler Bass"/>
    <x v="32"/>
    <n v="2024"/>
  </r>
  <r>
    <x v="0"/>
    <s v="Brenton"/>
    <n v="5"/>
    <x v="4"/>
    <s v="New England"/>
    <x v="24"/>
    <n v="2024"/>
  </r>
  <r>
    <x v="0"/>
    <s v="Brenton"/>
    <n v="5"/>
    <x v="6"/>
    <s v="Dontayvion Wicks"/>
    <x v="7"/>
    <n v="2024"/>
  </r>
  <r>
    <x v="4"/>
    <s v="Eli"/>
    <n v="5"/>
    <x v="0"/>
    <s v="Deshaun Watson"/>
    <x v="18"/>
    <n v="2024"/>
  </r>
  <r>
    <x v="4"/>
    <s v="Eli"/>
    <n v="5"/>
    <x v="1"/>
    <s v="DJ Moore"/>
    <x v="65"/>
    <n v="2024"/>
  </r>
  <r>
    <x v="4"/>
    <s v="Eli"/>
    <n v="5"/>
    <x v="1"/>
    <s v="Justin Jefferson"/>
    <x v="175"/>
    <n v="2024"/>
  </r>
  <r>
    <x v="4"/>
    <s v="Eli"/>
    <n v="5"/>
    <x v="1"/>
    <s v="Rome Odunze"/>
    <x v="23"/>
    <n v="2024"/>
  </r>
  <r>
    <x v="4"/>
    <s v="Eli"/>
    <n v="5"/>
    <x v="2"/>
    <s v="Bijan Robinson"/>
    <x v="84"/>
    <n v="2024"/>
  </r>
  <r>
    <x v="4"/>
    <s v="Eli"/>
    <n v="5"/>
    <x v="2"/>
    <s v="Jordan Mason"/>
    <x v="112"/>
    <n v="2024"/>
  </r>
  <r>
    <x v="4"/>
    <s v="Eli"/>
    <n v="5"/>
    <x v="3"/>
    <s v="David Njoku"/>
    <x v="160"/>
    <n v="2024"/>
  </r>
  <r>
    <x v="4"/>
    <s v="Eli"/>
    <n v="5"/>
    <x v="5"/>
    <s v="Jake Moody"/>
    <x v="32"/>
    <n v="2024"/>
  </r>
  <r>
    <x v="4"/>
    <s v="Eli"/>
    <n v="5"/>
    <x v="4"/>
    <s v="NYJ"/>
    <x v="8"/>
    <n v="2024"/>
  </r>
  <r>
    <x v="4"/>
    <s v="Eli"/>
    <n v="5"/>
    <x v="6"/>
    <s v="Xavier Legette"/>
    <x v="236"/>
    <n v="2024"/>
  </r>
  <r>
    <x v="2"/>
    <s v="Mike"/>
    <n v="5"/>
    <x v="0"/>
    <s v="Justin Fields"/>
    <x v="237"/>
    <n v="2024"/>
  </r>
  <r>
    <x v="2"/>
    <s v="Mike"/>
    <n v="5"/>
    <x v="1"/>
    <s v="Mike Evans"/>
    <x v="238"/>
    <n v="2024"/>
  </r>
  <r>
    <x v="2"/>
    <s v="Mike"/>
    <n v="5"/>
    <x v="1"/>
    <s v="Tutu Atwell"/>
    <x v="239"/>
    <n v="2024"/>
  </r>
  <r>
    <x v="2"/>
    <s v="Mike"/>
    <n v="5"/>
    <x v="1"/>
    <s v="Tank Dell"/>
    <x v="128"/>
    <n v="2024"/>
  </r>
  <r>
    <x v="2"/>
    <s v="Mike"/>
    <n v="5"/>
    <x v="2"/>
    <s v="Derrick Henry"/>
    <x v="97"/>
    <n v="2024"/>
  </r>
  <r>
    <x v="2"/>
    <s v="Mike"/>
    <n v="5"/>
    <x v="2"/>
    <s v="Kareem Hunt"/>
    <x v="185"/>
    <n v="2024"/>
  </r>
  <r>
    <x v="2"/>
    <s v="Mike"/>
    <n v="5"/>
    <x v="3"/>
    <s v="Jake Ferguson"/>
    <x v="8"/>
    <n v="2024"/>
  </r>
  <r>
    <x v="2"/>
    <s v="Mike"/>
    <n v="5"/>
    <x v="5"/>
    <s v="Younghoe Koo"/>
    <x v="101"/>
    <n v="2024"/>
  </r>
  <r>
    <x v="2"/>
    <s v="Mike"/>
    <n v="5"/>
    <x v="4"/>
    <s v="Buffalo"/>
    <x v="78"/>
    <n v="2024"/>
  </r>
  <r>
    <x v="2"/>
    <s v="Mike"/>
    <n v="5"/>
    <x v="7"/>
    <s v="Chase Brown"/>
    <x v="134"/>
    <n v="2024"/>
  </r>
  <r>
    <x v="11"/>
    <s v="Cam"/>
    <n v="5"/>
    <x v="0"/>
    <s v="Joe Burrow"/>
    <x v="240"/>
    <n v="2024"/>
  </r>
  <r>
    <x v="11"/>
    <s v="Cam"/>
    <n v="5"/>
    <x v="1"/>
    <s v="Ja'Marr Chase"/>
    <x v="241"/>
    <n v="2024"/>
  </r>
  <r>
    <x v="11"/>
    <s v="Cam"/>
    <n v="5"/>
    <x v="1"/>
    <s v="Brandon Aiyuk"/>
    <x v="242"/>
    <n v="2024"/>
  </r>
  <r>
    <x v="11"/>
    <s v="Cam"/>
    <n v="5"/>
    <x v="1"/>
    <s v="Nico Collins"/>
    <x v="31"/>
    <n v="2024"/>
  </r>
  <r>
    <x v="11"/>
    <s v="Cam"/>
    <n v="5"/>
    <x v="2"/>
    <s v="D'Andre Swift"/>
    <x v="176"/>
    <n v="2024"/>
  </r>
  <r>
    <x v="11"/>
    <s v="Cam"/>
    <n v="5"/>
    <x v="2"/>
    <s v="Aaron Jones"/>
    <x v="225"/>
    <n v="2024"/>
  </r>
  <r>
    <x v="11"/>
    <s v="Cam"/>
    <n v="5"/>
    <x v="3"/>
    <s v="George Kittle"/>
    <x v="64"/>
    <n v="2024"/>
  </r>
  <r>
    <x v="11"/>
    <s v="Cam"/>
    <n v="5"/>
    <x v="5"/>
    <s v="Evan McPherson"/>
    <x v="16"/>
    <n v="2024"/>
  </r>
  <r>
    <x v="11"/>
    <s v="Cam"/>
    <n v="5"/>
    <x v="4"/>
    <s v="Chicago"/>
    <x v="63"/>
    <n v="2024"/>
  </r>
  <r>
    <x v="11"/>
    <s v="Cam"/>
    <n v="5"/>
    <x v="6"/>
    <s v="Wan'Dale Robinson"/>
    <x v="49"/>
    <n v="2024"/>
  </r>
  <r>
    <x v="10"/>
    <s v="Brand"/>
    <n v="5"/>
    <x v="0"/>
    <s v="Joe Flacco"/>
    <x v="243"/>
    <n v="2024"/>
  </r>
  <r>
    <x v="10"/>
    <s v="Brand"/>
    <n v="5"/>
    <x v="1"/>
    <s v="Garrett Wilson"/>
    <x v="244"/>
    <n v="2024"/>
  </r>
  <r>
    <x v="10"/>
    <s v="Brand"/>
    <n v="5"/>
    <x v="1"/>
    <s v="Michael Pittman"/>
    <x v="175"/>
    <n v="2024"/>
  </r>
  <r>
    <x v="10"/>
    <s v="Brand"/>
    <n v="5"/>
    <x v="1"/>
    <s v="Keenan Allen"/>
    <x v="245"/>
    <n v="2024"/>
  </r>
  <r>
    <x v="10"/>
    <s v="Brand"/>
    <n v="5"/>
    <x v="2"/>
    <s v="Kenneth Walker"/>
    <x v="43"/>
    <n v="2024"/>
  </r>
  <r>
    <x v="10"/>
    <s v="Brand"/>
    <n v="5"/>
    <x v="2"/>
    <s v="Breece Hall"/>
    <x v="22"/>
    <n v="2024"/>
  </r>
  <r>
    <x v="10"/>
    <s v="Brand"/>
    <n v="5"/>
    <x v="3"/>
    <s v="Zach Ertz"/>
    <x v="139"/>
    <n v="2024"/>
  </r>
  <r>
    <x v="10"/>
    <s v="Brand"/>
    <n v="5"/>
    <x v="5"/>
    <s v="Cairo Santos"/>
    <x v="103"/>
    <n v="2024"/>
  </r>
  <r>
    <x v="10"/>
    <s v="Brand"/>
    <n v="5"/>
    <x v="4"/>
    <s v="Indianapolis"/>
    <x v="246"/>
    <n v="2024"/>
  </r>
  <r>
    <x v="10"/>
    <s v="Brand"/>
    <n v="5"/>
    <x v="7"/>
    <s v="Bucky Irving"/>
    <x v="163"/>
    <n v="2024"/>
  </r>
  <r>
    <x v="5"/>
    <s v="Burnett/Jasjaap"/>
    <n v="5"/>
    <x v="0"/>
    <s v="Brock Purdy"/>
    <x v="247"/>
    <n v="2024"/>
  </r>
  <r>
    <x v="5"/>
    <s v="Burnett/Jasjaap"/>
    <n v="5"/>
    <x v="1"/>
    <s v="Rashid Shaheed"/>
    <x v="248"/>
    <n v="2024"/>
  </r>
  <r>
    <x v="5"/>
    <s v="Burnett/Jasjaap"/>
    <n v="5"/>
    <x v="1"/>
    <s v="CeeDee Lamb"/>
    <x v="155"/>
    <n v="2024"/>
  </r>
  <r>
    <x v="5"/>
    <s v="Burnett/Jasjaap"/>
    <n v="5"/>
    <x v="1"/>
    <s v="Jordan Whittington"/>
    <x v="51"/>
    <n v="2024"/>
  </r>
  <r>
    <x v="5"/>
    <s v="Burnett/Jasjaap"/>
    <n v="5"/>
    <x v="2"/>
    <s v="Josh Jacobs"/>
    <x v="4"/>
    <n v="2024"/>
  </r>
  <r>
    <x v="5"/>
    <s v="Burnett/Jasjaap"/>
    <n v="5"/>
    <x v="2"/>
    <s v="Rico Dowdle"/>
    <x v="194"/>
    <n v="2024"/>
  </r>
  <r>
    <x v="5"/>
    <s v="Burnett/Jasjaap"/>
    <n v="5"/>
    <x v="3"/>
    <s v="Brock Bowers"/>
    <x v="198"/>
    <n v="2024"/>
  </r>
  <r>
    <x v="5"/>
    <s v="Burnett/Jasjaap"/>
    <n v="5"/>
    <x v="5"/>
    <s v="Austin Seibert"/>
    <x v="8"/>
    <n v="2024"/>
  </r>
  <r>
    <x v="5"/>
    <s v="Burnett/Jasjaap"/>
    <n v="5"/>
    <x v="4"/>
    <s v="Pittsburgh"/>
    <x v="76"/>
    <n v="2024"/>
  </r>
  <r>
    <x v="5"/>
    <s v="Burnett/Jasjaap"/>
    <n v="5"/>
    <x v="6"/>
    <s v="Jaylen Waddle"/>
    <x v="249"/>
    <n v="2024"/>
  </r>
  <r>
    <x v="6"/>
    <s v="Will"/>
    <n v="5"/>
    <x v="0"/>
    <s v="Geno Smith"/>
    <x v="250"/>
    <n v="2024"/>
  </r>
  <r>
    <x v="6"/>
    <s v="Will"/>
    <n v="5"/>
    <x v="1"/>
    <s v="Drake London"/>
    <x v="251"/>
    <n v="2024"/>
  </r>
  <r>
    <x v="6"/>
    <s v="Will"/>
    <n v="5"/>
    <x v="1"/>
    <s v="Jaxon Smith-Njigba"/>
    <x v="43"/>
    <n v="2024"/>
  </r>
  <r>
    <x v="6"/>
    <s v="Will"/>
    <n v="5"/>
    <x v="1"/>
    <s v="Keon Coleman"/>
    <x v="46"/>
    <n v="2024"/>
  </r>
  <r>
    <x v="6"/>
    <s v="Will"/>
    <n v="5"/>
    <x v="2"/>
    <s v="Travis Etienne"/>
    <x v="24"/>
    <n v="2024"/>
  </r>
  <r>
    <x v="6"/>
    <s v="Will"/>
    <n v="5"/>
    <x v="2"/>
    <s v="Austin Ekeler"/>
    <x v="252"/>
    <n v="2024"/>
  </r>
  <r>
    <x v="6"/>
    <s v="Will"/>
    <n v="5"/>
    <x v="3"/>
    <s v="Travis Kelce"/>
    <x v="253"/>
    <n v="2024"/>
  </r>
  <r>
    <x v="6"/>
    <s v="Will"/>
    <n v="5"/>
    <x v="5"/>
    <s v="Jason Myers"/>
    <x v="24"/>
    <n v="2024"/>
  </r>
  <r>
    <x v="6"/>
    <s v="Will"/>
    <n v="5"/>
    <x v="4"/>
    <s v="Houston"/>
    <x v="7"/>
    <n v="2024"/>
  </r>
  <r>
    <x v="6"/>
    <s v="Will"/>
    <n v="5"/>
    <x v="7"/>
    <s v="Zach Charbonet"/>
    <x v="254"/>
    <n v="2024"/>
  </r>
  <r>
    <x v="8"/>
    <s v="Schulwolf"/>
    <n v="5"/>
    <x v="0"/>
    <s v="Jayden Daniels"/>
    <x v="255"/>
    <n v="2024"/>
  </r>
  <r>
    <x v="8"/>
    <s v="Schulwolf"/>
    <n v="5"/>
    <x v="1"/>
    <s v="Terry McLaurin"/>
    <x v="46"/>
    <n v="2024"/>
  </r>
  <r>
    <x v="8"/>
    <s v="Schulwolf"/>
    <n v="5"/>
    <x v="1"/>
    <s v="Chris Godwin"/>
    <x v="74"/>
    <n v="2024"/>
  </r>
  <r>
    <x v="8"/>
    <s v="Schulwolf"/>
    <n v="5"/>
    <x v="1"/>
    <s v="Tyler Lockett"/>
    <x v="239"/>
    <n v="2024"/>
  </r>
  <r>
    <x v="8"/>
    <s v="Schulwolf"/>
    <n v="5"/>
    <x v="2"/>
    <s v="James Cook"/>
    <x v="114"/>
    <n v="2024"/>
  </r>
  <r>
    <x v="8"/>
    <s v="Schulwolf"/>
    <n v="5"/>
    <x v="2"/>
    <s v="Zack Moss"/>
    <x v="184"/>
    <n v="2024"/>
  </r>
  <r>
    <x v="8"/>
    <s v="Schulwolf"/>
    <n v="5"/>
    <x v="3"/>
    <s v="Dalton Kincaid"/>
    <x v="75"/>
    <n v="2024"/>
  </r>
  <r>
    <x v="8"/>
    <s v="Schulwolf"/>
    <n v="5"/>
    <x v="5"/>
    <s v="Brandon Aubrey"/>
    <x v="24"/>
    <n v="2024"/>
  </r>
  <r>
    <x v="8"/>
    <s v="Schulwolf"/>
    <n v="5"/>
    <x v="4"/>
    <s v="Denver"/>
    <x v="63"/>
    <n v="2024"/>
  </r>
  <r>
    <x v="8"/>
    <s v="Schulwolf"/>
    <n v="5"/>
    <x v="6"/>
    <s v="Jerry Jeudy"/>
    <x v="28"/>
    <n v="2024"/>
  </r>
  <r>
    <x v="1"/>
    <s v="Todd"/>
    <n v="5"/>
    <x v="0"/>
    <s v="Sam Darnold"/>
    <x v="256"/>
    <n v="2024"/>
  </r>
  <r>
    <x v="1"/>
    <s v="Todd"/>
    <n v="5"/>
    <x v="1"/>
    <s v="Brian Thomas Jr"/>
    <x v="238"/>
    <n v="2024"/>
  </r>
  <r>
    <x v="1"/>
    <s v="Todd"/>
    <n v="5"/>
    <x v="1"/>
    <s v="Darnell Mooney"/>
    <x v="131"/>
    <n v="2024"/>
  </r>
  <r>
    <x v="1"/>
    <s v="Todd"/>
    <n v="5"/>
    <x v="1"/>
    <s v="Diontae Johnson"/>
    <x v="75"/>
    <n v="2024"/>
  </r>
  <r>
    <x v="1"/>
    <s v="Todd"/>
    <n v="5"/>
    <x v="2"/>
    <s v="James Conner"/>
    <x v="49"/>
    <n v="2024"/>
  </r>
  <r>
    <x v="1"/>
    <s v="Todd"/>
    <n v="5"/>
    <x v="2"/>
    <s v="De'Von Achane"/>
    <x v="37"/>
    <n v="2024"/>
  </r>
  <r>
    <x v="1"/>
    <s v="Todd"/>
    <n v="5"/>
    <x v="3"/>
    <s v="Tucker Kraft"/>
    <x v="257"/>
    <n v="2024"/>
  </r>
  <r>
    <x v="1"/>
    <s v="Todd"/>
    <n v="5"/>
    <x v="5"/>
    <s v="Chris Boswell"/>
    <x v="25"/>
    <n v="2024"/>
  </r>
  <r>
    <x v="1"/>
    <s v="Todd"/>
    <n v="5"/>
    <x v="4"/>
    <s v="Green Bay"/>
    <x v="122"/>
    <n v="2024"/>
  </r>
  <r>
    <x v="1"/>
    <s v="Todd"/>
    <n v="5"/>
    <x v="6"/>
    <s v="Deebo Samuel"/>
    <x v="52"/>
    <n v="2024"/>
  </r>
  <r>
    <x v="9"/>
    <s v="Tommy"/>
    <n v="5"/>
    <x v="0"/>
    <s v="Josh Allen"/>
    <x v="17"/>
    <n v="2024"/>
  </r>
  <r>
    <x v="9"/>
    <s v="Tommy"/>
    <n v="5"/>
    <x v="1"/>
    <s v="Xavier Worthy"/>
    <x v="204"/>
    <n v="2024"/>
  </r>
  <r>
    <x v="9"/>
    <s v="Tommy"/>
    <n v="5"/>
    <x v="1"/>
    <s v="Allen Lazard"/>
    <x v="46"/>
    <n v="2024"/>
  </r>
  <r>
    <x v="9"/>
    <s v="Tommy"/>
    <n v="5"/>
    <x v="1"/>
    <s v="Michael Wilson"/>
    <x v="204"/>
    <n v="2024"/>
  </r>
  <r>
    <x v="9"/>
    <s v="Tommy"/>
    <n v="5"/>
    <x v="2"/>
    <s v="Kyren Williams"/>
    <x v="63"/>
    <n v="2024"/>
  </r>
  <r>
    <x v="9"/>
    <s v="Tommy"/>
    <n v="5"/>
    <x v="2"/>
    <s v="Rachaad White"/>
    <x v="3"/>
    <n v="2024"/>
  </r>
  <r>
    <x v="9"/>
    <s v="Tommy"/>
    <n v="5"/>
    <x v="3"/>
    <s v="Cade Otton"/>
    <x v="178"/>
    <n v="2024"/>
  </r>
  <r>
    <x v="9"/>
    <s v="Tommy"/>
    <n v="5"/>
    <x v="5"/>
    <s v="Harrison Butker"/>
    <x v="100"/>
    <n v="2024"/>
  </r>
  <r>
    <x v="9"/>
    <s v="Tommy"/>
    <n v="5"/>
    <x v="4"/>
    <s v="Minnesota"/>
    <x v="62"/>
    <n v="2024"/>
  </r>
  <r>
    <x v="9"/>
    <s v="Tommy"/>
    <n v="5"/>
    <x v="6"/>
    <s v="DK Metcalf"/>
    <x v="6"/>
    <n v="2024"/>
  </r>
  <r>
    <x v="7"/>
    <s v="Jay"/>
    <n v="5"/>
    <x v="0"/>
    <s v="Lamar Jackson"/>
    <x v="258"/>
    <n v="2024"/>
  </r>
  <r>
    <x v="7"/>
    <s v="Jay"/>
    <n v="5"/>
    <x v="1"/>
    <s v="Stefon Diggs"/>
    <x v="174"/>
    <n v="2024"/>
  </r>
  <r>
    <x v="7"/>
    <s v="Jay"/>
    <n v="5"/>
    <x v="1"/>
    <s v="Amari Cooper"/>
    <x v="32"/>
    <n v="2024"/>
  </r>
  <r>
    <x v="7"/>
    <s v="Jay"/>
    <n v="5"/>
    <x v="1"/>
    <s v="Jauan Jennings"/>
    <x v="213"/>
    <n v="2024"/>
  </r>
  <r>
    <x v="7"/>
    <s v="Jay"/>
    <n v="5"/>
    <x v="2"/>
    <s v="Trey Sermon"/>
    <x v="259"/>
    <n v="2024"/>
  </r>
  <r>
    <x v="7"/>
    <s v="Jay"/>
    <n v="5"/>
    <x v="2"/>
    <s v="Brian Robinson"/>
    <x v="12"/>
    <n v="2024"/>
  </r>
  <r>
    <x v="7"/>
    <s v="Jay"/>
    <n v="5"/>
    <x v="3"/>
    <s v="Tyler Conklin"/>
    <x v="157"/>
    <n v="2024"/>
  </r>
  <r>
    <x v="7"/>
    <s v="Jay"/>
    <n v="5"/>
    <x v="5"/>
    <s v="Ka'imi Fairbairn"/>
    <x v="101"/>
    <n v="2024"/>
  </r>
  <r>
    <x v="7"/>
    <s v="Jay"/>
    <n v="5"/>
    <x v="4"/>
    <s v="Miami"/>
    <x v="76"/>
    <n v="2024"/>
  </r>
  <r>
    <x v="7"/>
    <s v="Jay"/>
    <n v="5"/>
    <x v="7"/>
    <s v="Alvin Kamara"/>
    <x v="260"/>
    <n v="2024"/>
  </r>
  <r>
    <x v="3"/>
    <s v="Kevin"/>
    <n v="5"/>
    <x v="0"/>
    <s v="CJ Stroud"/>
    <x v="237"/>
    <n v="2024"/>
  </r>
  <r>
    <x v="3"/>
    <s v="Kevin"/>
    <n v="5"/>
    <x v="1"/>
    <s v="Jordan Addison"/>
    <x v="82"/>
    <n v="2024"/>
  </r>
  <r>
    <x v="3"/>
    <s v="Kevin"/>
    <n v="5"/>
    <x v="1"/>
    <s v="Marvin Harrison Jr"/>
    <x v="163"/>
    <n v="2024"/>
  </r>
  <r>
    <x v="3"/>
    <s v="Kevin"/>
    <n v="5"/>
    <x v="1"/>
    <s v="George Pickens"/>
    <x v="86"/>
    <n v="2024"/>
  </r>
  <r>
    <x v="3"/>
    <s v="Kevin"/>
    <n v="5"/>
    <x v="2"/>
    <s v="Chuba Hubbard"/>
    <x v="261"/>
    <n v="2024"/>
  </r>
  <r>
    <x v="3"/>
    <s v="Kevin"/>
    <n v="5"/>
    <x v="2"/>
    <s v="Najee Harris"/>
    <x v="161"/>
    <n v="2024"/>
  </r>
  <r>
    <x v="3"/>
    <s v="Kevin"/>
    <n v="5"/>
    <x v="3"/>
    <s v="Hunter Henry"/>
    <x v="91"/>
    <n v="2024"/>
  </r>
  <r>
    <x v="3"/>
    <s v="Kevin"/>
    <n v="5"/>
    <x v="5"/>
    <s v="Justin Tucker"/>
    <x v="49"/>
    <n v="2024"/>
  </r>
  <r>
    <x v="3"/>
    <s v="Kevin"/>
    <n v="5"/>
    <x v="4"/>
    <s v="Seattle"/>
    <x v="76"/>
    <n v="2024"/>
  </r>
  <r>
    <x v="3"/>
    <s v="Kevin"/>
    <n v="5"/>
    <x v="6"/>
    <s v="Chris Olave"/>
    <x v="139"/>
    <n v="202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5">
  <r>
    <x v="0"/>
    <s v="Brenton"/>
    <x v="0"/>
    <x v="0"/>
    <s v="Trevor Lawrence"/>
    <x v="0"/>
    <x v="0"/>
  </r>
  <r>
    <x v="0"/>
    <s v="Brenton"/>
    <x v="0"/>
    <x v="1"/>
    <s v="Jayden Reed"/>
    <x v="1"/>
    <x v="0"/>
  </r>
  <r>
    <x v="0"/>
    <s v="Brenton"/>
    <x v="0"/>
    <x v="1"/>
    <s v="Tyreek Hill"/>
    <x v="2"/>
    <x v="0"/>
  </r>
  <r>
    <x v="0"/>
    <s v="Brenton"/>
    <x v="0"/>
    <x v="1"/>
    <s v="Zay Flowers"/>
    <x v="3"/>
    <x v="0"/>
  </r>
  <r>
    <x v="0"/>
    <s v="Brenton"/>
    <x v="0"/>
    <x v="2"/>
    <s v="Jerome Ford"/>
    <x v="4"/>
    <x v="0"/>
  </r>
  <r>
    <x v="0"/>
    <s v="Brenton"/>
    <x v="0"/>
    <x v="2"/>
    <s v="Javonte Williams"/>
    <x v="5"/>
    <x v="0"/>
  </r>
  <r>
    <x v="0"/>
    <s v="Brenton"/>
    <x v="0"/>
    <x v="3"/>
    <s v="Trey McBride"/>
    <x v="6"/>
    <x v="0"/>
  </r>
  <r>
    <x v="0"/>
    <s v="Brenton"/>
    <x v="0"/>
    <x v="4"/>
    <s v="Cincinnati"/>
    <x v="7"/>
    <x v="0"/>
  </r>
  <r>
    <x v="0"/>
    <s v="Brenton"/>
    <x v="0"/>
    <x v="5"/>
    <s v="Tyler Bass"/>
    <x v="8"/>
    <x v="0"/>
  </r>
  <r>
    <x v="1"/>
    <s v="Todd"/>
    <x v="0"/>
    <x v="0"/>
    <s v="Dak Prescott"/>
    <x v="9"/>
    <x v="0"/>
  </r>
  <r>
    <x v="1"/>
    <s v="Todd"/>
    <x v="0"/>
    <x v="1"/>
    <s v="AJ Brown"/>
    <x v="10"/>
    <x v="0"/>
  </r>
  <r>
    <x v="1"/>
    <s v="Todd"/>
    <x v="0"/>
    <x v="1"/>
    <s v="Deebo Samuel"/>
    <x v="11"/>
    <x v="0"/>
  </r>
  <r>
    <x v="1"/>
    <s v="Todd"/>
    <x v="0"/>
    <x v="1"/>
    <s v="Rashee Rice"/>
    <x v="12"/>
    <x v="0"/>
  </r>
  <r>
    <x v="1"/>
    <s v="Todd"/>
    <x v="0"/>
    <x v="2"/>
    <s v="De'Von Achane"/>
    <x v="13"/>
    <x v="0"/>
  </r>
  <r>
    <x v="1"/>
    <s v="Todd"/>
    <x v="0"/>
    <x v="2"/>
    <s v="James Conner"/>
    <x v="14"/>
    <x v="0"/>
  </r>
  <r>
    <x v="1"/>
    <s v="Todd"/>
    <x v="0"/>
    <x v="3"/>
    <s v="Pat Freiermuth"/>
    <x v="15"/>
    <x v="0"/>
  </r>
  <r>
    <x v="1"/>
    <s v="Todd"/>
    <x v="0"/>
    <x v="4"/>
    <s v="Seattle"/>
    <x v="8"/>
    <x v="0"/>
  </r>
  <r>
    <x v="1"/>
    <s v="Todd"/>
    <x v="0"/>
    <x v="5"/>
    <s v="Younghoe Koo"/>
    <x v="16"/>
    <x v="0"/>
  </r>
  <r>
    <x v="2"/>
    <s v="Mike"/>
    <x v="0"/>
    <x v="0"/>
    <s v="Patrick Mahomes"/>
    <x v="17"/>
    <x v="0"/>
  </r>
  <r>
    <x v="2"/>
    <s v="Mike"/>
    <x v="0"/>
    <x v="1"/>
    <s v="Davante Adams"/>
    <x v="18"/>
    <x v="0"/>
  </r>
  <r>
    <x v="2"/>
    <s v="Mike"/>
    <x v="0"/>
    <x v="1"/>
    <s v="Mike Evans"/>
    <x v="19"/>
    <x v="0"/>
  </r>
  <r>
    <x v="2"/>
    <s v="Mike"/>
    <x v="0"/>
    <x v="1"/>
    <s v="Khalil Shakir"/>
    <x v="20"/>
    <x v="0"/>
  </r>
  <r>
    <x v="2"/>
    <s v="Mike"/>
    <x v="0"/>
    <x v="2"/>
    <s v="Derrick Henry"/>
    <x v="21"/>
    <x v="0"/>
  </r>
  <r>
    <x v="2"/>
    <s v="Mike"/>
    <x v="0"/>
    <x v="2"/>
    <s v="Tyjae Spears"/>
    <x v="22"/>
    <x v="0"/>
  </r>
  <r>
    <x v="2"/>
    <s v="Mike"/>
    <x v="0"/>
    <x v="3"/>
    <s v="Sam LaPorta"/>
    <x v="23"/>
    <x v="0"/>
  </r>
  <r>
    <x v="2"/>
    <s v="Mike"/>
    <x v="0"/>
    <x v="5"/>
    <s v="Jason Sanders"/>
    <x v="24"/>
    <x v="0"/>
  </r>
  <r>
    <x v="2"/>
    <s v="Mike"/>
    <x v="0"/>
    <x v="4"/>
    <s v="Buffalo"/>
    <x v="25"/>
    <x v="0"/>
  </r>
  <r>
    <x v="3"/>
    <s v="Kevin"/>
    <x v="0"/>
    <x v="0"/>
    <s v="CJ Stroud"/>
    <x v="26"/>
    <x v="0"/>
  </r>
  <r>
    <x v="3"/>
    <s v="Kevin"/>
    <x v="0"/>
    <x v="1"/>
    <s v="George Pickens"/>
    <x v="27"/>
    <x v="0"/>
  </r>
  <r>
    <x v="3"/>
    <s v="Kevin"/>
    <x v="0"/>
    <x v="1"/>
    <s v="Chris Olave"/>
    <x v="28"/>
    <x v="0"/>
  </r>
  <r>
    <x v="3"/>
    <s v="Kevin"/>
    <x v="0"/>
    <x v="1"/>
    <s v="Marvin Harrison Jr"/>
    <x v="29"/>
    <x v="0"/>
  </r>
  <r>
    <x v="3"/>
    <s v="Kevin"/>
    <x v="0"/>
    <x v="2"/>
    <s v="Joe Mixon"/>
    <x v="30"/>
    <x v="0"/>
  </r>
  <r>
    <x v="3"/>
    <s v="Kevin"/>
    <x v="0"/>
    <x v="2"/>
    <s v="Isiah Pacheco"/>
    <x v="31"/>
    <x v="0"/>
  </r>
  <r>
    <x v="3"/>
    <s v="Kevin"/>
    <x v="0"/>
    <x v="3"/>
    <s v="Hunter Henry"/>
    <x v="5"/>
    <x v="0"/>
  </r>
  <r>
    <x v="3"/>
    <s v="Kevin"/>
    <x v="0"/>
    <x v="5"/>
    <s v="Justin Tucker"/>
    <x v="32"/>
    <x v="0"/>
  </r>
  <r>
    <x v="3"/>
    <s v="Kevin"/>
    <x v="0"/>
    <x v="4"/>
    <s v="Minnesota"/>
    <x v="33"/>
    <x v="0"/>
  </r>
  <r>
    <x v="4"/>
    <s v="Eli"/>
    <x v="0"/>
    <x v="0"/>
    <s v="Jalen Hurts"/>
    <x v="34"/>
    <x v="0"/>
  </r>
  <r>
    <x v="4"/>
    <s v="Eli"/>
    <x v="0"/>
    <x v="1"/>
    <s v="Justin Jefferson"/>
    <x v="35"/>
    <x v="0"/>
  </r>
  <r>
    <x v="4"/>
    <s v="Eli"/>
    <x v="0"/>
    <x v="1"/>
    <s v="DJ Moore"/>
    <x v="36"/>
    <x v="0"/>
  </r>
  <r>
    <x v="4"/>
    <s v="Eli"/>
    <x v="0"/>
    <x v="1"/>
    <s v="DeMario Douglas"/>
    <x v="37"/>
    <x v="0"/>
  </r>
  <r>
    <x v="4"/>
    <s v="Eli"/>
    <x v="0"/>
    <x v="2"/>
    <s v="Bijan Robinson"/>
    <x v="38"/>
    <x v="0"/>
  </r>
  <r>
    <x v="4"/>
    <s v="Eli"/>
    <x v="0"/>
    <x v="2"/>
    <s v="Jaylen Warren"/>
    <x v="7"/>
    <x v="0"/>
  </r>
  <r>
    <x v="4"/>
    <s v="Eli"/>
    <x v="0"/>
    <x v="3"/>
    <s v="David Njoku"/>
    <x v="39"/>
    <x v="0"/>
  </r>
  <r>
    <x v="4"/>
    <s v="Eli"/>
    <x v="0"/>
    <x v="5"/>
    <s v="Jake Moody"/>
    <x v="40"/>
    <x v="0"/>
  </r>
  <r>
    <x v="4"/>
    <s v="Eli"/>
    <x v="0"/>
    <x v="4"/>
    <s v="NYJ"/>
    <x v="41"/>
    <x v="0"/>
  </r>
  <r>
    <x v="5"/>
    <s v="Burnett/Jasjaap"/>
    <x v="0"/>
    <x v="0"/>
    <s v="Brock Purdy"/>
    <x v="42"/>
    <x v="0"/>
  </r>
  <r>
    <x v="5"/>
    <s v="Burnett/Jasjaap"/>
    <x v="0"/>
    <x v="1"/>
    <s v="CeeDee Lamb"/>
    <x v="43"/>
    <x v="0"/>
  </r>
  <r>
    <x v="5"/>
    <s v="Burnett/Jasjaap"/>
    <x v="0"/>
    <x v="1"/>
    <s v="Jaylen Waddle"/>
    <x v="44"/>
    <x v="0"/>
  </r>
  <r>
    <x v="5"/>
    <s v="Burnett/Jasjaap"/>
    <x v="0"/>
    <x v="1"/>
    <s v="Puka Nacua"/>
    <x v="45"/>
    <x v="0"/>
  </r>
  <r>
    <x v="5"/>
    <s v="Burnett/Jasjaap"/>
    <x v="0"/>
    <x v="2"/>
    <s v="Josh Jacobs"/>
    <x v="46"/>
    <x v="0"/>
  </r>
  <r>
    <x v="5"/>
    <s v="Burnett/Jasjaap"/>
    <x v="0"/>
    <x v="2"/>
    <s v="David Montgomery"/>
    <x v="47"/>
    <x v="0"/>
  </r>
  <r>
    <x v="5"/>
    <s v="Burnett/Jasjaap"/>
    <x v="0"/>
    <x v="3"/>
    <s v="Brock Bowers"/>
    <x v="48"/>
    <x v="0"/>
  </r>
  <r>
    <x v="5"/>
    <s v="Burnett/Jasjaap"/>
    <x v="0"/>
    <x v="5"/>
    <s v="Jake Elliott"/>
    <x v="8"/>
    <x v="0"/>
  </r>
  <r>
    <x v="5"/>
    <s v="Burnett/Jasjaap"/>
    <x v="0"/>
    <x v="4"/>
    <s v="Pittsburgh"/>
    <x v="49"/>
    <x v="0"/>
  </r>
  <r>
    <x v="6"/>
    <s v="Will"/>
    <x v="0"/>
    <x v="0"/>
    <s v="Caleb Williams"/>
    <x v="50"/>
    <x v="0"/>
  </r>
  <r>
    <x v="6"/>
    <s v="Will"/>
    <x v="0"/>
    <x v="1"/>
    <s v="Ladd McConkey"/>
    <x v="51"/>
    <x v="0"/>
  </r>
  <r>
    <x v="6"/>
    <s v="Will"/>
    <x v="0"/>
    <x v="1"/>
    <s v="Amon-Ra St. Brown"/>
    <x v="5"/>
    <x v="0"/>
  </r>
  <r>
    <x v="6"/>
    <s v="Will"/>
    <x v="0"/>
    <x v="1"/>
    <s v="Drake London"/>
    <x v="52"/>
    <x v="0"/>
  </r>
  <r>
    <x v="6"/>
    <s v="Will"/>
    <x v="0"/>
    <x v="2"/>
    <s v="Travis Etienne"/>
    <x v="53"/>
    <x v="0"/>
  </r>
  <r>
    <x v="6"/>
    <s v="Will"/>
    <x v="0"/>
    <x v="2"/>
    <s v="Zamir White"/>
    <x v="54"/>
    <x v="0"/>
  </r>
  <r>
    <x v="6"/>
    <s v="Will"/>
    <x v="0"/>
    <x v="3"/>
    <s v="Kyle Pitts"/>
    <x v="55"/>
    <x v="0"/>
  </r>
  <r>
    <x v="6"/>
    <s v="Will"/>
    <x v="0"/>
    <x v="5"/>
    <s v="Jason Myers"/>
    <x v="8"/>
    <x v="0"/>
  </r>
  <r>
    <x v="6"/>
    <s v="Will"/>
    <x v="0"/>
    <x v="4"/>
    <s v="Houston"/>
    <x v="7"/>
    <x v="0"/>
  </r>
  <r>
    <x v="7"/>
    <s v="Jay"/>
    <x v="0"/>
    <x v="0"/>
    <s v="Lamar Jackson"/>
    <x v="56"/>
    <x v="0"/>
  </r>
  <r>
    <x v="7"/>
    <s v="Jay"/>
    <x v="0"/>
    <x v="1"/>
    <s v="Stefon Diggs"/>
    <x v="57"/>
    <x v="0"/>
  </r>
  <r>
    <x v="7"/>
    <s v="Jay"/>
    <x v="0"/>
    <x v="1"/>
    <s v="Christian Kirk"/>
    <x v="58"/>
    <x v="0"/>
  </r>
  <r>
    <x v="7"/>
    <s v="Jay"/>
    <x v="0"/>
    <x v="1"/>
    <s v="Amari Cooper"/>
    <x v="59"/>
    <x v="0"/>
  </r>
  <r>
    <x v="7"/>
    <s v="Jay"/>
    <x v="0"/>
    <x v="2"/>
    <s v="Alvin Kamara"/>
    <x v="13"/>
    <x v="0"/>
  </r>
  <r>
    <x v="7"/>
    <s v="Jay"/>
    <x v="0"/>
    <x v="2"/>
    <s v="Jonathan Taylor"/>
    <x v="60"/>
    <x v="0"/>
  </r>
  <r>
    <x v="7"/>
    <s v="Jay"/>
    <x v="0"/>
    <x v="3"/>
    <s v="Mark Andrews"/>
    <x v="61"/>
    <x v="0"/>
  </r>
  <r>
    <x v="7"/>
    <s v="Jay"/>
    <x v="0"/>
    <x v="5"/>
    <s v="Ka'imi Fairbairn"/>
    <x v="62"/>
    <x v="0"/>
  </r>
  <r>
    <x v="7"/>
    <s v="Jay"/>
    <x v="0"/>
    <x v="4"/>
    <s v="LA Chargers"/>
    <x v="63"/>
    <x v="0"/>
  </r>
  <r>
    <x v="8"/>
    <s v="Schulwolf"/>
    <x v="0"/>
    <x v="0"/>
    <s v="Jordan Love"/>
    <x v="64"/>
    <x v="0"/>
  </r>
  <r>
    <x v="8"/>
    <s v="Schulwolf"/>
    <x v="0"/>
    <x v="1"/>
    <s v="Cooper Kupp"/>
    <x v="65"/>
    <x v="0"/>
  </r>
  <r>
    <x v="8"/>
    <s v="Schulwolf"/>
    <x v="0"/>
    <x v="1"/>
    <s v="DeVonta Smith"/>
    <x v="66"/>
    <x v="0"/>
  </r>
  <r>
    <x v="8"/>
    <s v="Schulwolf"/>
    <x v="0"/>
    <x v="1"/>
    <s v="Chris Godwin"/>
    <x v="67"/>
    <x v="0"/>
  </r>
  <r>
    <x v="8"/>
    <s v="Schulwolf"/>
    <x v="0"/>
    <x v="2"/>
    <s v="Jahmyr Gibbs"/>
    <x v="68"/>
    <x v="0"/>
  </r>
  <r>
    <x v="8"/>
    <s v="Schulwolf"/>
    <x v="0"/>
    <x v="2"/>
    <s v="James Cook"/>
    <x v="69"/>
    <x v="0"/>
  </r>
  <r>
    <x v="8"/>
    <s v="Schulwolf"/>
    <x v="0"/>
    <x v="3"/>
    <s v="Dalton Kincaid"/>
    <x v="70"/>
    <x v="0"/>
  </r>
  <r>
    <x v="8"/>
    <s v="Schulwolf"/>
    <x v="0"/>
    <x v="5"/>
    <s v="Brandon Aubrey"/>
    <x v="71"/>
    <x v="0"/>
  </r>
  <r>
    <x v="8"/>
    <s v="Schulwolf"/>
    <x v="0"/>
    <x v="4"/>
    <s v="Dallas"/>
    <x v="72"/>
    <x v="0"/>
  </r>
  <r>
    <x v="9"/>
    <s v="Tommy"/>
    <x v="0"/>
    <x v="0"/>
    <s v="Josh Allen"/>
    <x v="73"/>
    <x v="0"/>
  </r>
  <r>
    <x v="9"/>
    <s v="Tommy"/>
    <x v="0"/>
    <x v="1"/>
    <s v="Malik Nabers"/>
    <x v="74"/>
    <x v="0"/>
  </r>
  <r>
    <x v="9"/>
    <s v="Tommy"/>
    <x v="0"/>
    <x v="1"/>
    <s v="DK Metcalf"/>
    <x v="75"/>
    <x v="0"/>
  </r>
  <r>
    <x v="9"/>
    <s v="Tommy"/>
    <x v="0"/>
    <x v="1"/>
    <s v="Romeo Doubs"/>
    <x v="76"/>
    <x v="0"/>
  </r>
  <r>
    <x v="9"/>
    <s v="Tommy"/>
    <x v="0"/>
    <x v="2"/>
    <s v="Saquon Barkley"/>
    <x v="77"/>
    <x v="0"/>
  </r>
  <r>
    <x v="9"/>
    <s v="Tommy"/>
    <x v="0"/>
    <x v="2"/>
    <s v="Rachaad White"/>
    <x v="38"/>
    <x v="0"/>
  </r>
  <r>
    <x v="9"/>
    <s v="Tommy"/>
    <x v="0"/>
    <x v="3"/>
    <s v="Evan Engram"/>
    <x v="78"/>
    <x v="0"/>
  </r>
  <r>
    <x v="9"/>
    <s v="Tommy"/>
    <x v="0"/>
    <x v="5"/>
    <s v="Harrison Butker"/>
    <x v="24"/>
    <x v="0"/>
  </r>
  <r>
    <x v="9"/>
    <s v="Tommy"/>
    <x v="0"/>
    <x v="4"/>
    <s v="San Francisco"/>
    <x v="76"/>
    <x v="0"/>
  </r>
  <r>
    <x v="10"/>
    <s v="Brand"/>
    <x v="0"/>
    <x v="0"/>
    <s v="Anthony Richardson"/>
    <x v="79"/>
    <x v="0"/>
  </r>
  <r>
    <x v="10"/>
    <s v="Brand"/>
    <x v="0"/>
    <x v="1"/>
    <s v="Jameson Williams"/>
    <x v="80"/>
    <x v="0"/>
  </r>
  <r>
    <x v="10"/>
    <s v="Brand"/>
    <x v="0"/>
    <x v="1"/>
    <s v="Christian Watson"/>
    <x v="48"/>
    <x v="0"/>
  </r>
  <r>
    <x v="10"/>
    <s v="Brand"/>
    <x v="0"/>
    <x v="1"/>
    <s v="Garrett Wilson"/>
    <x v="24"/>
    <x v="0"/>
  </r>
  <r>
    <x v="10"/>
    <s v="Brand"/>
    <x v="0"/>
    <x v="2"/>
    <s v="Kenneth Walker"/>
    <x v="81"/>
    <x v="0"/>
  </r>
  <r>
    <x v="10"/>
    <s v="Brand"/>
    <x v="0"/>
    <x v="2"/>
    <s v="Breece Hall"/>
    <x v="47"/>
    <x v="0"/>
  </r>
  <r>
    <x v="10"/>
    <s v="Brand"/>
    <x v="0"/>
    <x v="3"/>
    <s v="Dallas Goedert"/>
    <x v="82"/>
    <x v="0"/>
  </r>
  <r>
    <x v="10"/>
    <s v="Brand"/>
    <x v="0"/>
    <x v="5"/>
    <s v="Cairo Santos"/>
    <x v="49"/>
    <x v="0"/>
  </r>
  <r>
    <x v="10"/>
    <s v="Brand"/>
    <x v="0"/>
    <x v="4"/>
    <s v="New Orleans"/>
    <x v="62"/>
    <x v="0"/>
  </r>
  <r>
    <x v="11"/>
    <s v="Cam"/>
    <x v="0"/>
    <x v="0"/>
    <s v="Joe Burrow"/>
    <x v="83"/>
    <x v="0"/>
  </r>
  <r>
    <x v="11"/>
    <s v="Cam"/>
    <x v="0"/>
    <x v="1"/>
    <s v="Ja'Marr Chase"/>
    <x v="84"/>
    <x v="0"/>
  </r>
  <r>
    <x v="11"/>
    <s v="Cam"/>
    <x v="0"/>
    <x v="1"/>
    <s v="Nico Collins"/>
    <x v="85"/>
    <x v="0"/>
  </r>
  <r>
    <x v="11"/>
    <s v="Cam"/>
    <x v="0"/>
    <x v="1"/>
    <s v="Andrei Iosivas"/>
    <x v="86"/>
    <x v="0"/>
  </r>
  <r>
    <x v="11"/>
    <s v="Cam"/>
    <x v="0"/>
    <x v="2"/>
    <s v="Rhamondre Stevenson"/>
    <x v="87"/>
    <x v="0"/>
  </r>
  <r>
    <x v="11"/>
    <s v="Cam"/>
    <x v="0"/>
    <x v="2"/>
    <s v="Aaron Jones"/>
    <x v="81"/>
    <x v="0"/>
  </r>
  <r>
    <x v="11"/>
    <s v="Cam"/>
    <x v="0"/>
    <x v="3"/>
    <s v="George Kittle"/>
    <x v="25"/>
    <x v="0"/>
  </r>
  <r>
    <x v="11"/>
    <s v="Cam"/>
    <x v="0"/>
    <x v="5"/>
    <s v="Evan McPherson"/>
    <x v="25"/>
    <x v="0"/>
  </r>
  <r>
    <x v="11"/>
    <s v="Cam"/>
    <x v="0"/>
    <x v="4"/>
    <s v="Atlanta"/>
    <x v="16"/>
    <x v="0"/>
  </r>
  <r>
    <x v="0"/>
    <s v="Brenton"/>
    <x v="1"/>
    <x v="0"/>
    <s v="Baker Mayfield"/>
    <x v="88"/>
    <x v="0"/>
  </r>
  <r>
    <x v="0"/>
    <s v="Brenton"/>
    <x v="1"/>
    <x v="1"/>
    <s v="Tyreek Hill"/>
    <x v="82"/>
    <x v="0"/>
  </r>
  <r>
    <x v="0"/>
    <s v="Brenton"/>
    <x v="1"/>
    <x v="1"/>
    <s v="Zay Flowers"/>
    <x v="89"/>
    <x v="0"/>
  </r>
  <r>
    <x v="0"/>
    <s v="Brenton"/>
    <x v="1"/>
    <x v="1"/>
    <s v="Jayden Reed"/>
    <x v="90"/>
    <x v="0"/>
  </r>
  <r>
    <x v="0"/>
    <s v="Brenton"/>
    <x v="1"/>
    <x v="2"/>
    <s v="Ezekiel Elliott"/>
    <x v="91"/>
    <x v="0"/>
  </r>
  <r>
    <x v="0"/>
    <s v="Brenton"/>
    <x v="1"/>
    <x v="2"/>
    <s v="Jerome Ford"/>
    <x v="92"/>
    <x v="0"/>
  </r>
  <r>
    <x v="0"/>
    <s v="Brenton"/>
    <x v="1"/>
    <x v="3"/>
    <s v="Trey McBride"/>
    <x v="93"/>
    <x v="0"/>
  </r>
  <r>
    <x v="0"/>
    <s v="Brenton"/>
    <x v="1"/>
    <x v="4"/>
    <s v="Tyler Bass"/>
    <x v="76"/>
    <x v="0"/>
  </r>
  <r>
    <x v="0"/>
    <s v="Brenton"/>
    <x v="1"/>
    <x v="5"/>
    <s v="Jacksonville"/>
    <x v="16"/>
    <x v="0"/>
  </r>
  <r>
    <x v="2"/>
    <s v="Mike"/>
    <x v="1"/>
    <x v="0"/>
    <s v="Patrick Mahomes"/>
    <x v="94"/>
    <x v="0"/>
  </r>
  <r>
    <x v="2"/>
    <s v="Mike"/>
    <x v="1"/>
    <x v="1"/>
    <s v="Davante Adams"/>
    <x v="95"/>
    <x v="0"/>
  </r>
  <r>
    <x v="2"/>
    <s v="Mike"/>
    <x v="1"/>
    <x v="1"/>
    <s v="Mike Evans"/>
    <x v="96"/>
    <x v="0"/>
  </r>
  <r>
    <x v="2"/>
    <s v="Mike"/>
    <x v="1"/>
    <x v="1"/>
    <s v="Khalil Shakir"/>
    <x v="3"/>
    <x v="0"/>
  </r>
  <r>
    <x v="2"/>
    <s v="Mike"/>
    <x v="1"/>
    <x v="2"/>
    <s v="Derrick Henry"/>
    <x v="97"/>
    <x v="0"/>
  </r>
  <r>
    <x v="2"/>
    <s v="Mike"/>
    <x v="1"/>
    <x v="2"/>
    <s v="Tyjae Spears"/>
    <x v="86"/>
    <x v="0"/>
  </r>
  <r>
    <x v="2"/>
    <s v="Mike"/>
    <x v="1"/>
    <x v="3"/>
    <s v="Sam LaPorta"/>
    <x v="98"/>
    <x v="0"/>
  </r>
  <r>
    <x v="2"/>
    <s v="Mike"/>
    <x v="1"/>
    <x v="4"/>
    <s v="Buffalo"/>
    <x v="62"/>
    <x v="0"/>
  </r>
  <r>
    <x v="2"/>
    <s v="Mike"/>
    <x v="1"/>
    <x v="5"/>
    <s v="Jason Sanders"/>
    <x v="16"/>
    <x v="0"/>
  </r>
  <r>
    <x v="1"/>
    <s v="Todd"/>
    <x v="1"/>
    <x v="0"/>
    <s v="Dak Prescott"/>
    <x v="99"/>
    <x v="0"/>
  </r>
  <r>
    <x v="1"/>
    <s v="Todd"/>
    <x v="1"/>
    <x v="1"/>
    <s v="Deebo Samuel"/>
    <x v="100"/>
    <x v="0"/>
  </r>
  <r>
    <x v="1"/>
    <s v="Todd"/>
    <x v="1"/>
    <x v="1"/>
    <s v="Rashee Rice"/>
    <x v="101"/>
    <x v="0"/>
  </r>
  <r>
    <x v="1"/>
    <s v="Todd"/>
    <x v="1"/>
    <x v="1"/>
    <s v="Calvin Ridley"/>
    <x v="102"/>
    <x v="0"/>
  </r>
  <r>
    <x v="1"/>
    <s v="Todd"/>
    <x v="1"/>
    <x v="2"/>
    <s v="De'Von Achane"/>
    <x v="40"/>
    <x v="0"/>
  </r>
  <r>
    <x v="1"/>
    <s v="Todd"/>
    <x v="1"/>
    <x v="2"/>
    <s v="James Conner"/>
    <x v="57"/>
    <x v="0"/>
  </r>
  <r>
    <x v="1"/>
    <s v="Todd"/>
    <x v="1"/>
    <x v="3"/>
    <s v="Kyle Pitts"/>
    <x v="58"/>
    <x v="0"/>
  </r>
  <r>
    <x v="1"/>
    <s v="Todd"/>
    <x v="1"/>
    <x v="4"/>
    <s v="Seattle"/>
    <x v="103"/>
    <x v="0"/>
  </r>
  <r>
    <x v="1"/>
    <s v="Todd"/>
    <x v="1"/>
    <x v="5"/>
    <s v="Chris Boswell"/>
    <x v="24"/>
    <x v="0"/>
  </r>
  <r>
    <x v="7"/>
    <s v="Jay"/>
    <x v="1"/>
    <x v="0"/>
    <s v="Lamar Jackson"/>
    <x v="104"/>
    <x v="0"/>
  </r>
  <r>
    <x v="7"/>
    <s v="Jay"/>
    <x v="1"/>
    <x v="1"/>
    <s v="Stefon Diggs"/>
    <x v="96"/>
    <x v="0"/>
  </r>
  <r>
    <x v="7"/>
    <s v="Jay"/>
    <x v="1"/>
    <x v="1"/>
    <s v="Amari Cooper"/>
    <x v="59"/>
    <x v="0"/>
  </r>
  <r>
    <x v="7"/>
    <s v="Jay"/>
    <x v="1"/>
    <x v="1"/>
    <s v="Christian Kirk"/>
    <x v="105"/>
    <x v="0"/>
  </r>
  <r>
    <x v="7"/>
    <s v="Jay"/>
    <x v="1"/>
    <x v="2"/>
    <s v="Alvin Kamara"/>
    <x v="106"/>
    <x v="0"/>
  </r>
  <r>
    <x v="7"/>
    <s v="Jay"/>
    <x v="1"/>
    <x v="2"/>
    <s v="Jonathan Taylor"/>
    <x v="107"/>
    <x v="0"/>
  </r>
  <r>
    <x v="7"/>
    <s v="Jay"/>
    <x v="1"/>
    <x v="3"/>
    <s v="Mark Andrews"/>
    <x v="108"/>
    <x v="0"/>
  </r>
  <r>
    <x v="7"/>
    <s v="Jay"/>
    <x v="1"/>
    <x v="5"/>
    <s v="Ka'imi Fairbairn"/>
    <x v="109"/>
    <x v="0"/>
  </r>
  <r>
    <x v="7"/>
    <s v="Jay"/>
    <x v="1"/>
    <x v="4"/>
    <s v="LA Chargers"/>
    <x v="100"/>
    <x v="0"/>
  </r>
  <r>
    <x v="4"/>
    <s v="Eli"/>
    <x v="1"/>
    <x v="0"/>
    <s v="Jalen Hurts"/>
    <x v="110"/>
    <x v="0"/>
  </r>
  <r>
    <x v="4"/>
    <s v="Eli"/>
    <x v="1"/>
    <x v="1"/>
    <s v="Justin Jefferson"/>
    <x v="111"/>
    <x v="0"/>
  </r>
  <r>
    <x v="4"/>
    <s v="Eli"/>
    <x v="1"/>
    <x v="1"/>
    <s v="DJ Moore"/>
    <x v="112"/>
    <x v="0"/>
  </r>
  <r>
    <x v="4"/>
    <s v="Eli"/>
    <x v="1"/>
    <x v="1"/>
    <s v="Demarcus Robinson"/>
    <x v="25"/>
    <x v="0"/>
  </r>
  <r>
    <x v="4"/>
    <s v="Eli"/>
    <x v="1"/>
    <x v="2"/>
    <s v="Bijan Robinson"/>
    <x v="113"/>
    <x v="0"/>
  </r>
  <r>
    <x v="4"/>
    <s v="Eli"/>
    <x v="1"/>
    <x v="2"/>
    <s v="Jordan Mason"/>
    <x v="114"/>
    <x v="0"/>
  </r>
  <r>
    <x v="4"/>
    <s v="Eli"/>
    <x v="1"/>
    <x v="3"/>
    <s v="Dalton Schultz"/>
    <x v="115"/>
    <x v="0"/>
  </r>
  <r>
    <x v="4"/>
    <s v="Eli"/>
    <x v="1"/>
    <x v="5"/>
    <s v="Jake Moody"/>
    <x v="103"/>
    <x v="0"/>
  </r>
  <r>
    <x v="4"/>
    <s v="Eli"/>
    <x v="1"/>
    <x v="4"/>
    <s v="NYJ"/>
    <x v="8"/>
    <x v="0"/>
  </r>
  <r>
    <x v="6"/>
    <s v="Will"/>
    <x v="1"/>
    <x v="0"/>
    <s v="Geno Smith"/>
    <x v="116"/>
    <x v="0"/>
  </r>
  <r>
    <x v="6"/>
    <s v="Will"/>
    <x v="1"/>
    <x v="1"/>
    <s v="Amon-Ra St. Brown"/>
    <x v="117"/>
    <x v="0"/>
  </r>
  <r>
    <x v="6"/>
    <s v="Will"/>
    <x v="1"/>
    <x v="1"/>
    <s v="Drake London"/>
    <x v="118"/>
    <x v="0"/>
  </r>
  <r>
    <x v="6"/>
    <s v="Will"/>
    <x v="1"/>
    <x v="1"/>
    <s v="Jaxon Smith-Njigba"/>
    <x v="119"/>
    <x v="0"/>
  </r>
  <r>
    <x v="6"/>
    <s v="Will"/>
    <x v="1"/>
    <x v="2"/>
    <s v="Travis Etienne"/>
    <x v="120"/>
    <x v="0"/>
  </r>
  <r>
    <x v="6"/>
    <s v="Will"/>
    <x v="1"/>
    <x v="2"/>
    <s v="Zach Charbonet"/>
    <x v="68"/>
    <x v="0"/>
  </r>
  <r>
    <x v="6"/>
    <s v="Will"/>
    <x v="1"/>
    <x v="3"/>
    <s v="Travis Kelce"/>
    <x v="121"/>
    <x v="0"/>
  </r>
  <r>
    <x v="6"/>
    <s v="Will"/>
    <x v="1"/>
    <x v="5"/>
    <s v="Jason Myers"/>
    <x v="122"/>
    <x v="0"/>
  </r>
  <r>
    <x v="6"/>
    <s v="Will"/>
    <x v="1"/>
    <x v="4"/>
    <s v="Houston"/>
    <x v="101"/>
    <x v="0"/>
  </r>
  <r>
    <x v="8"/>
    <s v="Schulwolf"/>
    <x v="1"/>
    <x v="0"/>
    <s v="Jayden Daniels"/>
    <x v="123"/>
    <x v="0"/>
  </r>
  <r>
    <x v="8"/>
    <s v="Schulwolf"/>
    <x v="1"/>
    <x v="1"/>
    <s v="Chris Godwin"/>
    <x v="124"/>
    <x v="0"/>
  </r>
  <r>
    <x v="8"/>
    <s v="Schulwolf"/>
    <x v="1"/>
    <x v="1"/>
    <s v="DeVonta Smith"/>
    <x v="125"/>
    <x v="0"/>
  </r>
  <r>
    <x v="8"/>
    <s v="Schulwolf"/>
    <x v="1"/>
    <x v="1"/>
    <s v="Cooper Kupp"/>
    <x v="96"/>
    <x v="0"/>
  </r>
  <r>
    <x v="8"/>
    <s v="Schulwolf"/>
    <x v="1"/>
    <x v="2"/>
    <s v="James Cook"/>
    <x v="126"/>
    <x v="0"/>
  </r>
  <r>
    <x v="8"/>
    <s v="Schulwolf"/>
    <x v="1"/>
    <x v="2"/>
    <s v="Jahmyr Gibbs"/>
    <x v="127"/>
    <x v="0"/>
  </r>
  <r>
    <x v="8"/>
    <s v="Schulwolf"/>
    <x v="1"/>
    <x v="3"/>
    <s v="Dalton Kincaid"/>
    <x v="128"/>
    <x v="0"/>
  </r>
  <r>
    <x v="8"/>
    <s v="Schulwolf"/>
    <x v="1"/>
    <x v="5"/>
    <s v="Brandon Aubrey"/>
    <x v="62"/>
    <x v="0"/>
  </r>
  <r>
    <x v="8"/>
    <s v="Schulwolf"/>
    <x v="1"/>
    <x v="4"/>
    <s v="Dallas"/>
    <x v="129"/>
    <x v="0"/>
  </r>
  <r>
    <x v="3"/>
    <s v="Kevin"/>
    <x v="1"/>
    <x v="0"/>
    <s v="CJ Stroud"/>
    <x v="130"/>
    <x v="0"/>
  </r>
  <r>
    <x v="3"/>
    <s v="Kevin"/>
    <x v="1"/>
    <x v="1"/>
    <s v="Marvin Harrison Jr"/>
    <x v="131"/>
    <x v="0"/>
  </r>
  <r>
    <x v="3"/>
    <s v="Kevin"/>
    <x v="1"/>
    <x v="1"/>
    <s v="Chris Olave"/>
    <x v="60"/>
    <x v="0"/>
  </r>
  <r>
    <x v="3"/>
    <s v="Kevin"/>
    <x v="1"/>
    <x v="1"/>
    <s v="George Pickens"/>
    <x v="132"/>
    <x v="0"/>
  </r>
  <r>
    <x v="3"/>
    <s v="Kevin"/>
    <x v="1"/>
    <x v="2"/>
    <s v="Isiah Pacheco"/>
    <x v="38"/>
    <x v="0"/>
  </r>
  <r>
    <x v="3"/>
    <s v="Kevin"/>
    <x v="1"/>
    <x v="2"/>
    <s v="Najee Harris"/>
    <x v="133"/>
    <x v="0"/>
  </r>
  <r>
    <x v="3"/>
    <s v="Kevin"/>
    <x v="1"/>
    <x v="3"/>
    <s v="Hunter Henry"/>
    <x v="134"/>
    <x v="0"/>
  </r>
  <r>
    <x v="3"/>
    <s v="Kevin"/>
    <x v="1"/>
    <x v="5"/>
    <s v="Justin Tucker"/>
    <x v="49"/>
    <x v="0"/>
  </r>
  <r>
    <x v="3"/>
    <s v="Kevin"/>
    <x v="1"/>
    <x v="4"/>
    <s v="Cleveland"/>
    <x v="24"/>
    <x v="0"/>
  </r>
  <r>
    <x v="10"/>
    <s v="Brand"/>
    <x v="1"/>
    <x v="0"/>
    <s v="Anthony Richardson"/>
    <x v="135"/>
    <x v="0"/>
  </r>
  <r>
    <x v="10"/>
    <s v="Brand"/>
    <x v="1"/>
    <x v="1"/>
    <s v="Jameson Williams"/>
    <x v="66"/>
    <x v="0"/>
  </r>
  <r>
    <x v="10"/>
    <s v="Brand"/>
    <x v="1"/>
    <x v="1"/>
    <s v="Garrett Wilson"/>
    <x v="136"/>
    <x v="0"/>
  </r>
  <r>
    <x v="10"/>
    <s v="Brand"/>
    <x v="1"/>
    <x v="1"/>
    <s v="Michael Pittman"/>
    <x v="54"/>
    <x v="0"/>
  </r>
  <r>
    <x v="10"/>
    <s v="Brand"/>
    <x v="1"/>
    <x v="2"/>
    <s v="Breece Hall"/>
    <x v="137"/>
    <x v="0"/>
  </r>
  <r>
    <x v="10"/>
    <s v="Brand"/>
    <x v="1"/>
    <x v="2"/>
    <s v="Bucky Irving"/>
    <x v="37"/>
    <x v="0"/>
  </r>
  <r>
    <x v="10"/>
    <s v="Brand"/>
    <x v="1"/>
    <x v="3"/>
    <s v="Dallas Goedert"/>
    <x v="128"/>
    <x v="0"/>
  </r>
  <r>
    <x v="10"/>
    <s v="Brand"/>
    <x v="1"/>
    <x v="5"/>
    <s v="Cairo Santos"/>
    <x v="138"/>
    <x v="0"/>
  </r>
  <r>
    <x v="10"/>
    <s v="Brand"/>
    <x v="1"/>
    <x v="4"/>
    <s v="Indianapolis"/>
    <x v="139"/>
    <x v="0"/>
  </r>
  <r>
    <x v="9"/>
    <s v="Tommy"/>
    <x v="1"/>
    <x v="0"/>
    <s v="Josh Allen"/>
    <x v="140"/>
    <x v="0"/>
  </r>
  <r>
    <x v="9"/>
    <s v="Tommy"/>
    <x v="1"/>
    <x v="1"/>
    <s v="DK Metcalf"/>
    <x v="141"/>
    <x v="0"/>
  </r>
  <r>
    <x v="9"/>
    <s v="Tommy"/>
    <x v="1"/>
    <x v="1"/>
    <s v="Malik Nabers"/>
    <x v="142"/>
    <x v="0"/>
  </r>
  <r>
    <x v="9"/>
    <s v="Tommy"/>
    <x v="1"/>
    <x v="1"/>
    <s v="Xavier Worthy"/>
    <x v="143"/>
    <x v="0"/>
  </r>
  <r>
    <x v="9"/>
    <s v="Tommy"/>
    <x v="1"/>
    <x v="2"/>
    <s v="Saquon Barkley"/>
    <x v="144"/>
    <x v="0"/>
  </r>
  <r>
    <x v="9"/>
    <s v="Tommy"/>
    <x v="1"/>
    <x v="2"/>
    <s v="Kyren Williams"/>
    <x v="145"/>
    <x v="0"/>
  </r>
  <r>
    <x v="9"/>
    <s v="Tommy"/>
    <x v="1"/>
    <x v="3"/>
    <s v="Evan Engram"/>
    <x v="146"/>
    <x v="0"/>
  </r>
  <r>
    <x v="9"/>
    <s v="Tommy"/>
    <x v="1"/>
    <x v="5"/>
    <s v="Harrison Butker"/>
    <x v="8"/>
    <x v="0"/>
  </r>
  <r>
    <x v="9"/>
    <s v="Tommy"/>
    <x v="1"/>
    <x v="4"/>
    <s v="San Francisco"/>
    <x v="16"/>
    <x v="0"/>
  </r>
  <r>
    <x v="11"/>
    <s v="Cam"/>
    <x v="1"/>
    <x v="0"/>
    <s v="Kyler Murray"/>
    <x v="147"/>
    <x v="0"/>
  </r>
  <r>
    <x v="11"/>
    <s v="Cam"/>
    <x v="1"/>
    <x v="1"/>
    <s v="Nico Collins"/>
    <x v="148"/>
    <x v="0"/>
  </r>
  <r>
    <x v="11"/>
    <s v="Cam"/>
    <x v="1"/>
    <x v="1"/>
    <s v="Ja'Marr Chase"/>
    <x v="6"/>
    <x v="0"/>
  </r>
  <r>
    <x v="11"/>
    <s v="Cam"/>
    <x v="1"/>
    <x v="1"/>
    <s v="Brandon Aiyuk"/>
    <x v="149"/>
    <x v="0"/>
  </r>
  <r>
    <x v="11"/>
    <s v="Cam"/>
    <x v="1"/>
    <x v="2"/>
    <s v="Rhamondre Stevenson"/>
    <x v="101"/>
    <x v="0"/>
  </r>
  <r>
    <x v="11"/>
    <s v="Cam"/>
    <x v="1"/>
    <x v="2"/>
    <s v="JK Dobbins"/>
    <x v="150"/>
    <x v="0"/>
  </r>
  <r>
    <x v="11"/>
    <s v="Cam"/>
    <x v="1"/>
    <x v="3"/>
    <s v="George Kittle"/>
    <x v="125"/>
    <x v="0"/>
  </r>
  <r>
    <x v="11"/>
    <s v="Cam"/>
    <x v="1"/>
    <x v="5"/>
    <s v="Evan McPherson"/>
    <x v="63"/>
    <x v="0"/>
  </r>
  <r>
    <x v="11"/>
    <s v="Cam"/>
    <x v="1"/>
    <x v="4"/>
    <s v="Baltimore"/>
    <x v="32"/>
    <x v="0"/>
  </r>
  <r>
    <x v="5"/>
    <s v="Burnett/Jasjaap"/>
    <x v="1"/>
    <x v="0"/>
    <s v="Brock Purdy"/>
    <x v="151"/>
    <x v="0"/>
  </r>
  <r>
    <x v="5"/>
    <s v="Burnett/Jasjaap"/>
    <x v="1"/>
    <x v="1"/>
    <s v="CeeDee Lamb"/>
    <x v="62"/>
    <x v="0"/>
  </r>
  <r>
    <x v="5"/>
    <s v="Burnett/Jasjaap"/>
    <x v="1"/>
    <x v="1"/>
    <s v="Jaylen Waddle"/>
    <x v="23"/>
    <x v="0"/>
  </r>
  <r>
    <x v="5"/>
    <s v="Burnett/Jasjaap"/>
    <x v="1"/>
    <x v="1"/>
    <s v="Rashid Shaheed"/>
    <x v="57"/>
    <x v="0"/>
  </r>
  <r>
    <x v="5"/>
    <s v="Burnett/Jasjaap"/>
    <x v="1"/>
    <x v="2"/>
    <s v="David Montgomery"/>
    <x v="63"/>
    <x v="0"/>
  </r>
  <r>
    <x v="5"/>
    <s v="Burnett/Jasjaap"/>
    <x v="1"/>
    <x v="2"/>
    <s v="Josh Jacobs"/>
    <x v="152"/>
    <x v="0"/>
  </r>
  <r>
    <x v="5"/>
    <s v="Burnett/Jasjaap"/>
    <x v="1"/>
    <x v="3"/>
    <s v="Brock Bowers"/>
    <x v="130"/>
    <x v="0"/>
  </r>
  <r>
    <x v="5"/>
    <s v="Burnett/Jasjaap"/>
    <x v="1"/>
    <x v="5"/>
    <s v="Jake Elliott"/>
    <x v="76"/>
    <x v="0"/>
  </r>
  <r>
    <x v="5"/>
    <s v="Burnett/Jasjaap"/>
    <x v="1"/>
    <x v="4"/>
    <s v="Pittsburgh"/>
    <x v="100"/>
    <x v="0"/>
  </r>
  <r>
    <x v="0"/>
    <s v="Brenton"/>
    <x v="2"/>
    <x v="0"/>
    <s v="Derek Carr"/>
    <x v="153"/>
    <x v="0"/>
  </r>
  <r>
    <x v="0"/>
    <s v="Brenton"/>
    <x v="2"/>
    <x v="1"/>
    <s v="Tyreek Hill"/>
    <x v="6"/>
    <x v="0"/>
  </r>
  <r>
    <x v="0"/>
    <s v="Brenton"/>
    <x v="2"/>
    <x v="1"/>
    <s v="Zay Flowers"/>
    <x v="154"/>
    <x v="0"/>
  </r>
  <r>
    <x v="0"/>
    <s v="Brenton"/>
    <x v="2"/>
    <x v="1"/>
    <s v="Jayden Reed"/>
    <x v="155"/>
    <x v="0"/>
  </r>
  <r>
    <x v="0"/>
    <s v="Brenton"/>
    <x v="2"/>
    <x v="2"/>
    <s v="Cam Akers"/>
    <x v="156"/>
    <x v="0"/>
  </r>
  <r>
    <x v="0"/>
    <s v="Brenton"/>
    <x v="2"/>
    <x v="2"/>
    <s v="Jerome Ford"/>
    <x v="157"/>
    <x v="0"/>
  </r>
  <r>
    <x v="0"/>
    <s v="Brenton"/>
    <x v="2"/>
    <x v="3"/>
    <s v="Trey McBride"/>
    <x v="16"/>
    <x v="0"/>
  </r>
  <r>
    <x v="0"/>
    <s v="Brenton"/>
    <x v="2"/>
    <x v="5"/>
    <s v="Tyler Bass"/>
    <x v="138"/>
    <x v="0"/>
  </r>
  <r>
    <x v="0"/>
    <s v="Brenton"/>
    <x v="2"/>
    <x v="4"/>
    <s v="Tampa Bay"/>
    <x v="78"/>
    <x v="0"/>
  </r>
  <r>
    <x v="3"/>
    <s v="Kevin"/>
    <x v="2"/>
    <x v="0"/>
    <s v="CJ Stroud"/>
    <x v="158"/>
    <x v="0"/>
  </r>
  <r>
    <x v="3"/>
    <s v="Kevin"/>
    <x v="2"/>
    <x v="1"/>
    <s v="Chris Olave"/>
    <x v="159"/>
    <x v="0"/>
  </r>
  <r>
    <x v="3"/>
    <s v="Kevin"/>
    <x v="2"/>
    <x v="1"/>
    <s v="Marvin Harrison Jr"/>
    <x v="134"/>
    <x v="0"/>
  </r>
  <r>
    <x v="3"/>
    <s v="Kevin"/>
    <x v="2"/>
    <x v="1"/>
    <s v="George Pickens"/>
    <x v="136"/>
    <x v="0"/>
  </r>
  <r>
    <x v="3"/>
    <s v="Kevin"/>
    <x v="2"/>
    <x v="2"/>
    <s v="Najee Harris"/>
    <x v="43"/>
    <x v="0"/>
  </r>
  <r>
    <x v="3"/>
    <s v="Kevin"/>
    <x v="2"/>
    <x v="2"/>
    <s v="Joe Mixon"/>
    <x v="146"/>
    <x v="0"/>
  </r>
  <r>
    <x v="3"/>
    <s v="Kevin"/>
    <x v="2"/>
    <x v="3"/>
    <s v="Hunter Henry"/>
    <x v="160"/>
    <x v="0"/>
  </r>
  <r>
    <x v="3"/>
    <s v="Kevin"/>
    <x v="2"/>
    <x v="5"/>
    <s v="Justin Tucker"/>
    <x v="7"/>
    <x v="0"/>
  </r>
  <r>
    <x v="3"/>
    <s v="Kevin"/>
    <x v="2"/>
    <x v="4"/>
    <s v="Cleveland"/>
    <x v="103"/>
    <x v="0"/>
  </r>
  <r>
    <x v="2"/>
    <s v="Mike"/>
    <x v="2"/>
    <x v="0"/>
    <s v="Patrick Mahomes"/>
    <x v="104"/>
    <x v="0"/>
  </r>
  <r>
    <x v="2"/>
    <s v="Mike"/>
    <x v="2"/>
    <x v="1"/>
    <s v="Tank Dell"/>
    <x v="161"/>
    <x v="0"/>
  </r>
  <r>
    <x v="2"/>
    <s v="Mike"/>
    <x v="2"/>
    <x v="1"/>
    <s v="Davante Adams"/>
    <x v="25"/>
    <x v="0"/>
  </r>
  <r>
    <x v="2"/>
    <s v="Mike"/>
    <x v="2"/>
    <x v="1"/>
    <s v="Khalil Shakir"/>
    <x v="11"/>
    <x v="0"/>
  </r>
  <r>
    <x v="2"/>
    <s v="Mike"/>
    <x v="2"/>
    <x v="2"/>
    <s v="Derrick Henry"/>
    <x v="162"/>
    <x v="0"/>
  </r>
  <r>
    <x v="2"/>
    <s v="Mike"/>
    <x v="2"/>
    <x v="2"/>
    <s v="Carson Steele"/>
    <x v="133"/>
    <x v="0"/>
  </r>
  <r>
    <x v="2"/>
    <s v="Mike"/>
    <x v="2"/>
    <x v="3"/>
    <s v="Sam LaPorta"/>
    <x v="163"/>
    <x v="0"/>
  </r>
  <r>
    <x v="2"/>
    <s v="Mike"/>
    <x v="2"/>
    <x v="5"/>
    <s v="Younghoe Koo"/>
    <x v="76"/>
    <x v="0"/>
  </r>
  <r>
    <x v="2"/>
    <s v="Mike"/>
    <x v="2"/>
    <x v="4"/>
    <s v="Buffalo"/>
    <x v="100"/>
    <x v="0"/>
  </r>
  <r>
    <x v="7"/>
    <s v="Jay"/>
    <x v="2"/>
    <x v="0"/>
    <s v="Lamar Jackson"/>
    <x v="164"/>
    <x v="0"/>
  </r>
  <r>
    <x v="7"/>
    <s v="Jay"/>
    <x v="2"/>
    <x v="1"/>
    <s v="Amari Cooper"/>
    <x v="165"/>
    <x v="0"/>
  </r>
  <r>
    <x v="7"/>
    <s v="Jay"/>
    <x v="2"/>
    <x v="1"/>
    <s v="Stefon Diggs"/>
    <x v="166"/>
    <x v="0"/>
  </r>
  <r>
    <x v="7"/>
    <s v="Jay"/>
    <x v="2"/>
    <x v="1"/>
    <s v="Tee Higgins"/>
    <x v="167"/>
    <x v="0"/>
  </r>
  <r>
    <x v="7"/>
    <s v="Jay"/>
    <x v="2"/>
    <x v="2"/>
    <s v="Jonathan Taylor"/>
    <x v="40"/>
    <x v="0"/>
  </r>
  <r>
    <x v="7"/>
    <s v="Jay"/>
    <x v="2"/>
    <x v="2"/>
    <s v="Alvin Kamara"/>
    <x v="113"/>
    <x v="0"/>
  </r>
  <r>
    <x v="7"/>
    <s v="Jay"/>
    <x v="2"/>
    <x v="3"/>
    <s v="Mark Andrews"/>
    <x v="146"/>
    <x v="0"/>
  </r>
  <r>
    <x v="7"/>
    <s v="Jay"/>
    <x v="2"/>
    <x v="5"/>
    <s v="Ka'imi Fairbairn"/>
    <x v="78"/>
    <x v="0"/>
  </r>
  <r>
    <x v="7"/>
    <s v="Jay"/>
    <x v="2"/>
    <x v="4"/>
    <s v="Cincinnati"/>
    <x v="129"/>
    <x v="0"/>
  </r>
  <r>
    <x v="1"/>
    <s v="Todd"/>
    <x v="2"/>
    <x v="0"/>
    <s v="Dak Prescott"/>
    <x v="168"/>
    <x v="0"/>
  </r>
  <r>
    <x v="1"/>
    <s v="Todd"/>
    <x v="2"/>
    <x v="1"/>
    <s v="Rashee Rice"/>
    <x v="169"/>
    <x v="0"/>
  </r>
  <r>
    <x v="1"/>
    <s v="Todd"/>
    <x v="2"/>
    <x v="1"/>
    <s v="Brian Thomas Jr"/>
    <x v="170"/>
    <x v="0"/>
  </r>
  <r>
    <x v="1"/>
    <s v="Todd"/>
    <x v="2"/>
    <x v="1"/>
    <s v="Calvin Ridley"/>
    <x v="171"/>
    <x v="0"/>
  </r>
  <r>
    <x v="1"/>
    <s v="Todd"/>
    <x v="2"/>
    <x v="2"/>
    <s v="De'Von Achane"/>
    <x v="170"/>
    <x v="0"/>
  </r>
  <r>
    <x v="1"/>
    <s v="Todd"/>
    <x v="2"/>
    <x v="2"/>
    <s v="D'Andre Swift"/>
    <x v="22"/>
    <x v="0"/>
  </r>
  <r>
    <x v="1"/>
    <s v="Todd"/>
    <x v="2"/>
    <x v="3"/>
    <s v="Kyle Pitts"/>
    <x v="92"/>
    <x v="0"/>
  </r>
  <r>
    <x v="1"/>
    <s v="Todd"/>
    <x v="2"/>
    <x v="5"/>
    <s v="Chris Boswell"/>
    <x v="32"/>
    <x v="0"/>
  </r>
  <r>
    <x v="1"/>
    <s v="Todd"/>
    <x v="2"/>
    <x v="4"/>
    <s v="Las Vegas"/>
    <x v="172"/>
    <x v="0"/>
  </r>
  <r>
    <x v="4"/>
    <s v="Eli"/>
    <x v="2"/>
    <x v="0"/>
    <s v="Jalen Hurts"/>
    <x v="173"/>
    <x v="0"/>
  </r>
  <r>
    <x v="4"/>
    <s v="Eli"/>
    <x v="2"/>
    <x v="1"/>
    <s v="Justin Jefferson"/>
    <x v="125"/>
    <x v="0"/>
  </r>
  <r>
    <x v="4"/>
    <s v="Eli"/>
    <x v="2"/>
    <x v="1"/>
    <s v="Rome Odunze"/>
    <x v="10"/>
    <x v="0"/>
  </r>
  <r>
    <x v="4"/>
    <s v="Eli"/>
    <x v="2"/>
    <x v="1"/>
    <s v="DJ Moore"/>
    <x v="174"/>
    <x v="0"/>
  </r>
  <r>
    <x v="4"/>
    <s v="Eli"/>
    <x v="2"/>
    <x v="2"/>
    <s v="Bijan Robinson"/>
    <x v="175"/>
    <x v="0"/>
  </r>
  <r>
    <x v="4"/>
    <s v="Eli"/>
    <x v="2"/>
    <x v="2"/>
    <s v="Jordan Mason"/>
    <x v="158"/>
    <x v="0"/>
  </r>
  <r>
    <x v="4"/>
    <s v="Eli"/>
    <x v="2"/>
    <x v="3"/>
    <s v="Dalton Schultz"/>
    <x v="28"/>
    <x v="0"/>
  </r>
  <r>
    <x v="4"/>
    <s v="Eli"/>
    <x v="2"/>
    <x v="5"/>
    <s v="Jake Moody"/>
    <x v="25"/>
    <x v="0"/>
  </r>
  <r>
    <x v="4"/>
    <s v="Eli"/>
    <x v="2"/>
    <x v="4"/>
    <s v="NYJ"/>
    <x v="176"/>
    <x v="0"/>
  </r>
  <r>
    <x v="6"/>
    <s v="Will"/>
    <x v="2"/>
    <x v="0"/>
    <s v="Geno Smith"/>
    <x v="177"/>
    <x v="0"/>
  </r>
  <r>
    <x v="6"/>
    <s v="Will"/>
    <x v="2"/>
    <x v="1"/>
    <s v="Amon-Ra St. Brown"/>
    <x v="62"/>
    <x v="0"/>
  </r>
  <r>
    <x v="6"/>
    <s v="Will"/>
    <x v="2"/>
    <x v="1"/>
    <s v="Drake London"/>
    <x v="93"/>
    <x v="0"/>
  </r>
  <r>
    <x v="6"/>
    <s v="Will"/>
    <x v="2"/>
    <x v="1"/>
    <s v="Ladd McConkey"/>
    <x v="178"/>
    <x v="0"/>
  </r>
  <r>
    <x v="6"/>
    <s v="Will"/>
    <x v="2"/>
    <x v="2"/>
    <s v="Zach Charbonet"/>
    <x v="179"/>
    <x v="0"/>
  </r>
  <r>
    <x v="6"/>
    <s v="Will"/>
    <x v="2"/>
    <x v="2"/>
    <s v="Travis Etienne"/>
    <x v="27"/>
    <x v="0"/>
  </r>
  <r>
    <x v="6"/>
    <s v="Will"/>
    <x v="2"/>
    <x v="3"/>
    <s v="Travis Kelce"/>
    <x v="103"/>
    <x v="0"/>
  </r>
  <r>
    <x v="6"/>
    <s v="Will"/>
    <x v="2"/>
    <x v="5"/>
    <s v="Jason Myers"/>
    <x v="32"/>
    <x v="0"/>
  </r>
  <r>
    <x v="6"/>
    <s v="Will"/>
    <x v="2"/>
    <x v="4"/>
    <s v="Houston"/>
    <x v="16"/>
    <x v="0"/>
  </r>
  <r>
    <x v="11"/>
    <s v="Cam"/>
    <x v="2"/>
    <x v="0"/>
    <s v="Joe Burrow"/>
    <x v="180"/>
    <x v="0"/>
  </r>
  <r>
    <x v="11"/>
    <s v="Cam"/>
    <x v="2"/>
    <x v="1"/>
    <s v="Ja'Marr Chase"/>
    <x v="181"/>
    <x v="0"/>
  </r>
  <r>
    <x v="11"/>
    <s v="Cam"/>
    <x v="2"/>
    <x v="1"/>
    <s v="Nico Collins"/>
    <x v="21"/>
    <x v="0"/>
  </r>
  <r>
    <x v="11"/>
    <s v="Cam"/>
    <x v="2"/>
    <x v="1"/>
    <s v="Brandon Aiyuk"/>
    <x v="170"/>
    <x v="0"/>
  </r>
  <r>
    <x v="11"/>
    <s v="Cam"/>
    <x v="2"/>
    <x v="2"/>
    <s v="Aaron Jones"/>
    <x v="182"/>
    <x v="0"/>
  </r>
  <r>
    <x v="11"/>
    <s v="Cam"/>
    <x v="2"/>
    <x v="2"/>
    <s v="JK Dobbins"/>
    <x v="92"/>
    <x v="0"/>
  </r>
  <r>
    <x v="11"/>
    <s v="Cam"/>
    <x v="2"/>
    <x v="3"/>
    <s v="Pat Freiermuth"/>
    <x v="128"/>
    <x v="0"/>
  </r>
  <r>
    <x v="11"/>
    <s v="Cam"/>
    <x v="2"/>
    <x v="5"/>
    <s v="Evan McPherson"/>
    <x v="32"/>
    <x v="0"/>
  </r>
  <r>
    <x v="11"/>
    <s v="Cam"/>
    <x v="2"/>
    <x v="4"/>
    <s v="Chicago"/>
    <x v="16"/>
    <x v="0"/>
  </r>
  <r>
    <x v="8"/>
    <s v="Schulwolf"/>
    <x v="2"/>
    <x v="0"/>
    <s v="Jayden Daniels"/>
    <x v="183"/>
    <x v="0"/>
  </r>
  <r>
    <x v="8"/>
    <s v="Schulwolf"/>
    <x v="2"/>
    <x v="1"/>
    <s v="Chris Godwin"/>
    <x v="130"/>
    <x v="0"/>
  </r>
  <r>
    <x v="8"/>
    <s v="Schulwolf"/>
    <x v="2"/>
    <x v="1"/>
    <s v="DeVonta Smith"/>
    <x v="46"/>
    <x v="0"/>
  </r>
  <r>
    <x v="8"/>
    <s v="Schulwolf"/>
    <x v="2"/>
    <x v="1"/>
    <s v="Jerry Jeudy"/>
    <x v="184"/>
    <x v="0"/>
  </r>
  <r>
    <x v="8"/>
    <s v="Schulwolf"/>
    <x v="2"/>
    <x v="2"/>
    <s v="Zack Moss"/>
    <x v="185"/>
    <x v="0"/>
  </r>
  <r>
    <x v="8"/>
    <s v="Schulwolf"/>
    <x v="2"/>
    <x v="2"/>
    <s v="James Cook"/>
    <x v="186"/>
    <x v="0"/>
  </r>
  <r>
    <x v="8"/>
    <s v="Schulwolf"/>
    <x v="2"/>
    <x v="3"/>
    <s v="Dalton Kincaid"/>
    <x v="187"/>
    <x v="0"/>
  </r>
  <r>
    <x v="8"/>
    <s v="Schulwolf"/>
    <x v="2"/>
    <x v="5"/>
    <s v="Brandon Aubrey"/>
    <x v="138"/>
    <x v="0"/>
  </r>
  <r>
    <x v="8"/>
    <s v="Schulwolf"/>
    <x v="2"/>
    <x v="4"/>
    <s v="Dallas"/>
    <x v="188"/>
    <x v="0"/>
  </r>
  <r>
    <x v="10"/>
    <s v="Brand"/>
    <x v="2"/>
    <x v="0"/>
    <s v="Anthony Richardson"/>
    <x v="189"/>
    <x v="0"/>
  </r>
  <r>
    <x v="10"/>
    <s v="Brand"/>
    <x v="2"/>
    <x v="1"/>
    <s v="Garrett Wilson"/>
    <x v="69"/>
    <x v="0"/>
  </r>
  <r>
    <x v="10"/>
    <s v="Brand"/>
    <x v="2"/>
    <x v="1"/>
    <s v="Michael Pittman"/>
    <x v="90"/>
    <x v="0"/>
  </r>
  <r>
    <x v="10"/>
    <s v="Brand"/>
    <x v="2"/>
    <x v="1"/>
    <s v="Brandin Cooks"/>
    <x v="59"/>
    <x v="0"/>
  </r>
  <r>
    <x v="10"/>
    <s v="Brand"/>
    <x v="2"/>
    <x v="2"/>
    <s v="Breece Hall"/>
    <x v="190"/>
    <x v="0"/>
  </r>
  <r>
    <x v="10"/>
    <s v="Brand"/>
    <x v="2"/>
    <x v="2"/>
    <s v="Bucky Irving"/>
    <x v="191"/>
    <x v="0"/>
  </r>
  <r>
    <x v="10"/>
    <s v="Brand"/>
    <x v="2"/>
    <x v="3"/>
    <s v="Dallas Goedert"/>
    <x v="192"/>
    <x v="0"/>
  </r>
  <r>
    <x v="10"/>
    <s v="Brand"/>
    <x v="2"/>
    <x v="5"/>
    <s v="Cairo Santos"/>
    <x v="25"/>
    <x v="0"/>
  </r>
  <r>
    <x v="10"/>
    <s v="Brand"/>
    <x v="2"/>
    <x v="4"/>
    <s v="Indianapolis"/>
    <x v="8"/>
    <x v="0"/>
  </r>
  <r>
    <x v="9"/>
    <s v="Tommy"/>
    <x v="2"/>
    <x v="0"/>
    <s v="Josh Allen"/>
    <x v="193"/>
    <x v="0"/>
  </r>
  <r>
    <x v="9"/>
    <s v="Tommy"/>
    <x v="2"/>
    <x v="1"/>
    <s v="Malik Nabers"/>
    <x v="179"/>
    <x v="0"/>
  </r>
  <r>
    <x v="9"/>
    <s v="Tommy"/>
    <x v="2"/>
    <x v="1"/>
    <s v="DK Metcalf"/>
    <x v="194"/>
    <x v="0"/>
  </r>
  <r>
    <x v="9"/>
    <s v="Tommy"/>
    <x v="2"/>
    <x v="1"/>
    <s v="Xavier Worthy"/>
    <x v="16"/>
    <x v="0"/>
  </r>
  <r>
    <x v="9"/>
    <s v="Tommy"/>
    <x v="2"/>
    <x v="2"/>
    <s v="Saquon Barkley"/>
    <x v="195"/>
    <x v="0"/>
  </r>
  <r>
    <x v="9"/>
    <s v="Tommy"/>
    <x v="2"/>
    <x v="2"/>
    <s v="Kyren Williams"/>
    <x v="196"/>
    <x v="0"/>
  </r>
  <r>
    <x v="9"/>
    <s v="Tommy"/>
    <x v="2"/>
    <x v="3"/>
    <s v="Mike Gesicki"/>
    <x v="184"/>
    <x v="0"/>
  </r>
  <r>
    <x v="9"/>
    <s v="Tommy"/>
    <x v="2"/>
    <x v="5"/>
    <s v="Harrison Butker"/>
    <x v="122"/>
    <x v="0"/>
  </r>
  <r>
    <x v="9"/>
    <s v="Tommy"/>
    <x v="2"/>
    <x v="4"/>
    <s v="San Francisco"/>
    <x v="16"/>
    <x v="0"/>
  </r>
  <r>
    <x v="5"/>
    <s v="Burnett/Jasjaap"/>
    <x v="2"/>
    <x v="0"/>
    <s v="Brock Purdy"/>
    <x v="197"/>
    <x v="0"/>
  </r>
  <r>
    <x v="5"/>
    <s v="Burnett/Jasjaap"/>
    <x v="2"/>
    <x v="1"/>
    <s v="CeeDee Lamb"/>
    <x v="184"/>
    <x v="0"/>
  </r>
  <r>
    <x v="5"/>
    <s v="Burnett/Jasjaap"/>
    <x v="2"/>
    <x v="1"/>
    <s v="Jaylen Waddle"/>
    <x v="163"/>
    <x v="0"/>
  </r>
  <r>
    <x v="5"/>
    <s v="Burnett/Jasjaap"/>
    <x v="2"/>
    <x v="1"/>
    <s v="Rashid Shaheed"/>
    <x v="146"/>
    <x v="0"/>
  </r>
  <r>
    <x v="5"/>
    <s v="Burnett/Jasjaap"/>
    <x v="2"/>
    <x v="2"/>
    <s v="David Montgomery"/>
    <x v="198"/>
    <x v="0"/>
  </r>
  <r>
    <x v="5"/>
    <s v="Burnett/Jasjaap"/>
    <x v="2"/>
    <x v="2"/>
    <s v="Josh Jacobs"/>
    <x v="128"/>
    <x v="0"/>
  </r>
  <r>
    <x v="5"/>
    <s v="Burnett/Jasjaap"/>
    <x v="2"/>
    <x v="3"/>
    <s v="Brock Bowers"/>
    <x v="90"/>
    <x v="0"/>
  </r>
  <r>
    <x v="5"/>
    <s v="Burnett/Jasjaap"/>
    <x v="2"/>
    <x v="5"/>
    <s v="Jake Elliott"/>
    <x v="78"/>
    <x v="0"/>
  </r>
  <r>
    <x v="5"/>
    <s v="Burnett/Jasjaap"/>
    <x v="2"/>
    <x v="4"/>
    <s v="Pittsburgh"/>
    <x v="122"/>
    <x v="0"/>
  </r>
  <r>
    <x v="0"/>
    <s v="Brenton"/>
    <x v="3"/>
    <x v="0"/>
    <s v="Baker Mayfield"/>
    <x v="199"/>
    <x v="0"/>
  </r>
  <r>
    <x v="0"/>
    <s v="Brenton"/>
    <x v="3"/>
    <x v="1"/>
    <s v="Jayden Reed"/>
    <x v="200"/>
    <x v="0"/>
  </r>
  <r>
    <x v="0"/>
    <s v="Brenton"/>
    <x v="3"/>
    <x v="1"/>
    <s v="Courtland Sutton"/>
    <x v="201"/>
    <x v="0"/>
  </r>
  <r>
    <x v="0"/>
    <s v="Brenton"/>
    <x v="3"/>
    <x v="1"/>
    <s v="Tyreek Hill"/>
    <x v="45"/>
    <x v="0"/>
  </r>
  <r>
    <x v="0"/>
    <s v="Brenton"/>
    <x v="3"/>
    <x v="2"/>
    <s v="Jerome Ford"/>
    <x v="122"/>
    <x v="0"/>
  </r>
  <r>
    <x v="0"/>
    <s v="Brenton"/>
    <x v="3"/>
    <x v="2"/>
    <s v="Cam Akers"/>
    <x v="128"/>
    <x v="0"/>
  </r>
  <r>
    <x v="0"/>
    <s v="Brenton"/>
    <x v="3"/>
    <x v="3"/>
    <s v="Colby Parkinson"/>
    <x v="128"/>
    <x v="0"/>
  </r>
  <r>
    <x v="0"/>
    <s v="Brenton"/>
    <x v="3"/>
    <x v="5"/>
    <s v="Tyler Bass"/>
    <x v="103"/>
    <x v="0"/>
  </r>
  <r>
    <x v="0"/>
    <s v="Brenton"/>
    <x v="3"/>
    <x v="4"/>
    <s v="Kansas City"/>
    <x v="76"/>
    <x v="0"/>
  </r>
  <r>
    <x v="0"/>
    <s v="Brenton"/>
    <x v="3"/>
    <x v="6"/>
    <s v="Zay Flowers"/>
    <x v="202"/>
    <x v="0"/>
  </r>
  <r>
    <x v="7"/>
    <s v="Jay"/>
    <x v="3"/>
    <x v="0"/>
    <s v="Lamar Jackson"/>
    <x v="203"/>
    <x v="0"/>
  </r>
  <r>
    <x v="7"/>
    <s v="Jay"/>
    <x v="3"/>
    <x v="1"/>
    <s v="Amari Cooper"/>
    <x v="6"/>
    <x v="0"/>
  </r>
  <r>
    <x v="7"/>
    <s v="Jay"/>
    <x v="3"/>
    <x v="1"/>
    <s v="Stefon Diggs"/>
    <x v="101"/>
    <x v="0"/>
  </r>
  <r>
    <x v="7"/>
    <s v="Jay"/>
    <x v="3"/>
    <x v="1"/>
    <s v="Jauan Jennings"/>
    <x v="204"/>
    <x v="0"/>
  </r>
  <r>
    <x v="7"/>
    <s v="Jay"/>
    <x v="3"/>
    <x v="2"/>
    <s v="Brian Robinson"/>
    <x v="88"/>
    <x v="0"/>
  </r>
  <r>
    <x v="7"/>
    <s v="Jay"/>
    <x v="3"/>
    <x v="2"/>
    <s v="Alvin Kamara"/>
    <x v="205"/>
    <x v="0"/>
  </r>
  <r>
    <x v="7"/>
    <s v="Jay"/>
    <x v="3"/>
    <x v="3"/>
    <s v="Tyler Conklin"/>
    <x v="206"/>
    <x v="0"/>
  </r>
  <r>
    <x v="7"/>
    <s v="Jay"/>
    <x v="3"/>
    <x v="5"/>
    <s v="Ka'imi Fairbairn"/>
    <x v="25"/>
    <x v="0"/>
  </r>
  <r>
    <x v="7"/>
    <s v="Jay"/>
    <x v="3"/>
    <x v="4"/>
    <s v="Miami"/>
    <x v="7"/>
    <x v="0"/>
  </r>
  <r>
    <x v="7"/>
    <s v="Jay"/>
    <x v="3"/>
    <x v="7"/>
    <s v="Jonathan Taylor"/>
    <x v="67"/>
    <x v="0"/>
  </r>
  <r>
    <x v="8"/>
    <s v="Schulwolf"/>
    <x v="3"/>
    <x v="0"/>
    <s v="Jayden Daniels"/>
    <x v="207"/>
    <x v="0"/>
  </r>
  <r>
    <x v="8"/>
    <s v="Schulwolf"/>
    <x v="3"/>
    <x v="1"/>
    <s v="Terry McLaurin"/>
    <x v="85"/>
    <x v="0"/>
  </r>
  <r>
    <x v="8"/>
    <s v="Schulwolf"/>
    <x v="3"/>
    <x v="1"/>
    <s v="Jerry Jeudy"/>
    <x v="208"/>
    <x v="0"/>
  </r>
  <r>
    <x v="8"/>
    <s v="Schulwolf"/>
    <x v="3"/>
    <x v="1"/>
    <s v="Chris Godwin"/>
    <x v="191"/>
    <x v="0"/>
  </r>
  <r>
    <x v="8"/>
    <s v="Schulwolf"/>
    <x v="3"/>
    <x v="2"/>
    <s v="Jahmyr Gibbs"/>
    <x v="209"/>
    <x v="0"/>
  </r>
  <r>
    <x v="8"/>
    <s v="Schulwolf"/>
    <x v="3"/>
    <x v="2"/>
    <s v="Zack Moss"/>
    <x v="47"/>
    <x v="0"/>
  </r>
  <r>
    <x v="8"/>
    <s v="Schulwolf"/>
    <x v="3"/>
    <x v="3"/>
    <s v="Dalton Kincaid"/>
    <x v="210"/>
    <x v="0"/>
  </r>
  <r>
    <x v="8"/>
    <s v="Schulwolf"/>
    <x v="3"/>
    <x v="5"/>
    <s v="Brandon Aubrey"/>
    <x v="138"/>
    <x v="0"/>
  </r>
  <r>
    <x v="8"/>
    <s v="Schulwolf"/>
    <x v="3"/>
    <x v="4"/>
    <s v="Dallas"/>
    <x v="7"/>
    <x v="0"/>
  </r>
  <r>
    <x v="8"/>
    <s v="Schulwolf"/>
    <x v="3"/>
    <x v="7"/>
    <s v="James Cook"/>
    <x v="128"/>
    <x v="0"/>
  </r>
  <r>
    <x v="5"/>
    <s v="Burnett/Jasjaap"/>
    <x v="3"/>
    <x v="0"/>
    <s v="Brock Purdy"/>
    <x v="211"/>
    <x v="0"/>
  </r>
  <r>
    <x v="5"/>
    <s v="Burnett/Jasjaap"/>
    <x v="3"/>
    <x v="1"/>
    <s v="CeeDee Lamb"/>
    <x v="87"/>
    <x v="0"/>
  </r>
  <r>
    <x v="5"/>
    <s v="Burnett/Jasjaap"/>
    <x v="3"/>
    <x v="1"/>
    <s v="Jaylen Waddle"/>
    <x v="90"/>
    <x v="0"/>
  </r>
  <r>
    <x v="5"/>
    <s v="Burnett/Jasjaap"/>
    <x v="3"/>
    <x v="1"/>
    <s v="Rashid Shaheed"/>
    <x v="20"/>
    <x v="0"/>
  </r>
  <r>
    <x v="5"/>
    <s v="Burnett/Jasjaap"/>
    <x v="3"/>
    <x v="2"/>
    <s v="David Montgomery"/>
    <x v="107"/>
    <x v="0"/>
  </r>
  <r>
    <x v="5"/>
    <s v="Burnett/Jasjaap"/>
    <x v="3"/>
    <x v="2"/>
    <s v="Josh Jacobs"/>
    <x v="158"/>
    <x v="0"/>
  </r>
  <r>
    <x v="5"/>
    <s v="Burnett/Jasjaap"/>
    <x v="3"/>
    <x v="3"/>
    <s v="Brock Bowers"/>
    <x v="86"/>
    <x v="0"/>
  </r>
  <r>
    <x v="5"/>
    <s v="Burnett/Jasjaap"/>
    <x v="3"/>
    <x v="5"/>
    <s v="Jake Elliott"/>
    <x v="139"/>
    <x v="0"/>
  </r>
  <r>
    <x v="5"/>
    <s v="Burnett/Jasjaap"/>
    <x v="3"/>
    <x v="4"/>
    <s v="Pittsburgh"/>
    <x v="78"/>
    <x v="0"/>
  </r>
  <r>
    <x v="5"/>
    <s v="Burnett/Jasjaap"/>
    <x v="3"/>
    <x v="7"/>
    <s v="Gus Edwards"/>
    <x v="160"/>
    <x v="0"/>
  </r>
  <r>
    <x v="2"/>
    <s v="Mike"/>
    <x v="3"/>
    <x v="0"/>
    <s v="Patrick Mahomes"/>
    <x v="49"/>
    <x v="0"/>
  </r>
  <r>
    <x v="2"/>
    <s v="Mike"/>
    <x v="3"/>
    <x v="1"/>
    <s v="Mike Evans"/>
    <x v="212"/>
    <x v="0"/>
  </r>
  <r>
    <x v="2"/>
    <s v="Mike"/>
    <x v="3"/>
    <x v="1"/>
    <s v="Khalil Shakir"/>
    <x v="136"/>
    <x v="0"/>
  </r>
  <r>
    <x v="2"/>
    <s v="Mike"/>
    <x v="3"/>
    <x v="1"/>
    <s v="Quentin Johnston"/>
    <x v="213"/>
    <x v="0"/>
  </r>
  <r>
    <x v="2"/>
    <s v="Mike"/>
    <x v="3"/>
    <x v="2"/>
    <s v="Derrick Henry"/>
    <x v="214"/>
    <x v="0"/>
  </r>
  <r>
    <x v="2"/>
    <s v="Mike"/>
    <x v="3"/>
    <x v="2"/>
    <s v="Carson Steele"/>
    <x v="215"/>
    <x v="0"/>
  </r>
  <r>
    <x v="2"/>
    <s v="Mike"/>
    <x v="3"/>
    <x v="3"/>
    <s v="Jake Ferguson"/>
    <x v="18"/>
    <x v="0"/>
  </r>
  <r>
    <x v="2"/>
    <s v="Mike"/>
    <x v="3"/>
    <x v="5"/>
    <s v="Younghoe Koo"/>
    <x v="109"/>
    <x v="0"/>
  </r>
  <r>
    <x v="2"/>
    <s v="Mike"/>
    <x v="3"/>
    <x v="4"/>
    <s v="Buffalo"/>
    <x v="188"/>
    <x v="0"/>
  </r>
  <r>
    <x v="2"/>
    <s v="Mike"/>
    <x v="3"/>
    <x v="8"/>
    <s v="Sam LaPorta"/>
    <x v="170"/>
    <x v="0"/>
  </r>
  <r>
    <x v="4"/>
    <s v="Eli"/>
    <x v="3"/>
    <x v="0"/>
    <s v="Jalen Hurts"/>
    <x v="216"/>
    <x v="0"/>
  </r>
  <r>
    <x v="4"/>
    <s v="Eli"/>
    <x v="3"/>
    <x v="1"/>
    <s v="Justin Jefferson"/>
    <x v="217"/>
    <x v="0"/>
  </r>
  <r>
    <x v="4"/>
    <s v="Eli"/>
    <x v="3"/>
    <x v="1"/>
    <s v="DJ Moore"/>
    <x v="218"/>
    <x v="0"/>
  </r>
  <r>
    <x v="4"/>
    <s v="Eli"/>
    <x v="3"/>
    <x v="1"/>
    <s v="Jalen Tolbert"/>
    <x v="132"/>
    <x v="0"/>
  </r>
  <r>
    <x v="4"/>
    <s v="Eli"/>
    <x v="3"/>
    <x v="2"/>
    <s v="Jordan Mason"/>
    <x v="33"/>
    <x v="0"/>
  </r>
  <r>
    <x v="4"/>
    <s v="Eli"/>
    <x v="3"/>
    <x v="2"/>
    <s v="Bijan Robinson"/>
    <x v="156"/>
    <x v="0"/>
  </r>
  <r>
    <x v="4"/>
    <s v="Eli"/>
    <x v="3"/>
    <x v="3"/>
    <s v="Dalton Schultz"/>
    <x v="219"/>
    <x v="0"/>
  </r>
  <r>
    <x v="4"/>
    <s v="Eli"/>
    <x v="3"/>
    <x v="5"/>
    <s v="Jake Moody"/>
    <x v="49"/>
    <x v="0"/>
  </r>
  <r>
    <x v="4"/>
    <s v="Eli"/>
    <x v="3"/>
    <x v="4"/>
    <s v="NYJ"/>
    <x v="24"/>
    <x v="0"/>
  </r>
  <r>
    <x v="4"/>
    <s v="Eli"/>
    <x v="3"/>
    <x v="6"/>
    <s v="Rome Odunze"/>
    <x v="202"/>
    <x v="0"/>
  </r>
  <r>
    <x v="1"/>
    <s v="Todd"/>
    <x v="3"/>
    <x v="0"/>
    <s v="Dak Prescott"/>
    <x v="220"/>
    <x v="0"/>
  </r>
  <r>
    <x v="1"/>
    <s v="Todd"/>
    <x v="3"/>
    <x v="1"/>
    <s v="Brian Thomas Jr"/>
    <x v="57"/>
    <x v="0"/>
  </r>
  <r>
    <x v="1"/>
    <s v="Todd"/>
    <x v="3"/>
    <x v="1"/>
    <s v="Diontae Johnson"/>
    <x v="14"/>
    <x v="0"/>
  </r>
  <r>
    <x v="1"/>
    <s v="Todd"/>
    <x v="3"/>
    <x v="1"/>
    <s v="Deebo Samuel"/>
    <x v="161"/>
    <x v="0"/>
  </r>
  <r>
    <x v="1"/>
    <s v="Todd"/>
    <x v="3"/>
    <x v="2"/>
    <s v="James Conner"/>
    <x v="14"/>
    <x v="0"/>
  </r>
  <r>
    <x v="1"/>
    <s v="Todd"/>
    <x v="3"/>
    <x v="2"/>
    <s v="De'Von Achane"/>
    <x v="75"/>
    <x v="0"/>
  </r>
  <r>
    <x v="1"/>
    <s v="Todd"/>
    <x v="3"/>
    <x v="3"/>
    <s v="Kyle Pitts"/>
    <x v="146"/>
    <x v="0"/>
  </r>
  <r>
    <x v="1"/>
    <s v="Todd"/>
    <x v="3"/>
    <x v="5"/>
    <s v="Chris Boswell"/>
    <x v="32"/>
    <x v="0"/>
  </r>
  <r>
    <x v="1"/>
    <s v="Todd"/>
    <x v="3"/>
    <x v="4"/>
    <s v="Tennessee"/>
    <x v="49"/>
    <x v="0"/>
  </r>
  <r>
    <x v="1"/>
    <s v="Todd"/>
    <x v="3"/>
    <x v="6"/>
    <s v="Rashee Rice"/>
    <x v="146"/>
    <x v="0"/>
  </r>
  <r>
    <x v="11"/>
    <s v="Cam"/>
    <x v="3"/>
    <x v="0"/>
    <s v="Kyler Murray"/>
    <x v="221"/>
    <x v="0"/>
  </r>
  <r>
    <x v="11"/>
    <s v="Cam"/>
    <x v="3"/>
    <x v="1"/>
    <s v="Ja'Marr Chase"/>
    <x v="101"/>
    <x v="0"/>
  </r>
  <r>
    <x v="11"/>
    <s v="Cam"/>
    <x v="3"/>
    <x v="1"/>
    <s v="Nico Collins"/>
    <x v="222"/>
    <x v="0"/>
  </r>
  <r>
    <x v="11"/>
    <s v="Cam"/>
    <x v="3"/>
    <x v="1"/>
    <s v="Jakobi Meyers"/>
    <x v="223"/>
    <x v="0"/>
  </r>
  <r>
    <x v="11"/>
    <s v="Cam"/>
    <x v="3"/>
    <x v="2"/>
    <s v="Aaron Jones"/>
    <x v="4"/>
    <x v="0"/>
  </r>
  <r>
    <x v="11"/>
    <s v="Cam"/>
    <x v="3"/>
    <x v="2"/>
    <s v="Rhamondre Stevenson"/>
    <x v="45"/>
    <x v="0"/>
  </r>
  <r>
    <x v="11"/>
    <s v="Cam"/>
    <x v="3"/>
    <x v="3"/>
    <s v="George Kittle"/>
    <x v="224"/>
    <x v="0"/>
  </r>
  <r>
    <x v="11"/>
    <s v="Cam"/>
    <x v="3"/>
    <x v="5"/>
    <s v="Evan McPherson"/>
    <x v="49"/>
    <x v="0"/>
  </r>
  <r>
    <x v="11"/>
    <s v="Cam"/>
    <x v="3"/>
    <x v="4"/>
    <s v="Chicago"/>
    <x v="76"/>
    <x v="0"/>
  </r>
  <r>
    <x v="11"/>
    <s v="Cam"/>
    <x v="3"/>
    <x v="6"/>
    <s v="Brandon Aiyuk"/>
    <x v="225"/>
    <x v="0"/>
  </r>
  <r>
    <x v="6"/>
    <s v="Will"/>
    <x v="3"/>
    <x v="0"/>
    <s v="Geno Smith"/>
    <x v="226"/>
    <x v="0"/>
  </r>
  <r>
    <x v="6"/>
    <s v="Will"/>
    <x v="3"/>
    <x v="1"/>
    <s v="Amon-Ra St. Brown"/>
    <x v="227"/>
    <x v="0"/>
  </r>
  <r>
    <x v="6"/>
    <s v="Will"/>
    <x v="3"/>
    <x v="1"/>
    <s v="Drake London"/>
    <x v="156"/>
    <x v="0"/>
  </r>
  <r>
    <x v="6"/>
    <s v="Will"/>
    <x v="3"/>
    <x v="1"/>
    <s v="Ladd McConkey"/>
    <x v="228"/>
    <x v="0"/>
  </r>
  <r>
    <x v="6"/>
    <s v="Will"/>
    <x v="3"/>
    <x v="2"/>
    <s v="Travis Etienne"/>
    <x v="23"/>
    <x v="0"/>
  </r>
  <r>
    <x v="6"/>
    <s v="Will"/>
    <x v="3"/>
    <x v="2"/>
    <s v="Zach Charbonet"/>
    <x v="133"/>
    <x v="0"/>
  </r>
  <r>
    <x v="6"/>
    <s v="Will"/>
    <x v="3"/>
    <x v="3"/>
    <s v="Travis Kelce"/>
    <x v="51"/>
    <x v="0"/>
  </r>
  <r>
    <x v="6"/>
    <s v="Will"/>
    <x v="3"/>
    <x v="5"/>
    <s v="Jason Myers"/>
    <x v="7"/>
    <x v="0"/>
  </r>
  <r>
    <x v="6"/>
    <s v="Will"/>
    <x v="3"/>
    <x v="4"/>
    <s v="Houston"/>
    <x v="78"/>
    <x v="0"/>
  </r>
  <r>
    <x v="6"/>
    <s v="Will"/>
    <x v="3"/>
    <x v="6"/>
    <s v="Jaxon Smith-Njigba"/>
    <x v="74"/>
    <x v="0"/>
  </r>
  <r>
    <x v="9"/>
    <s v="Tommy"/>
    <x v="3"/>
    <x v="0"/>
    <s v="Josh Allen"/>
    <x v="170"/>
    <x v="0"/>
  </r>
  <r>
    <x v="9"/>
    <s v="Tommy"/>
    <x v="3"/>
    <x v="1"/>
    <s v="Malik Nabers"/>
    <x v="125"/>
    <x v="0"/>
  </r>
  <r>
    <x v="9"/>
    <s v="Tommy"/>
    <x v="3"/>
    <x v="1"/>
    <s v="Xavier Worthy"/>
    <x v="31"/>
    <x v="0"/>
  </r>
  <r>
    <x v="9"/>
    <s v="Tommy"/>
    <x v="3"/>
    <x v="1"/>
    <s v="DK Metcalf"/>
    <x v="66"/>
    <x v="0"/>
  </r>
  <r>
    <x v="9"/>
    <s v="Tommy"/>
    <x v="3"/>
    <x v="2"/>
    <s v="Kyren Williams"/>
    <x v="194"/>
    <x v="0"/>
  </r>
  <r>
    <x v="9"/>
    <s v="Tommy"/>
    <x v="3"/>
    <x v="2"/>
    <s v="Saquon Barkley"/>
    <x v="229"/>
    <x v="0"/>
  </r>
  <r>
    <x v="9"/>
    <s v="Tommy"/>
    <x v="3"/>
    <x v="3"/>
    <s v="Mike Gesicki"/>
    <x v="230"/>
    <x v="0"/>
  </r>
  <r>
    <x v="9"/>
    <s v="Tommy"/>
    <x v="3"/>
    <x v="5"/>
    <s v="Harrison Butker"/>
    <x v="103"/>
    <x v="0"/>
  </r>
  <r>
    <x v="9"/>
    <s v="Tommy"/>
    <x v="3"/>
    <x v="4"/>
    <s v="San Francisco"/>
    <x v="33"/>
    <x v="0"/>
  </r>
  <r>
    <x v="9"/>
    <s v="Tommy"/>
    <x v="3"/>
    <x v="7"/>
    <s v="Rachaad White"/>
    <x v="156"/>
    <x v="0"/>
  </r>
  <r>
    <x v="10"/>
    <s v="Brand"/>
    <x v="3"/>
    <x v="0"/>
    <s v="Anthony Richardson"/>
    <x v="231"/>
    <x v="0"/>
  </r>
  <r>
    <x v="10"/>
    <s v="Brand"/>
    <x v="3"/>
    <x v="1"/>
    <s v="Michael Pittman"/>
    <x v="130"/>
    <x v="0"/>
  </r>
  <r>
    <x v="10"/>
    <s v="Brand"/>
    <x v="3"/>
    <x v="1"/>
    <s v="Garrett Wilson"/>
    <x v="163"/>
    <x v="0"/>
  </r>
  <r>
    <x v="10"/>
    <s v="Brand"/>
    <x v="3"/>
    <x v="1"/>
    <s v="Jameson Williams"/>
    <x v="63"/>
    <x v="0"/>
  </r>
  <r>
    <x v="10"/>
    <s v="Brand"/>
    <x v="3"/>
    <x v="2"/>
    <s v="Kenneth Walker"/>
    <x v="195"/>
    <x v="0"/>
  </r>
  <r>
    <x v="10"/>
    <s v="Brand"/>
    <x v="3"/>
    <x v="2"/>
    <s v="Breece Hall"/>
    <x v="5"/>
    <x v="0"/>
  </r>
  <r>
    <x v="10"/>
    <s v="Brand"/>
    <x v="3"/>
    <x v="3"/>
    <s v="Dallas Goedert"/>
    <x v="218"/>
    <x v="0"/>
  </r>
  <r>
    <x v="10"/>
    <s v="Brand"/>
    <x v="3"/>
    <x v="5"/>
    <s v="Cairo Santos"/>
    <x v="76"/>
    <x v="0"/>
  </r>
  <r>
    <x v="10"/>
    <s v="Brand"/>
    <x v="3"/>
    <x v="4"/>
    <s v="Las Vegas"/>
    <x v="8"/>
    <x v="0"/>
  </r>
  <r>
    <x v="10"/>
    <s v="Brand"/>
    <x v="3"/>
    <x v="6"/>
    <s v="Keenan Allen"/>
    <x v="232"/>
    <x v="0"/>
  </r>
  <r>
    <x v="3"/>
    <s v="Kevin"/>
    <x v="3"/>
    <x v="0"/>
    <s v="CJ Stroud"/>
    <x v="148"/>
    <x v="0"/>
  </r>
  <r>
    <x v="3"/>
    <s v="Kevin"/>
    <x v="3"/>
    <x v="1"/>
    <s v="Jordan Addison"/>
    <x v="205"/>
    <x v="0"/>
  </r>
  <r>
    <x v="3"/>
    <s v="Kevin"/>
    <x v="3"/>
    <x v="1"/>
    <s v="Marvin Harrison Jr"/>
    <x v="49"/>
    <x v="0"/>
  </r>
  <r>
    <x v="3"/>
    <s v="Kevin"/>
    <x v="3"/>
    <x v="1"/>
    <s v="George Pickens"/>
    <x v="233"/>
    <x v="0"/>
  </r>
  <r>
    <x v="3"/>
    <s v="Kevin"/>
    <x v="3"/>
    <x v="2"/>
    <s v="Chuba Hubbard"/>
    <x v="87"/>
    <x v="0"/>
  </r>
  <r>
    <x v="3"/>
    <s v="Kevin"/>
    <x v="3"/>
    <x v="2"/>
    <s v="Najee Harris"/>
    <x v="48"/>
    <x v="0"/>
  </r>
  <r>
    <x v="3"/>
    <s v="Kevin"/>
    <x v="3"/>
    <x v="3"/>
    <s v="Hunter Henry"/>
    <x v="37"/>
    <x v="0"/>
  </r>
  <r>
    <x v="3"/>
    <s v="Kevin"/>
    <x v="3"/>
    <x v="5"/>
    <s v="Justin Tucker"/>
    <x v="103"/>
    <x v="0"/>
  </r>
  <r>
    <x v="3"/>
    <s v="Kevin"/>
    <x v="3"/>
    <x v="4"/>
    <s v="Cleveland"/>
    <x v="122"/>
    <x v="0"/>
  </r>
  <r>
    <x v="3"/>
    <s v="Kevin"/>
    <x v="3"/>
    <x v="6"/>
    <s v="Chris Olave"/>
    <x v="234"/>
    <x v="0"/>
  </r>
  <r>
    <x v="0"/>
    <s v="Brenton"/>
    <x v="4"/>
    <x v="0"/>
    <s v="Baker Mayfield"/>
    <x v="235"/>
    <x v="0"/>
  </r>
  <r>
    <x v="0"/>
    <s v="Brenton"/>
    <x v="4"/>
    <x v="1"/>
    <s v="Jayden Reed"/>
    <x v="20"/>
    <x v="0"/>
  </r>
  <r>
    <x v="0"/>
    <s v="Brenton"/>
    <x v="4"/>
    <x v="1"/>
    <s v="Tyreek Hill"/>
    <x v="191"/>
    <x v="0"/>
  </r>
  <r>
    <x v="0"/>
    <s v="Brenton"/>
    <x v="4"/>
    <x v="1"/>
    <s v="Courtland Sutton"/>
    <x v="91"/>
    <x v="0"/>
  </r>
  <r>
    <x v="0"/>
    <s v="Brenton"/>
    <x v="4"/>
    <x v="2"/>
    <s v="Javonte Williams"/>
    <x v="38"/>
    <x v="0"/>
  </r>
  <r>
    <x v="0"/>
    <s v="Brenton"/>
    <x v="4"/>
    <x v="2"/>
    <s v="Jerome Ford"/>
    <x v="39"/>
    <x v="0"/>
  </r>
  <r>
    <x v="0"/>
    <s v="Brenton"/>
    <x v="4"/>
    <x v="3"/>
    <s v="Trey McBride"/>
    <x v="112"/>
    <x v="0"/>
  </r>
  <r>
    <x v="0"/>
    <s v="Brenton"/>
    <x v="4"/>
    <x v="5"/>
    <s v="Tyler Bass"/>
    <x v="32"/>
    <x v="0"/>
  </r>
  <r>
    <x v="0"/>
    <s v="Brenton"/>
    <x v="4"/>
    <x v="4"/>
    <s v="New England"/>
    <x v="24"/>
    <x v="0"/>
  </r>
  <r>
    <x v="0"/>
    <s v="Brenton"/>
    <x v="4"/>
    <x v="6"/>
    <s v="Dontayvion Wicks"/>
    <x v="7"/>
    <x v="0"/>
  </r>
  <r>
    <x v="4"/>
    <s v="Eli"/>
    <x v="4"/>
    <x v="0"/>
    <s v="Deshaun Watson"/>
    <x v="18"/>
    <x v="0"/>
  </r>
  <r>
    <x v="4"/>
    <s v="Eli"/>
    <x v="4"/>
    <x v="1"/>
    <s v="DJ Moore"/>
    <x v="65"/>
    <x v="0"/>
  </r>
  <r>
    <x v="4"/>
    <s v="Eli"/>
    <x v="4"/>
    <x v="1"/>
    <s v="Justin Jefferson"/>
    <x v="175"/>
    <x v="0"/>
  </r>
  <r>
    <x v="4"/>
    <s v="Eli"/>
    <x v="4"/>
    <x v="1"/>
    <s v="Rome Odunze"/>
    <x v="23"/>
    <x v="0"/>
  </r>
  <r>
    <x v="4"/>
    <s v="Eli"/>
    <x v="4"/>
    <x v="2"/>
    <s v="Bijan Robinson"/>
    <x v="84"/>
    <x v="0"/>
  </r>
  <r>
    <x v="4"/>
    <s v="Eli"/>
    <x v="4"/>
    <x v="2"/>
    <s v="Jordan Mason"/>
    <x v="112"/>
    <x v="0"/>
  </r>
  <r>
    <x v="4"/>
    <s v="Eli"/>
    <x v="4"/>
    <x v="3"/>
    <s v="David Njoku"/>
    <x v="160"/>
    <x v="0"/>
  </r>
  <r>
    <x v="4"/>
    <s v="Eli"/>
    <x v="4"/>
    <x v="5"/>
    <s v="Jake Moody"/>
    <x v="32"/>
    <x v="0"/>
  </r>
  <r>
    <x v="4"/>
    <s v="Eli"/>
    <x v="4"/>
    <x v="4"/>
    <s v="NYJ"/>
    <x v="8"/>
    <x v="0"/>
  </r>
  <r>
    <x v="4"/>
    <s v="Eli"/>
    <x v="4"/>
    <x v="6"/>
    <s v="Xavier Legette"/>
    <x v="236"/>
    <x v="0"/>
  </r>
  <r>
    <x v="2"/>
    <s v="Mike"/>
    <x v="4"/>
    <x v="0"/>
    <s v="Justin Fields"/>
    <x v="237"/>
    <x v="0"/>
  </r>
  <r>
    <x v="2"/>
    <s v="Mike"/>
    <x v="4"/>
    <x v="1"/>
    <s v="Mike Evans"/>
    <x v="238"/>
    <x v="0"/>
  </r>
  <r>
    <x v="2"/>
    <s v="Mike"/>
    <x v="4"/>
    <x v="1"/>
    <s v="Tutu Atwell"/>
    <x v="239"/>
    <x v="0"/>
  </r>
  <r>
    <x v="2"/>
    <s v="Mike"/>
    <x v="4"/>
    <x v="1"/>
    <s v="Tank Dell"/>
    <x v="128"/>
    <x v="0"/>
  </r>
  <r>
    <x v="2"/>
    <s v="Mike"/>
    <x v="4"/>
    <x v="2"/>
    <s v="Derrick Henry"/>
    <x v="97"/>
    <x v="0"/>
  </r>
  <r>
    <x v="2"/>
    <s v="Mike"/>
    <x v="4"/>
    <x v="2"/>
    <s v="Kareem Hunt"/>
    <x v="185"/>
    <x v="0"/>
  </r>
  <r>
    <x v="2"/>
    <s v="Mike"/>
    <x v="4"/>
    <x v="3"/>
    <s v="Jake Ferguson"/>
    <x v="8"/>
    <x v="0"/>
  </r>
  <r>
    <x v="2"/>
    <s v="Mike"/>
    <x v="4"/>
    <x v="5"/>
    <s v="Younghoe Koo"/>
    <x v="101"/>
    <x v="0"/>
  </r>
  <r>
    <x v="2"/>
    <s v="Mike"/>
    <x v="4"/>
    <x v="4"/>
    <s v="Buffalo"/>
    <x v="78"/>
    <x v="0"/>
  </r>
  <r>
    <x v="2"/>
    <s v="Mike"/>
    <x v="4"/>
    <x v="7"/>
    <s v="Chase Brown"/>
    <x v="134"/>
    <x v="0"/>
  </r>
  <r>
    <x v="11"/>
    <s v="Cam"/>
    <x v="4"/>
    <x v="0"/>
    <s v="Joe Burrow"/>
    <x v="240"/>
    <x v="0"/>
  </r>
  <r>
    <x v="11"/>
    <s v="Cam"/>
    <x v="4"/>
    <x v="1"/>
    <s v="Ja'Marr Chase"/>
    <x v="241"/>
    <x v="0"/>
  </r>
  <r>
    <x v="11"/>
    <s v="Cam"/>
    <x v="4"/>
    <x v="1"/>
    <s v="Brandon Aiyuk"/>
    <x v="242"/>
    <x v="0"/>
  </r>
  <r>
    <x v="11"/>
    <s v="Cam"/>
    <x v="4"/>
    <x v="1"/>
    <s v="Nico Collins"/>
    <x v="31"/>
    <x v="0"/>
  </r>
  <r>
    <x v="11"/>
    <s v="Cam"/>
    <x v="4"/>
    <x v="2"/>
    <s v="D'Andre Swift"/>
    <x v="176"/>
    <x v="0"/>
  </r>
  <r>
    <x v="11"/>
    <s v="Cam"/>
    <x v="4"/>
    <x v="2"/>
    <s v="Aaron Jones"/>
    <x v="225"/>
    <x v="0"/>
  </r>
  <r>
    <x v="11"/>
    <s v="Cam"/>
    <x v="4"/>
    <x v="3"/>
    <s v="George Kittle"/>
    <x v="64"/>
    <x v="0"/>
  </r>
  <r>
    <x v="11"/>
    <s v="Cam"/>
    <x v="4"/>
    <x v="5"/>
    <s v="Evan McPherson"/>
    <x v="16"/>
    <x v="0"/>
  </r>
  <r>
    <x v="11"/>
    <s v="Cam"/>
    <x v="4"/>
    <x v="4"/>
    <s v="Chicago"/>
    <x v="63"/>
    <x v="0"/>
  </r>
  <r>
    <x v="11"/>
    <s v="Cam"/>
    <x v="4"/>
    <x v="6"/>
    <s v="Wan'Dale Robinson"/>
    <x v="49"/>
    <x v="0"/>
  </r>
  <r>
    <x v="10"/>
    <s v="Brand"/>
    <x v="4"/>
    <x v="0"/>
    <s v="Joe Flacco"/>
    <x v="243"/>
    <x v="0"/>
  </r>
  <r>
    <x v="10"/>
    <s v="Brand"/>
    <x v="4"/>
    <x v="1"/>
    <s v="Garrett Wilson"/>
    <x v="244"/>
    <x v="0"/>
  </r>
  <r>
    <x v="10"/>
    <s v="Brand"/>
    <x v="4"/>
    <x v="1"/>
    <s v="Michael Pittman"/>
    <x v="175"/>
    <x v="0"/>
  </r>
  <r>
    <x v="10"/>
    <s v="Brand"/>
    <x v="4"/>
    <x v="1"/>
    <s v="Keenan Allen"/>
    <x v="245"/>
    <x v="0"/>
  </r>
  <r>
    <x v="10"/>
    <s v="Brand"/>
    <x v="4"/>
    <x v="2"/>
    <s v="Kenneth Walker"/>
    <x v="43"/>
    <x v="0"/>
  </r>
  <r>
    <x v="10"/>
    <s v="Brand"/>
    <x v="4"/>
    <x v="2"/>
    <s v="Breece Hall"/>
    <x v="22"/>
    <x v="0"/>
  </r>
  <r>
    <x v="10"/>
    <s v="Brand"/>
    <x v="4"/>
    <x v="3"/>
    <s v="Zach Ertz"/>
    <x v="139"/>
    <x v="0"/>
  </r>
  <r>
    <x v="10"/>
    <s v="Brand"/>
    <x v="4"/>
    <x v="5"/>
    <s v="Cairo Santos"/>
    <x v="103"/>
    <x v="0"/>
  </r>
  <r>
    <x v="10"/>
    <s v="Brand"/>
    <x v="4"/>
    <x v="4"/>
    <s v="Indianapolis"/>
    <x v="246"/>
    <x v="0"/>
  </r>
  <r>
    <x v="10"/>
    <s v="Brand"/>
    <x v="4"/>
    <x v="7"/>
    <s v="Bucky Irving"/>
    <x v="163"/>
    <x v="0"/>
  </r>
  <r>
    <x v="5"/>
    <s v="Burnett/Jasjaap"/>
    <x v="4"/>
    <x v="0"/>
    <s v="Brock Purdy"/>
    <x v="247"/>
    <x v="0"/>
  </r>
  <r>
    <x v="5"/>
    <s v="Burnett/Jasjaap"/>
    <x v="4"/>
    <x v="1"/>
    <s v="Rashid Shaheed"/>
    <x v="248"/>
    <x v="0"/>
  </r>
  <r>
    <x v="5"/>
    <s v="Burnett/Jasjaap"/>
    <x v="4"/>
    <x v="1"/>
    <s v="CeeDee Lamb"/>
    <x v="155"/>
    <x v="0"/>
  </r>
  <r>
    <x v="5"/>
    <s v="Burnett/Jasjaap"/>
    <x v="4"/>
    <x v="1"/>
    <s v="Jordan Whittington"/>
    <x v="51"/>
    <x v="0"/>
  </r>
  <r>
    <x v="5"/>
    <s v="Burnett/Jasjaap"/>
    <x v="4"/>
    <x v="2"/>
    <s v="Josh Jacobs"/>
    <x v="4"/>
    <x v="0"/>
  </r>
  <r>
    <x v="5"/>
    <s v="Burnett/Jasjaap"/>
    <x v="4"/>
    <x v="2"/>
    <s v="Rico Dowdle"/>
    <x v="194"/>
    <x v="0"/>
  </r>
  <r>
    <x v="5"/>
    <s v="Burnett/Jasjaap"/>
    <x v="4"/>
    <x v="3"/>
    <s v="Brock Bowers"/>
    <x v="198"/>
    <x v="0"/>
  </r>
  <r>
    <x v="5"/>
    <s v="Burnett/Jasjaap"/>
    <x v="4"/>
    <x v="5"/>
    <s v="Austin Seibert"/>
    <x v="8"/>
    <x v="0"/>
  </r>
  <r>
    <x v="5"/>
    <s v="Burnett/Jasjaap"/>
    <x v="4"/>
    <x v="4"/>
    <s v="Pittsburgh"/>
    <x v="76"/>
    <x v="0"/>
  </r>
  <r>
    <x v="5"/>
    <s v="Burnett/Jasjaap"/>
    <x v="4"/>
    <x v="6"/>
    <s v="Jaylen Waddle"/>
    <x v="249"/>
    <x v="0"/>
  </r>
  <r>
    <x v="6"/>
    <s v="Will"/>
    <x v="4"/>
    <x v="0"/>
    <s v="Geno Smith"/>
    <x v="250"/>
    <x v="0"/>
  </r>
  <r>
    <x v="6"/>
    <s v="Will"/>
    <x v="4"/>
    <x v="1"/>
    <s v="Drake London"/>
    <x v="251"/>
    <x v="0"/>
  </r>
  <r>
    <x v="6"/>
    <s v="Will"/>
    <x v="4"/>
    <x v="1"/>
    <s v="Jaxon Smith-Njigba"/>
    <x v="43"/>
    <x v="0"/>
  </r>
  <r>
    <x v="6"/>
    <s v="Will"/>
    <x v="4"/>
    <x v="1"/>
    <s v="Keon Coleman"/>
    <x v="46"/>
    <x v="0"/>
  </r>
  <r>
    <x v="6"/>
    <s v="Will"/>
    <x v="4"/>
    <x v="2"/>
    <s v="Travis Etienne"/>
    <x v="24"/>
    <x v="0"/>
  </r>
  <r>
    <x v="6"/>
    <s v="Will"/>
    <x v="4"/>
    <x v="2"/>
    <s v="Austin Ekeler"/>
    <x v="252"/>
    <x v="0"/>
  </r>
  <r>
    <x v="6"/>
    <s v="Will"/>
    <x v="4"/>
    <x v="3"/>
    <s v="Travis Kelce"/>
    <x v="253"/>
    <x v="0"/>
  </r>
  <r>
    <x v="6"/>
    <s v="Will"/>
    <x v="4"/>
    <x v="5"/>
    <s v="Jason Myers"/>
    <x v="24"/>
    <x v="0"/>
  </r>
  <r>
    <x v="6"/>
    <s v="Will"/>
    <x v="4"/>
    <x v="4"/>
    <s v="Houston"/>
    <x v="7"/>
    <x v="0"/>
  </r>
  <r>
    <x v="6"/>
    <s v="Will"/>
    <x v="4"/>
    <x v="7"/>
    <s v="Zach Charbonet"/>
    <x v="254"/>
    <x v="0"/>
  </r>
  <r>
    <x v="8"/>
    <s v="Schulwolf"/>
    <x v="4"/>
    <x v="0"/>
    <s v="Jayden Daniels"/>
    <x v="255"/>
    <x v="0"/>
  </r>
  <r>
    <x v="8"/>
    <s v="Schulwolf"/>
    <x v="4"/>
    <x v="1"/>
    <s v="Terry McLaurin"/>
    <x v="46"/>
    <x v="0"/>
  </r>
  <r>
    <x v="8"/>
    <s v="Schulwolf"/>
    <x v="4"/>
    <x v="1"/>
    <s v="Chris Godwin"/>
    <x v="74"/>
    <x v="0"/>
  </r>
  <r>
    <x v="8"/>
    <s v="Schulwolf"/>
    <x v="4"/>
    <x v="1"/>
    <s v="Tyler Lockett"/>
    <x v="239"/>
    <x v="0"/>
  </r>
  <r>
    <x v="8"/>
    <s v="Schulwolf"/>
    <x v="4"/>
    <x v="2"/>
    <s v="James Cook"/>
    <x v="114"/>
    <x v="0"/>
  </r>
  <r>
    <x v="8"/>
    <s v="Schulwolf"/>
    <x v="4"/>
    <x v="2"/>
    <s v="Zack Moss"/>
    <x v="184"/>
    <x v="0"/>
  </r>
  <r>
    <x v="8"/>
    <s v="Schulwolf"/>
    <x v="4"/>
    <x v="3"/>
    <s v="Dalton Kincaid"/>
    <x v="75"/>
    <x v="0"/>
  </r>
  <r>
    <x v="8"/>
    <s v="Schulwolf"/>
    <x v="4"/>
    <x v="5"/>
    <s v="Brandon Aubrey"/>
    <x v="24"/>
    <x v="0"/>
  </r>
  <r>
    <x v="8"/>
    <s v="Schulwolf"/>
    <x v="4"/>
    <x v="4"/>
    <s v="Denver"/>
    <x v="63"/>
    <x v="0"/>
  </r>
  <r>
    <x v="8"/>
    <s v="Schulwolf"/>
    <x v="4"/>
    <x v="6"/>
    <s v="Jerry Jeudy"/>
    <x v="28"/>
    <x v="0"/>
  </r>
  <r>
    <x v="1"/>
    <s v="Todd"/>
    <x v="4"/>
    <x v="0"/>
    <s v="Sam Darnold"/>
    <x v="256"/>
    <x v="0"/>
  </r>
  <r>
    <x v="1"/>
    <s v="Todd"/>
    <x v="4"/>
    <x v="1"/>
    <s v="Brian Thomas Jr"/>
    <x v="238"/>
    <x v="0"/>
  </r>
  <r>
    <x v="1"/>
    <s v="Todd"/>
    <x v="4"/>
    <x v="1"/>
    <s v="Darnell Mooney"/>
    <x v="131"/>
    <x v="0"/>
  </r>
  <r>
    <x v="1"/>
    <s v="Todd"/>
    <x v="4"/>
    <x v="1"/>
    <s v="Diontae Johnson"/>
    <x v="75"/>
    <x v="0"/>
  </r>
  <r>
    <x v="1"/>
    <s v="Todd"/>
    <x v="4"/>
    <x v="2"/>
    <s v="James Conner"/>
    <x v="49"/>
    <x v="0"/>
  </r>
  <r>
    <x v="1"/>
    <s v="Todd"/>
    <x v="4"/>
    <x v="2"/>
    <s v="De'Von Achane"/>
    <x v="37"/>
    <x v="0"/>
  </r>
  <r>
    <x v="1"/>
    <s v="Todd"/>
    <x v="4"/>
    <x v="3"/>
    <s v="Tucker Kraft"/>
    <x v="257"/>
    <x v="0"/>
  </r>
  <r>
    <x v="1"/>
    <s v="Todd"/>
    <x v="4"/>
    <x v="5"/>
    <s v="Chris Boswell"/>
    <x v="25"/>
    <x v="0"/>
  </r>
  <r>
    <x v="1"/>
    <s v="Todd"/>
    <x v="4"/>
    <x v="4"/>
    <s v="Green Bay"/>
    <x v="122"/>
    <x v="0"/>
  </r>
  <r>
    <x v="1"/>
    <s v="Todd"/>
    <x v="4"/>
    <x v="6"/>
    <s v="Deebo Samuel"/>
    <x v="52"/>
    <x v="0"/>
  </r>
  <r>
    <x v="9"/>
    <s v="Tommy"/>
    <x v="4"/>
    <x v="0"/>
    <s v="Josh Allen"/>
    <x v="17"/>
    <x v="0"/>
  </r>
  <r>
    <x v="9"/>
    <s v="Tommy"/>
    <x v="4"/>
    <x v="1"/>
    <s v="Xavier Worthy"/>
    <x v="204"/>
    <x v="0"/>
  </r>
  <r>
    <x v="9"/>
    <s v="Tommy"/>
    <x v="4"/>
    <x v="1"/>
    <s v="Allen Lazard"/>
    <x v="46"/>
    <x v="0"/>
  </r>
  <r>
    <x v="9"/>
    <s v="Tommy"/>
    <x v="4"/>
    <x v="1"/>
    <s v="Michael Wilson"/>
    <x v="204"/>
    <x v="0"/>
  </r>
  <r>
    <x v="9"/>
    <s v="Tommy"/>
    <x v="4"/>
    <x v="2"/>
    <s v="Kyren Williams"/>
    <x v="63"/>
    <x v="0"/>
  </r>
  <r>
    <x v="9"/>
    <s v="Tommy"/>
    <x v="4"/>
    <x v="2"/>
    <s v="Rachaad White"/>
    <x v="3"/>
    <x v="0"/>
  </r>
  <r>
    <x v="9"/>
    <s v="Tommy"/>
    <x v="4"/>
    <x v="3"/>
    <s v="Cade Otton"/>
    <x v="178"/>
    <x v="0"/>
  </r>
  <r>
    <x v="9"/>
    <s v="Tommy"/>
    <x v="4"/>
    <x v="5"/>
    <s v="Harrison Butker"/>
    <x v="100"/>
    <x v="0"/>
  </r>
  <r>
    <x v="9"/>
    <s v="Tommy"/>
    <x v="4"/>
    <x v="4"/>
    <s v="Minnesota"/>
    <x v="62"/>
    <x v="0"/>
  </r>
  <r>
    <x v="9"/>
    <s v="Tommy"/>
    <x v="4"/>
    <x v="6"/>
    <s v="DK Metcalf"/>
    <x v="6"/>
    <x v="0"/>
  </r>
  <r>
    <x v="7"/>
    <s v="Jay"/>
    <x v="4"/>
    <x v="0"/>
    <s v="Lamar Jackson"/>
    <x v="258"/>
    <x v="0"/>
  </r>
  <r>
    <x v="7"/>
    <s v="Jay"/>
    <x v="4"/>
    <x v="1"/>
    <s v="Stefon Diggs"/>
    <x v="174"/>
    <x v="0"/>
  </r>
  <r>
    <x v="7"/>
    <s v="Jay"/>
    <x v="4"/>
    <x v="1"/>
    <s v="Amari Cooper"/>
    <x v="32"/>
    <x v="0"/>
  </r>
  <r>
    <x v="7"/>
    <s v="Jay"/>
    <x v="4"/>
    <x v="1"/>
    <s v="Jauan Jennings"/>
    <x v="213"/>
    <x v="0"/>
  </r>
  <r>
    <x v="7"/>
    <s v="Jay"/>
    <x v="4"/>
    <x v="2"/>
    <s v="Trey Sermon"/>
    <x v="259"/>
    <x v="0"/>
  </r>
  <r>
    <x v="7"/>
    <s v="Jay"/>
    <x v="4"/>
    <x v="2"/>
    <s v="Brian Robinson"/>
    <x v="12"/>
    <x v="0"/>
  </r>
  <r>
    <x v="7"/>
    <s v="Jay"/>
    <x v="4"/>
    <x v="3"/>
    <s v="Tyler Conklin"/>
    <x v="157"/>
    <x v="0"/>
  </r>
  <r>
    <x v="7"/>
    <s v="Jay"/>
    <x v="4"/>
    <x v="5"/>
    <s v="Ka'imi Fairbairn"/>
    <x v="101"/>
    <x v="0"/>
  </r>
  <r>
    <x v="7"/>
    <s v="Jay"/>
    <x v="4"/>
    <x v="4"/>
    <s v="Miami"/>
    <x v="76"/>
    <x v="0"/>
  </r>
  <r>
    <x v="7"/>
    <s v="Jay"/>
    <x v="4"/>
    <x v="7"/>
    <s v="Alvin Kamara"/>
    <x v="260"/>
    <x v="0"/>
  </r>
  <r>
    <x v="3"/>
    <s v="Kevin"/>
    <x v="4"/>
    <x v="0"/>
    <s v="CJ Stroud"/>
    <x v="237"/>
    <x v="0"/>
  </r>
  <r>
    <x v="3"/>
    <s v="Kevin"/>
    <x v="4"/>
    <x v="1"/>
    <s v="Jordan Addison"/>
    <x v="82"/>
    <x v="0"/>
  </r>
  <r>
    <x v="3"/>
    <s v="Kevin"/>
    <x v="4"/>
    <x v="1"/>
    <s v="Marvin Harrison Jr"/>
    <x v="163"/>
    <x v="0"/>
  </r>
  <r>
    <x v="3"/>
    <s v="Kevin"/>
    <x v="4"/>
    <x v="1"/>
    <s v="George Pickens"/>
    <x v="86"/>
    <x v="0"/>
  </r>
  <r>
    <x v="3"/>
    <s v="Kevin"/>
    <x v="4"/>
    <x v="2"/>
    <s v="Chuba Hubbard"/>
    <x v="261"/>
    <x v="0"/>
  </r>
  <r>
    <x v="3"/>
    <s v="Kevin"/>
    <x v="4"/>
    <x v="2"/>
    <s v="Najee Harris"/>
    <x v="161"/>
    <x v="0"/>
  </r>
  <r>
    <x v="3"/>
    <s v="Kevin"/>
    <x v="4"/>
    <x v="3"/>
    <s v="Hunter Henry"/>
    <x v="91"/>
    <x v="0"/>
  </r>
  <r>
    <x v="3"/>
    <s v="Kevin"/>
    <x v="4"/>
    <x v="5"/>
    <s v="Justin Tucker"/>
    <x v="49"/>
    <x v="0"/>
  </r>
  <r>
    <x v="3"/>
    <s v="Kevin"/>
    <x v="4"/>
    <x v="4"/>
    <s v="Seattle"/>
    <x v="76"/>
    <x v="0"/>
  </r>
  <r>
    <x v="3"/>
    <s v="Kevin"/>
    <x v="4"/>
    <x v="6"/>
    <s v="Chris Olave"/>
    <x v="139"/>
    <x v="0"/>
  </r>
  <r>
    <x v="0"/>
    <s v="Brenton"/>
    <x v="5"/>
    <x v="0"/>
    <s v="Daniel Jones"/>
    <x v="69"/>
    <x v="0"/>
  </r>
  <r>
    <x v="0"/>
    <s v="Brenton"/>
    <x v="5"/>
    <x v="1"/>
    <s v="Jayden Reed"/>
    <x v="69"/>
    <x v="0"/>
  </r>
  <r>
    <x v="0"/>
    <s v="Brenton"/>
    <x v="5"/>
    <x v="1"/>
    <s v="Courtland Sutton"/>
    <x v="120"/>
    <x v="0"/>
  </r>
  <r>
    <x v="0"/>
    <s v="Brenton"/>
    <x v="5"/>
    <x v="1"/>
    <s v="Zay Flowers"/>
    <x v="81"/>
    <x v="0"/>
  </r>
  <r>
    <x v="0"/>
    <s v="Brenton"/>
    <x v="5"/>
    <x v="2"/>
    <s v="Javonte Williams"/>
    <x v="115"/>
    <x v="0"/>
  </r>
  <r>
    <x v="0"/>
    <s v="Brenton"/>
    <x v="5"/>
    <x v="2"/>
    <s v="Tank Bigsby"/>
    <x v="61"/>
    <x v="0"/>
  </r>
  <r>
    <x v="0"/>
    <s v="Brenton"/>
    <x v="5"/>
    <x v="3"/>
    <s v="Trey McBride"/>
    <x v="38"/>
    <x v="0"/>
  </r>
  <r>
    <x v="0"/>
    <s v="Brenton"/>
    <x v="5"/>
    <x v="5"/>
    <s v="Jake Elliott"/>
    <x v="8"/>
    <x v="0"/>
  </r>
  <r>
    <x v="0"/>
    <s v="Brenton"/>
    <x v="5"/>
    <x v="4"/>
    <s v="Atlanta"/>
    <x v="16"/>
    <x v="0"/>
  </r>
  <r>
    <x v="0"/>
    <s v="Brenton"/>
    <x v="5"/>
    <x v="6"/>
    <s v="Dontayvion Wicks"/>
    <x v="171"/>
    <x v="0"/>
  </r>
  <r>
    <x v="11"/>
    <s v="Cam"/>
    <x v="5"/>
    <x v="0"/>
    <s v="Joe Burrow"/>
    <x v="262"/>
    <x v="0"/>
  </r>
  <r>
    <x v="11"/>
    <s v="Cam"/>
    <x v="5"/>
    <x v="1"/>
    <s v="Josh Downs"/>
    <x v="101"/>
    <x v="0"/>
  </r>
  <r>
    <x v="11"/>
    <s v="Cam"/>
    <x v="5"/>
    <x v="1"/>
    <s v="Ja'Marr Chase"/>
    <x v="218"/>
    <x v="0"/>
  </r>
  <r>
    <x v="11"/>
    <s v="Cam"/>
    <x v="5"/>
    <x v="1"/>
    <s v="Wan'Dale Robinson"/>
    <x v="36"/>
    <x v="0"/>
  </r>
  <r>
    <x v="11"/>
    <s v="Cam"/>
    <x v="5"/>
    <x v="2"/>
    <s v="D'Andre Swift"/>
    <x v="263"/>
    <x v="0"/>
  </r>
  <r>
    <x v="11"/>
    <s v="Cam"/>
    <x v="5"/>
    <x v="2"/>
    <s v="JK Dobbins"/>
    <x v="264"/>
    <x v="0"/>
  </r>
  <r>
    <x v="11"/>
    <s v="Cam"/>
    <x v="5"/>
    <x v="3"/>
    <s v="George Kittle"/>
    <x v="265"/>
    <x v="0"/>
  </r>
  <r>
    <x v="11"/>
    <s v="Cam"/>
    <x v="5"/>
    <x v="5"/>
    <s v="Evan McPherson"/>
    <x v="103"/>
    <x v="0"/>
  </r>
  <r>
    <x v="11"/>
    <s v="Cam"/>
    <x v="5"/>
    <x v="4"/>
    <s v="Chicago"/>
    <x v="8"/>
    <x v="0"/>
  </r>
  <r>
    <x v="11"/>
    <s v="Cam"/>
    <x v="5"/>
    <x v="6"/>
    <s v="Brandon Aiyuk"/>
    <x v="15"/>
    <x v="0"/>
  </r>
  <r>
    <x v="2"/>
    <s v="Mike"/>
    <x v="5"/>
    <x v="0"/>
    <s v="Justin Fields"/>
    <x v="142"/>
    <x v="0"/>
  </r>
  <r>
    <x v="2"/>
    <s v="Mike"/>
    <x v="5"/>
    <x v="1"/>
    <s v="Tank Dell"/>
    <x v="228"/>
    <x v="0"/>
  </r>
  <r>
    <x v="2"/>
    <s v="Mike"/>
    <x v="5"/>
    <x v="1"/>
    <s v="Mike Evans"/>
    <x v="75"/>
    <x v="0"/>
  </r>
  <r>
    <x v="2"/>
    <s v="Mike"/>
    <x v="5"/>
    <x v="1"/>
    <s v="Ray-Ray McCloud"/>
    <x v="5"/>
    <x v="0"/>
  </r>
  <r>
    <x v="2"/>
    <s v="Mike"/>
    <x v="5"/>
    <x v="2"/>
    <s v="Derrick Henry"/>
    <x v="266"/>
    <x v="0"/>
  </r>
  <r>
    <x v="2"/>
    <s v="Mike"/>
    <x v="5"/>
    <x v="2"/>
    <s v="Chase Brown"/>
    <x v="267"/>
    <x v="0"/>
  </r>
  <r>
    <x v="2"/>
    <s v="Mike"/>
    <x v="5"/>
    <x v="3"/>
    <s v="Sam LaPorta"/>
    <x v="20"/>
    <x v="0"/>
  </r>
  <r>
    <x v="2"/>
    <s v="Mike"/>
    <x v="5"/>
    <x v="5"/>
    <s v="Younghoe Koo"/>
    <x v="122"/>
    <x v="0"/>
  </r>
  <r>
    <x v="2"/>
    <s v="Mike"/>
    <x v="5"/>
    <x v="4"/>
    <s v="Buffalo"/>
    <x v="103"/>
    <x v="0"/>
  </r>
  <r>
    <x v="2"/>
    <s v="Mike"/>
    <x v="5"/>
    <x v="8"/>
    <s v="Jake Ferguson"/>
    <x v="59"/>
    <x v="0"/>
  </r>
  <r>
    <x v="9"/>
    <s v="Tommy"/>
    <x v="5"/>
    <x v="0"/>
    <s v="Josh Allen"/>
    <x v="268"/>
    <x v="0"/>
  </r>
  <r>
    <x v="9"/>
    <s v="Tommy"/>
    <x v="5"/>
    <x v="1"/>
    <s v="Allen Lazard"/>
    <x v="10"/>
    <x v="0"/>
  </r>
  <r>
    <x v="9"/>
    <s v="Tommy"/>
    <x v="5"/>
    <x v="1"/>
    <s v="Romeo Doubs"/>
    <x v="194"/>
    <x v="0"/>
  </r>
  <r>
    <x v="9"/>
    <s v="Tommy"/>
    <x v="5"/>
    <x v="1"/>
    <s v="Michael Wilson"/>
    <x v="74"/>
    <x v="0"/>
  </r>
  <r>
    <x v="9"/>
    <s v="Tommy"/>
    <x v="5"/>
    <x v="2"/>
    <s v="Alexander Mattison"/>
    <x v="63"/>
    <x v="0"/>
  </r>
  <r>
    <x v="9"/>
    <s v="Tommy"/>
    <x v="5"/>
    <x v="2"/>
    <s v="Saquon Barkley"/>
    <x v="39"/>
    <x v="0"/>
  </r>
  <r>
    <x v="9"/>
    <s v="Tommy"/>
    <x v="5"/>
    <x v="3"/>
    <s v="Cade Otton"/>
    <x v="157"/>
    <x v="0"/>
  </r>
  <r>
    <x v="9"/>
    <s v="Tommy"/>
    <x v="5"/>
    <x v="5"/>
    <s v="Chase McLaughlin"/>
    <x v="24"/>
    <x v="0"/>
  </r>
  <r>
    <x v="9"/>
    <s v="Tommy"/>
    <x v="5"/>
    <x v="4"/>
    <s v="San Francisco"/>
    <x v="25"/>
    <x v="0"/>
  </r>
  <r>
    <x v="9"/>
    <s v="Tommy"/>
    <x v="5"/>
    <x v="6"/>
    <s v="DK Metcalf"/>
    <x v="149"/>
    <x v="0"/>
  </r>
  <r>
    <x v="1"/>
    <s v="Todd"/>
    <x v="5"/>
    <x v="0"/>
    <s v="Dak Prescott"/>
    <x v="269"/>
    <x v="0"/>
  </r>
  <r>
    <x v="1"/>
    <s v="Todd"/>
    <x v="5"/>
    <x v="1"/>
    <s v="Deebo Samuel"/>
    <x v="270"/>
    <x v="0"/>
  </r>
  <r>
    <x v="1"/>
    <s v="Todd"/>
    <x v="5"/>
    <x v="1"/>
    <s v="AJ Brown"/>
    <x v="19"/>
    <x v="0"/>
  </r>
  <r>
    <x v="1"/>
    <s v="Todd"/>
    <x v="5"/>
    <x v="1"/>
    <s v="Darnell Mooney"/>
    <x v="128"/>
    <x v="0"/>
  </r>
  <r>
    <x v="1"/>
    <s v="Todd"/>
    <x v="5"/>
    <x v="2"/>
    <s v="James Conner"/>
    <x v="163"/>
    <x v="0"/>
  </r>
  <r>
    <x v="1"/>
    <s v="Todd"/>
    <x v="5"/>
    <x v="2"/>
    <s v="Braelon Allen"/>
    <x v="271"/>
    <x v="0"/>
  </r>
  <r>
    <x v="1"/>
    <s v="Todd"/>
    <x v="5"/>
    <x v="3"/>
    <s v="Tucker Kraft"/>
    <x v="52"/>
    <x v="0"/>
  </r>
  <r>
    <x v="1"/>
    <s v="Todd"/>
    <x v="5"/>
    <x v="5"/>
    <s v="Chris Boswell"/>
    <x v="62"/>
    <x v="0"/>
  </r>
  <r>
    <x v="1"/>
    <s v="Todd"/>
    <x v="5"/>
    <x v="4"/>
    <s v="Green Bay"/>
    <x v="24"/>
    <x v="0"/>
  </r>
  <r>
    <x v="1"/>
    <s v="Todd"/>
    <x v="5"/>
    <x v="6"/>
    <s v="Brian Thomas Jr"/>
    <x v="91"/>
    <x v="0"/>
  </r>
  <r>
    <x v="8"/>
    <s v="Schulwolf"/>
    <x v="5"/>
    <x v="0"/>
    <s v="Jayden Daniels"/>
    <x v="272"/>
    <x v="0"/>
  </r>
  <r>
    <x v="8"/>
    <s v="Schulwolf"/>
    <x v="5"/>
    <x v="1"/>
    <s v="Terry McLaurin"/>
    <x v="265"/>
    <x v="0"/>
  </r>
  <r>
    <x v="8"/>
    <s v="Schulwolf"/>
    <x v="5"/>
    <x v="1"/>
    <s v="Chris Godwin"/>
    <x v="273"/>
    <x v="0"/>
  </r>
  <r>
    <x v="8"/>
    <s v="Schulwolf"/>
    <x v="5"/>
    <x v="1"/>
    <s v="DeVonta Smith"/>
    <x v="35"/>
    <x v="0"/>
  </r>
  <r>
    <x v="8"/>
    <s v="Schulwolf"/>
    <x v="5"/>
    <x v="2"/>
    <s v="Jahmyr Gibbs"/>
    <x v="21"/>
    <x v="0"/>
  </r>
  <r>
    <x v="8"/>
    <s v="Schulwolf"/>
    <x v="5"/>
    <x v="2"/>
    <s v="Ty Johnson"/>
    <x v="232"/>
    <x v="0"/>
  </r>
  <r>
    <x v="8"/>
    <s v="Schulwolf"/>
    <x v="5"/>
    <x v="3"/>
    <s v="Dalton Kincaid"/>
    <x v="3"/>
    <x v="0"/>
  </r>
  <r>
    <x v="8"/>
    <s v="Schulwolf"/>
    <x v="5"/>
    <x v="5"/>
    <s v="Brandon Aubrey"/>
    <x v="122"/>
    <x v="0"/>
  </r>
  <r>
    <x v="8"/>
    <s v="Schulwolf"/>
    <x v="5"/>
    <x v="4"/>
    <s v="Denver"/>
    <x v="139"/>
    <x v="0"/>
  </r>
  <r>
    <x v="8"/>
    <s v="Schulwolf"/>
    <x v="5"/>
    <x v="7"/>
    <s v="Zack Moss"/>
    <x v="146"/>
    <x v="0"/>
  </r>
  <r>
    <x v="4"/>
    <s v="Eli"/>
    <x v="5"/>
    <x v="0"/>
    <s v="Jalen Hurts"/>
    <x v="274"/>
    <x v="0"/>
  </r>
  <r>
    <x v="4"/>
    <s v="Eli"/>
    <x v="5"/>
    <x v="1"/>
    <s v="Jalen Tolbert"/>
    <x v="149"/>
    <x v="0"/>
  </r>
  <r>
    <x v="4"/>
    <s v="Eli"/>
    <x v="5"/>
    <x v="1"/>
    <s v="DJ Moore"/>
    <x v="16"/>
    <x v="0"/>
  </r>
  <r>
    <x v="4"/>
    <s v="Eli"/>
    <x v="5"/>
    <x v="1"/>
    <s v="Rome Odunze"/>
    <x v="103"/>
    <x v="0"/>
  </r>
  <r>
    <x v="4"/>
    <s v="Eli"/>
    <x v="5"/>
    <x v="2"/>
    <s v="Bijan Robinson"/>
    <x v="275"/>
    <x v="0"/>
  </r>
  <r>
    <x v="4"/>
    <s v="Eli"/>
    <x v="5"/>
    <x v="2"/>
    <s v="Jordan Mason"/>
    <x v="161"/>
    <x v="0"/>
  </r>
  <r>
    <x v="4"/>
    <s v="Eli"/>
    <x v="5"/>
    <x v="3"/>
    <s v="Kyle Pitts"/>
    <x v="157"/>
    <x v="0"/>
  </r>
  <r>
    <x v="4"/>
    <s v="Eli"/>
    <x v="5"/>
    <x v="5"/>
    <s v="Brayden Narveson"/>
    <x v="8"/>
    <x v="0"/>
  </r>
  <r>
    <x v="4"/>
    <s v="Eli"/>
    <x v="5"/>
    <x v="4"/>
    <s v="NYJ"/>
    <x v="78"/>
    <x v="0"/>
  </r>
  <r>
    <x v="4"/>
    <s v="Eli"/>
    <x v="5"/>
    <x v="7"/>
    <s v="Tyjae Spears"/>
    <x v="276"/>
    <x v="0"/>
  </r>
  <r>
    <x v="7"/>
    <s v="Jay"/>
    <x v="5"/>
    <x v="0"/>
    <s v="Lamar Jackson"/>
    <x v="277"/>
    <x v="0"/>
  </r>
  <r>
    <x v="7"/>
    <s v="Jay"/>
    <x v="5"/>
    <x v="1"/>
    <s v="Stefon Diggs"/>
    <x v="186"/>
    <x v="0"/>
  </r>
  <r>
    <x v="7"/>
    <s v="Jay"/>
    <x v="5"/>
    <x v="1"/>
    <s v="Amari Cooper"/>
    <x v="45"/>
    <x v="0"/>
  </r>
  <r>
    <x v="7"/>
    <s v="Jay"/>
    <x v="5"/>
    <x v="1"/>
    <s v="Jauan Jennings"/>
    <x v="91"/>
    <x v="0"/>
  </r>
  <r>
    <x v="7"/>
    <s v="Jay"/>
    <x v="5"/>
    <x v="2"/>
    <s v="Tony Pollard"/>
    <x v="190"/>
    <x v="0"/>
  </r>
  <r>
    <x v="7"/>
    <s v="Jay"/>
    <x v="5"/>
    <x v="2"/>
    <s v="Alvin Kamara"/>
    <x v="134"/>
    <x v="0"/>
  </r>
  <r>
    <x v="7"/>
    <s v="Jay"/>
    <x v="5"/>
    <x v="3"/>
    <s v="Evan Engram"/>
    <x v="145"/>
    <x v="0"/>
  </r>
  <r>
    <x v="7"/>
    <s v="Jay"/>
    <x v="5"/>
    <x v="5"/>
    <s v="Ka'imi Fairbairn"/>
    <x v="138"/>
    <x v="0"/>
  </r>
  <r>
    <x v="7"/>
    <s v="Jay"/>
    <x v="5"/>
    <x v="4"/>
    <s v="LA Chargers"/>
    <x v="25"/>
    <x v="0"/>
  </r>
  <r>
    <x v="7"/>
    <s v="Jay"/>
    <x v="5"/>
    <x v="7"/>
    <s v="Trey Sermon"/>
    <x v="278"/>
    <x v="0"/>
  </r>
  <r>
    <x v="6"/>
    <s v="Will"/>
    <x v="5"/>
    <x v="0"/>
    <s v="Geno Smith"/>
    <x v="279"/>
    <x v="0"/>
  </r>
  <r>
    <x v="6"/>
    <s v="Will"/>
    <x v="5"/>
    <x v="1"/>
    <s v="Drake London"/>
    <x v="64"/>
    <x v="0"/>
  </r>
  <r>
    <x v="6"/>
    <s v="Will"/>
    <x v="5"/>
    <x v="1"/>
    <s v="Amon-Ra St. Brown"/>
    <x v="20"/>
    <x v="0"/>
  </r>
  <r>
    <x v="6"/>
    <s v="Will"/>
    <x v="5"/>
    <x v="1"/>
    <s v="Jaxon Smith-Njigba"/>
    <x v="280"/>
    <x v="0"/>
  </r>
  <r>
    <x v="6"/>
    <s v="Will"/>
    <x v="5"/>
    <x v="2"/>
    <s v="Austin Ekeler"/>
    <x v="48"/>
    <x v="0"/>
  </r>
  <r>
    <x v="6"/>
    <s v="Will"/>
    <x v="5"/>
    <x v="2"/>
    <s v="Travis Etienne"/>
    <x v="281"/>
    <x v="0"/>
  </r>
  <r>
    <x v="6"/>
    <s v="Will"/>
    <x v="5"/>
    <x v="3"/>
    <s v="Isaiah Likely"/>
    <x v="206"/>
    <x v="0"/>
  </r>
  <r>
    <x v="6"/>
    <s v="Will"/>
    <x v="5"/>
    <x v="5"/>
    <s v="Jason Myers"/>
    <x v="25"/>
    <x v="0"/>
  </r>
  <r>
    <x v="6"/>
    <s v="Will"/>
    <x v="5"/>
    <x v="4"/>
    <s v="Houston"/>
    <x v="49"/>
    <x v="0"/>
  </r>
  <r>
    <x v="6"/>
    <s v="Will"/>
    <x v="5"/>
    <x v="6"/>
    <s v="Ladd McConkey"/>
    <x v="149"/>
    <x v="0"/>
  </r>
  <r>
    <x v="10"/>
    <s v="Brand"/>
    <x v="5"/>
    <x v="0"/>
    <s v="Kirk Cousins"/>
    <x v="224"/>
    <x v="0"/>
  </r>
  <r>
    <x v="10"/>
    <s v="Brand"/>
    <x v="5"/>
    <x v="1"/>
    <s v="Garrett Wilson"/>
    <x v="238"/>
    <x v="0"/>
  </r>
  <r>
    <x v="10"/>
    <s v="Brand"/>
    <x v="5"/>
    <x v="1"/>
    <s v="Jameson Williams"/>
    <x v="11"/>
    <x v="0"/>
  </r>
  <r>
    <x v="10"/>
    <s v="Brand"/>
    <x v="5"/>
    <x v="1"/>
    <s v="Michael Pittman"/>
    <x v="138"/>
    <x v="0"/>
  </r>
  <r>
    <x v="10"/>
    <s v="Brand"/>
    <x v="5"/>
    <x v="2"/>
    <s v="Breece Hall"/>
    <x v="212"/>
    <x v="0"/>
  </r>
  <r>
    <x v="10"/>
    <s v="Brand"/>
    <x v="5"/>
    <x v="2"/>
    <s v="Bucky Irving"/>
    <x v="217"/>
    <x v="0"/>
  </r>
  <r>
    <x v="10"/>
    <s v="Brand"/>
    <x v="5"/>
    <x v="3"/>
    <s v="Dallas Goedert"/>
    <x v="146"/>
    <x v="0"/>
  </r>
  <r>
    <x v="10"/>
    <s v="Brand"/>
    <x v="5"/>
    <x v="5"/>
    <s v="Cairo Santos"/>
    <x v="16"/>
    <x v="0"/>
  </r>
  <r>
    <x v="10"/>
    <s v="Brand"/>
    <x v="5"/>
    <x v="4"/>
    <s v="Indianapolis"/>
    <x v="16"/>
    <x v="0"/>
  </r>
  <r>
    <x v="10"/>
    <s v="Brand"/>
    <x v="5"/>
    <x v="7"/>
    <s v="Kenneth Walker"/>
    <x v="114"/>
    <x v="0"/>
  </r>
  <r>
    <x v="3"/>
    <s v="Kevin"/>
    <x v="5"/>
    <x v="0"/>
    <s v="CJ Stroud"/>
    <x v="282"/>
    <x v="0"/>
  </r>
  <r>
    <x v="3"/>
    <s v="Kevin"/>
    <x v="5"/>
    <x v="1"/>
    <s v="DeAndre Hopkins"/>
    <x v="223"/>
    <x v="0"/>
  </r>
  <r>
    <x v="3"/>
    <s v="Kevin"/>
    <x v="5"/>
    <x v="1"/>
    <s v="George Pickens"/>
    <x v="283"/>
    <x v="0"/>
  </r>
  <r>
    <x v="3"/>
    <s v="Kevin"/>
    <x v="5"/>
    <x v="1"/>
    <s v="Marvin Harrison Jr"/>
    <x v="146"/>
    <x v="0"/>
  </r>
  <r>
    <x v="3"/>
    <s v="Kevin"/>
    <x v="5"/>
    <x v="2"/>
    <s v="Najee Harris"/>
    <x v="270"/>
    <x v="0"/>
  </r>
  <r>
    <x v="3"/>
    <s v="Kevin"/>
    <x v="5"/>
    <x v="2"/>
    <s v="Chuba Hubbard"/>
    <x v="233"/>
    <x v="0"/>
  </r>
  <r>
    <x v="3"/>
    <s v="Kevin"/>
    <x v="5"/>
    <x v="3"/>
    <s v="Hunter Henry"/>
    <x v="187"/>
    <x v="0"/>
  </r>
  <r>
    <x v="3"/>
    <s v="Kevin"/>
    <x v="5"/>
    <x v="5"/>
    <s v="Justin Tucker"/>
    <x v="49"/>
    <x v="0"/>
  </r>
  <r>
    <x v="3"/>
    <s v="Kevin"/>
    <x v="5"/>
    <x v="4"/>
    <s v="Tampa Bay"/>
    <x v="101"/>
    <x v="0"/>
  </r>
  <r>
    <x v="3"/>
    <s v="Kevin"/>
    <x v="5"/>
    <x v="6"/>
    <s v="Chris Olave"/>
    <x v="284"/>
    <x v="0"/>
  </r>
  <r>
    <x v="5"/>
    <s v="Burnett/Jasjaap"/>
    <x v="5"/>
    <x v="0"/>
    <s v="Brock Purdy"/>
    <x v="165"/>
    <x v="0"/>
  </r>
  <r>
    <x v="5"/>
    <s v="Burnett/Jasjaap"/>
    <x v="5"/>
    <x v="1"/>
    <s v="CeeDee Lamb"/>
    <x v="229"/>
    <x v="0"/>
  </r>
  <r>
    <x v="5"/>
    <s v="Burnett/Jasjaap"/>
    <x v="5"/>
    <x v="1"/>
    <s v="Rashid Shaheed"/>
    <x v="280"/>
    <x v="0"/>
  </r>
  <r>
    <x v="5"/>
    <s v="Burnett/Jasjaap"/>
    <x v="5"/>
    <x v="1"/>
    <s v="Alec Pierce"/>
    <x v="146"/>
    <x v="0"/>
  </r>
  <r>
    <x v="5"/>
    <s v="Burnett/Jasjaap"/>
    <x v="5"/>
    <x v="2"/>
    <s v="Josh Jacobs"/>
    <x v="27"/>
    <x v="0"/>
  </r>
  <r>
    <x v="5"/>
    <s v="Burnett/Jasjaap"/>
    <x v="5"/>
    <x v="2"/>
    <s v="David Montgomery"/>
    <x v="285"/>
    <x v="0"/>
  </r>
  <r>
    <x v="5"/>
    <s v="Burnett/Jasjaap"/>
    <x v="5"/>
    <x v="3"/>
    <s v="Brock Bowers"/>
    <x v="187"/>
    <x v="0"/>
  </r>
  <r>
    <x v="5"/>
    <s v="Burnett/Jasjaap"/>
    <x v="5"/>
    <x v="5"/>
    <s v="Austin Seibert"/>
    <x v="63"/>
    <x v="0"/>
  </r>
  <r>
    <x v="5"/>
    <s v="Burnett/Jasjaap"/>
    <x v="5"/>
    <x v="4"/>
    <s v="Pittsburgh"/>
    <x v="100"/>
    <x v="0"/>
  </r>
  <r>
    <x v="5"/>
    <s v="Burnett/Jasjaap"/>
    <x v="5"/>
    <x v="7"/>
    <s v="Rico Dowdle"/>
    <x v="32"/>
    <x v="0"/>
  </r>
  <r>
    <x v="12"/>
    <m/>
    <x v="6"/>
    <x v="9"/>
    <m/>
    <x v="286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804">
  <r>
    <x v="0"/>
    <s v="Brenton"/>
    <x v="0"/>
    <x v="0"/>
    <s v="Trevor Lawrence"/>
    <n v="11.28"/>
    <n v="2024"/>
  </r>
  <r>
    <x v="0"/>
    <s v="Brenton"/>
    <x v="0"/>
    <x v="1"/>
    <s v="Jayden Reed"/>
    <n v="31.1"/>
    <n v="2024"/>
  </r>
  <r>
    <x v="0"/>
    <s v="Brenton"/>
    <x v="0"/>
    <x v="1"/>
    <s v="Tyreek Hill"/>
    <n v="22.5"/>
    <n v="2024"/>
  </r>
  <r>
    <x v="0"/>
    <s v="Brenton"/>
    <x v="0"/>
    <x v="1"/>
    <s v="Zay Flowers"/>
    <n v="8.1"/>
    <n v="2024"/>
  </r>
  <r>
    <x v="0"/>
    <s v="Brenton"/>
    <x v="0"/>
    <x v="2"/>
    <s v="Jerome Ford"/>
    <n v="15.9"/>
    <n v="2024"/>
  </r>
  <r>
    <x v="0"/>
    <s v="Brenton"/>
    <x v="0"/>
    <x v="2"/>
    <s v="Javonte Williams"/>
    <n v="2.8"/>
    <n v="2024"/>
  </r>
  <r>
    <x v="0"/>
    <s v="Brenton"/>
    <x v="0"/>
    <x v="3"/>
    <s v="Trey McBride"/>
    <n v="5.5"/>
    <n v="2024"/>
  </r>
  <r>
    <x v="0"/>
    <s v="Brenton"/>
    <x v="0"/>
    <x v="4"/>
    <s v="Cincinnati"/>
    <n v="3"/>
    <n v="2024"/>
  </r>
  <r>
    <x v="0"/>
    <s v="Brenton"/>
    <x v="0"/>
    <x v="5"/>
    <s v="Tyler Bass"/>
    <n v="10"/>
    <n v="2024"/>
  </r>
  <r>
    <x v="1"/>
    <s v="Todd"/>
    <x v="0"/>
    <x v="0"/>
    <s v="Dak Prescott"/>
    <n v="11.46"/>
    <n v="2024"/>
  </r>
  <r>
    <x v="1"/>
    <s v="Todd"/>
    <x v="0"/>
    <x v="1"/>
    <s v="AJ Brown"/>
    <n v="20.399999999999999"/>
    <n v="2024"/>
  </r>
  <r>
    <x v="1"/>
    <s v="Todd"/>
    <x v="0"/>
    <x v="1"/>
    <s v="Deebo Samuel"/>
    <n v="16.2"/>
    <n v="2024"/>
  </r>
  <r>
    <x v="1"/>
    <s v="Todd"/>
    <x v="0"/>
    <x v="1"/>
    <s v="Rashee Rice"/>
    <n v="13.8"/>
    <n v="2024"/>
  </r>
  <r>
    <x v="1"/>
    <s v="Todd"/>
    <x v="0"/>
    <x v="2"/>
    <s v="De'Von Achane"/>
    <n v="19.5"/>
    <n v="2024"/>
  </r>
  <r>
    <x v="1"/>
    <s v="Todd"/>
    <x v="0"/>
    <x v="2"/>
    <s v="James Conner"/>
    <n v="17.8"/>
    <n v="2024"/>
  </r>
  <r>
    <x v="1"/>
    <s v="Todd"/>
    <x v="0"/>
    <x v="3"/>
    <s v="Pat Freiermuth"/>
    <n v="4.7"/>
    <n v="2024"/>
  </r>
  <r>
    <x v="1"/>
    <s v="Todd"/>
    <x v="0"/>
    <x v="4"/>
    <s v="Seattle"/>
    <n v="10"/>
    <n v="2024"/>
  </r>
  <r>
    <x v="1"/>
    <s v="Todd"/>
    <x v="0"/>
    <x v="5"/>
    <s v="Younghoe Koo"/>
    <n v="4"/>
    <n v="2024"/>
  </r>
  <r>
    <x v="2"/>
    <s v="Mike"/>
    <x v="0"/>
    <x v="0"/>
    <s v="Patrick Mahomes"/>
    <n v="14.64"/>
    <n v="2024"/>
  </r>
  <r>
    <x v="2"/>
    <s v="Mike"/>
    <x v="0"/>
    <x v="1"/>
    <s v="Davante Adams"/>
    <n v="8.4"/>
    <n v="2024"/>
  </r>
  <r>
    <x v="2"/>
    <s v="Mike"/>
    <x v="0"/>
    <x v="1"/>
    <s v="Mike Evans"/>
    <n v="20.6"/>
    <n v="2024"/>
  </r>
  <r>
    <x v="2"/>
    <s v="Mike"/>
    <x v="0"/>
    <x v="1"/>
    <s v="Khalil Shakir"/>
    <n v="11.7"/>
    <n v="2024"/>
  </r>
  <r>
    <x v="2"/>
    <s v="Mike"/>
    <x v="0"/>
    <x v="2"/>
    <s v="Derrick Henry"/>
    <n v="10.6"/>
    <n v="2024"/>
  </r>
  <r>
    <x v="2"/>
    <s v="Mike"/>
    <x v="0"/>
    <x v="2"/>
    <s v="Tyjae Spears"/>
    <n v="5.2"/>
    <n v="2024"/>
  </r>
  <r>
    <x v="2"/>
    <s v="Mike"/>
    <x v="0"/>
    <x v="3"/>
    <s v="Sam LaPorta"/>
    <n v="6.5"/>
    <n v="2024"/>
  </r>
  <r>
    <x v="2"/>
    <s v="Mike"/>
    <x v="0"/>
    <x v="5"/>
    <s v="Jason Sanders"/>
    <n v="9"/>
    <n v="2024"/>
  </r>
  <r>
    <x v="2"/>
    <s v="Mike"/>
    <x v="0"/>
    <x v="4"/>
    <s v="Buffalo"/>
    <n v="6"/>
    <n v="2024"/>
  </r>
  <r>
    <x v="3"/>
    <s v="Kevin"/>
    <x v="0"/>
    <x v="0"/>
    <s v="CJ Stroud"/>
    <n v="18.66"/>
    <n v="2024"/>
  </r>
  <r>
    <x v="3"/>
    <s v="Kevin"/>
    <x v="0"/>
    <x v="1"/>
    <s v="George Pickens"/>
    <n v="10.5"/>
    <n v="2024"/>
  </r>
  <r>
    <x v="3"/>
    <s v="Kevin"/>
    <x v="0"/>
    <x v="1"/>
    <s v="Chris Olave"/>
    <n v="2.1"/>
    <n v="2024"/>
  </r>
  <r>
    <x v="3"/>
    <s v="Kevin"/>
    <x v="0"/>
    <x v="1"/>
    <s v="Marvin Harrison Jr"/>
    <n v="0.9"/>
    <n v="2024"/>
  </r>
  <r>
    <x v="3"/>
    <s v="Kevin"/>
    <x v="0"/>
    <x v="2"/>
    <s v="Joe Mixon"/>
    <n v="25.3"/>
    <n v="2024"/>
  </r>
  <r>
    <x v="3"/>
    <s v="Kevin"/>
    <x v="0"/>
    <x v="2"/>
    <s v="Isiah Pacheco"/>
    <n v="14.8"/>
    <n v="2024"/>
  </r>
  <r>
    <x v="3"/>
    <s v="Kevin"/>
    <x v="0"/>
    <x v="3"/>
    <s v="Hunter Henry"/>
    <n v="2.8"/>
    <n v="2024"/>
  </r>
  <r>
    <x v="3"/>
    <s v="Kevin"/>
    <x v="0"/>
    <x v="5"/>
    <s v="Justin Tucker"/>
    <n v="8"/>
    <n v="2024"/>
  </r>
  <r>
    <x v="3"/>
    <s v="Kevin"/>
    <x v="0"/>
    <x v="4"/>
    <s v="Minnesota"/>
    <n v="23"/>
    <n v="2024"/>
  </r>
  <r>
    <x v="4"/>
    <s v="Eli"/>
    <x v="0"/>
    <x v="0"/>
    <s v="Jalen Hurts"/>
    <n v="16.420000000000002"/>
    <n v="2024"/>
  </r>
  <r>
    <x v="4"/>
    <s v="Eli"/>
    <x v="0"/>
    <x v="1"/>
    <s v="Justin Jefferson"/>
    <n v="13.9"/>
    <n v="2024"/>
  </r>
  <r>
    <x v="4"/>
    <s v="Eli"/>
    <x v="0"/>
    <x v="1"/>
    <s v="DJ Moore"/>
    <n v="7.5"/>
    <n v="2024"/>
  </r>
  <r>
    <x v="4"/>
    <s v="Eli"/>
    <x v="0"/>
    <x v="1"/>
    <s v="DeMario Douglas"/>
    <n v="2.2000000000000002"/>
    <n v="2024"/>
  </r>
  <r>
    <x v="4"/>
    <s v="Eli"/>
    <x v="0"/>
    <x v="2"/>
    <s v="Bijan Robinson"/>
    <n v="13.6"/>
    <n v="2024"/>
  </r>
  <r>
    <x v="4"/>
    <s v="Eli"/>
    <x v="0"/>
    <x v="2"/>
    <s v="Jaylen Warren"/>
    <n v="3"/>
    <n v="2024"/>
  </r>
  <r>
    <x v="4"/>
    <s v="Eli"/>
    <x v="0"/>
    <x v="3"/>
    <s v="David Njoku"/>
    <n v="6.4"/>
    <n v="2024"/>
  </r>
  <r>
    <x v="4"/>
    <s v="Eli"/>
    <x v="0"/>
    <x v="5"/>
    <s v="Jake Moody"/>
    <n v="26"/>
    <n v="2024"/>
  </r>
  <r>
    <x v="4"/>
    <s v="Eli"/>
    <x v="0"/>
    <x v="4"/>
    <s v="NYJ"/>
    <n v="-2"/>
    <n v="2024"/>
  </r>
  <r>
    <x v="5"/>
    <s v="Burnett/Jasjaap"/>
    <x v="0"/>
    <x v="0"/>
    <s v="Brock Purdy"/>
    <n v="10.34"/>
    <n v="2024"/>
  </r>
  <r>
    <x v="5"/>
    <s v="Burnett/Jasjaap"/>
    <x v="0"/>
    <x v="1"/>
    <s v="CeeDee Lamb"/>
    <n v="11.1"/>
    <n v="2024"/>
  </r>
  <r>
    <x v="5"/>
    <s v="Burnett/Jasjaap"/>
    <x v="0"/>
    <x v="1"/>
    <s v="Jaylen Waddle"/>
    <n v="13.7"/>
    <n v="2024"/>
  </r>
  <r>
    <x v="5"/>
    <s v="Burnett/Jasjaap"/>
    <x v="0"/>
    <x v="1"/>
    <s v="Puka Nacua"/>
    <n v="6.2"/>
    <n v="2024"/>
  </r>
  <r>
    <x v="5"/>
    <s v="Burnett/Jasjaap"/>
    <x v="0"/>
    <x v="2"/>
    <s v="Josh Jacobs"/>
    <n v="11.4"/>
    <n v="2024"/>
  </r>
  <r>
    <x v="5"/>
    <s v="Burnett/Jasjaap"/>
    <x v="0"/>
    <x v="2"/>
    <s v="David Montgomery"/>
    <n v="15.8"/>
    <n v="2024"/>
  </r>
  <r>
    <x v="5"/>
    <s v="Burnett/Jasjaap"/>
    <x v="0"/>
    <x v="3"/>
    <s v="Brock Bowers"/>
    <n v="8.8000000000000007"/>
    <n v="2024"/>
  </r>
  <r>
    <x v="5"/>
    <s v="Burnett/Jasjaap"/>
    <x v="0"/>
    <x v="5"/>
    <s v="Jake Elliott"/>
    <n v="10"/>
    <n v="2024"/>
  </r>
  <r>
    <x v="5"/>
    <s v="Burnett/Jasjaap"/>
    <x v="0"/>
    <x v="4"/>
    <s v="Pittsburgh"/>
    <n v="13"/>
    <n v="2024"/>
  </r>
  <r>
    <x v="6"/>
    <s v="Will"/>
    <x v="0"/>
    <x v="0"/>
    <s v="Caleb Williams"/>
    <n v="7.22"/>
    <n v="2024"/>
  </r>
  <r>
    <x v="6"/>
    <s v="Will"/>
    <x v="0"/>
    <x v="1"/>
    <s v="Ladd McConkey"/>
    <n v="12.4"/>
    <n v="2024"/>
  </r>
  <r>
    <x v="6"/>
    <s v="Will"/>
    <x v="0"/>
    <x v="1"/>
    <s v="Amon-Ra St. Brown"/>
    <n v="2.8"/>
    <n v="2024"/>
  </r>
  <r>
    <x v="6"/>
    <s v="Will"/>
    <x v="0"/>
    <x v="1"/>
    <s v="Drake London"/>
    <n v="2.5"/>
    <n v="2024"/>
  </r>
  <r>
    <x v="6"/>
    <s v="Will"/>
    <x v="0"/>
    <x v="2"/>
    <s v="Travis Etienne"/>
    <n v="10.9"/>
    <n v="2024"/>
  </r>
  <r>
    <x v="6"/>
    <s v="Will"/>
    <x v="0"/>
    <x v="2"/>
    <s v="Zamir White"/>
    <n v="3.6"/>
    <n v="2024"/>
  </r>
  <r>
    <x v="6"/>
    <s v="Will"/>
    <x v="0"/>
    <x v="3"/>
    <s v="Kyle Pitts"/>
    <n v="10.1"/>
    <n v="2024"/>
  </r>
  <r>
    <x v="6"/>
    <s v="Will"/>
    <x v="0"/>
    <x v="5"/>
    <s v="Jason Myers"/>
    <n v="10"/>
    <n v="2024"/>
  </r>
  <r>
    <x v="6"/>
    <s v="Will"/>
    <x v="0"/>
    <x v="4"/>
    <s v="Houston"/>
    <n v="3"/>
    <n v="2024"/>
  </r>
  <r>
    <x v="7"/>
    <s v="Jay"/>
    <x v="0"/>
    <x v="0"/>
    <s v="Lamar Jackson"/>
    <n v="25.12"/>
    <n v="2024"/>
  </r>
  <r>
    <x v="7"/>
    <s v="Jay"/>
    <x v="0"/>
    <x v="1"/>
    <s v="Stefon Diggs"/>
    <n v="18.899999999999999"/>
    <n v="2024"/>
  </r>
  <r>
    <x v="7"/>
    <s v="Jay"/>
    <x v="0"/>
    <x v="1"/>
    <s v="Christian Kirk"/>
    <n v="3.5"/>
    <n v="2024"/>
  </r>
  <r>
    <x v="7"/>
    <s v="Jay"/>
    <x v="0"/>
    <x v="1"/>
    <s v="Amari Cooper"/>
    <n v="2.6"/>
    <n v="2024"/>
  </r>
  <r>
    <x v="7"/>
    <s v="Jay"/>
    <x v="0"/>
    <x v="2"/>
    <s v="Alvin Kamara"/>
    <n v="19.5"/>
    <n v="2024"/>
  </r>
  <r>
    <x v="7"/>
    <s v="Jay"/>
    <x v="0"/>
    <x v="2"/>
    <s v="Jonathan Taylor"/>
    <n v="10.8"/>
    <n v="2024"/>
  </r>
  <r>
    <x v="7"/>
    <s v="Jay"/>
    <x v="0"/>
    <x v="3"/>
    <s v="Mark Andrews"/>
    <n v="2.4"/>
    <n v="2024"/>
  </r>
  <r>
    <x v="7"/>
    <s v="Jay"/>
    <x v="0"/>
    <x v="5"/>
    <s v="Ka'imi Fairbairn"/>
    <n v="17"/>
    <n v="2024"/>
  </r>
  <r>
    <x v="7"/>
    <s v="Jay"/>
    <x v="0"/>
    <x v="4"/>
    <s v="LA Chargers"/>
    <n v="15"/>
    <n v="2024"/>
  </r>
  <r>
    <x v="8"/>
    <s v="Schulwolf"/>
    <x v="0"/>
    <x v="0"/>
    <s v="Jordan Love"/>
    <n v="16.399999999999999"/>
    <n v="2024"/>
  </r>
  <r>
    <x v="8"/>
    <s v="Schulwolf"/>
    <x v="0"/>
    <x v="1"/>
    <s v="Cooper Kupp"/>
    <n v="25"/>
    <n v="2024"/>
  </r>
  <r>
    <x v="8"/>
    <s v="Schulwolf"/>
    <x v="0"/>
    <x v="1"/>
    <s v="DeVonta Smith"/>
    <n v="11.9"/>
    <n v="2024"/>
  </r>
  <r>
    <x v="8"/>
    <s v="Schulwolf"/>
    <x v="0"/>
    <x v="1"/>
    <s v="Chris Godwin"/>
    <n v="18.3"/>
    <n v="2024"/>
  </r>
  <r>
    <x v="8"/>
    <s v="Schulwolf"/>
    <x v="0"/>
    <x v="2"/>
    <s v="Jahmyr Gibbs"/>
    <n v="15.4"/>
    <n v="2024"/>
  </r>
  <r>
    <x v="8"/>
    <s v="Schulwolf"/>
    <x v="0"/>
    <x v="2"/>
    <s v="James Cook"/>
    <n v="11.8"/>
    <n v="2024"/>
  </r>
  <r>
    <x v="8"/>
    <s v="Schulwolf"/>
    <x v="0"/>
    <x v="3"/>
    <s v="Dalton Kincaid"/>
    <n v="1.6"/>
    <n v="2024"/>
  </r>
  <r>
    <x v="8"/>
    <s v="Schulwolf"/>
    <x v="0"/>
    <x v="5"/>
    <s v="Brandon Aubrey"/>
    <n v="21"/>
    <n v="2024"/>
  </r>
  <r>
    <x v="8"/>
    <s v="Schulwolf"/>
    <x v="0"/>
    <x v="4"/>
    <s v="Dallas"/>
    <n v="18"/>
    <n v="2024"/>
  </r>
  <r>
    <x v="9"/>
    <s v="Tommy"/>
    <x v="0"/>
    <x v="0"/>
    <s v="Josh Allen"/>
    <n v="31.18"/>
    <n v="2024"/>
  </r>
  <r>
    <x v="9"/>
    <s v="Tommy"/>
    <x v="0"/>
    <x v="1"/>
    <s v="Malik Nabers"/>
    <n v="9.1"/>
    <n v="2024"/>
  </r>
  <r>
    <x v="9"/>
    <s v="Tommy"/>
    <x v="0"/>
    <x v="1"/>
    <s v="DK Metcalf"/>
    <n v="4.4000000000000004"/>
    <n v="2024"/>
  </r>
  <r>
    <x v="9"/>
    <s v="Tommy"/>
    <x v="0"/>
    <x v="1"/>
    <s v="Romeo Doubs"/>
    <n v="7"/>
    <n v="2024"/>
  </r>
  <r>
    <x v="9"/>
    <s v="Tommy"/>
    <x v="0"/>
    <x v="2"/>
    <s v="Saquon Barkley"/>
    <n v="32.200000000000003"/>
    <n v="2024"/>
  </r>
  <r>
    <x v="9"/>
    <s v="Tommy"/>
    <x v="0"/>
    <x v="2"/>
    <s v="Rachaad White"/>
    <n v="13.6"/>
    <n v="2024"/>
  </r>
  <r>
    <x v="9"/>
    <s v="Tommy"/>
    <x v="0"/>
    <x v="3"/>
    <s v="Evan Engram"/>
    <n v="1"/>
    <n v="2024"/>
  </r>
  <r>
    <x v="9"/>
    <s v="Tommy"/>
    <x v="0"/>
    <x v="5"/>
    <s v="Harrison Butker"/>
    <n v="9"/>
    <n v="2024"/>
  </r>
  <r>
    <x v="9"/>
    <s v="Tommy"/>
    <x v="0"/>
    <x v="4"/>
    <s v="San Francisco"/>
    <n v="7"/>
    <n v="2024"/>
  </r>
  <r>
    <x v="10"/>
    <s v="Brand"/>
    <x v="0"/>
    <x v="0"/>
    <s v="Anthony Richardson"/>
    <n v="26.08"/>
    <n v="2024"/>
  </r>
  <r>
    <x v="10"/>
    <s v="Brand"/>
    <x v="0"/>
    <x v="1"/>
    <s v="Jameson Williams"/>
    <n v="21.9"/>
    <n v="2024"/>
  </r>
  <r>
    <x v="10"/>
    <s v="Brand"/>
    <x v="0"/>
    <x v="1"/>
    <s v="Christian Watson"/>
    <n v="8.8000000000000007"/>
    <n v="2024"/>
  </r>
  <r>
    <x v="10"/>
    <s v="Brand"/>
    <x v="0"/>
    <x v="1"/>
    <s v="Garrett Wilson"/>
    <n v="9"/>
    <n v="2024"/>
  </r>
  <r>
    <x v="10"/>
    <s v="Brand"/>
    <x v="0"/>
    <x v="2"/>
    <s v="Kenneth Walker"/>
    <n v="17.899999999999999"/>
    <n v="2024"/>
  </r>
  <r>
    <x v="10"/>
    <s v="Brand"/>
    <x v="0"/>
    <x v="2"/>
    <s v="Breece Hall"/>
    <n v="15.8"/>
    <n v="2024"/>
  </r>
  <r>
    <x v="10"/>
    <s v="Brand"/>
    <x v="0"/>
    <x v="3"/>
    <s v="Dallas Goedert"/>
    <n v="5.0999999999999996"/>
    <n v="2024"/>
  </r>
  <r>
    <x v="10"/>
    <s v="Brand"/>
    <x v="0"/>
    <x v="5"/>
    <s v="Cairo Santos"/>
    <n v="13"/>
    <n v="2024"/>
  </r>
  <r>
    <x v="10"/>
    <s v="Brand"/>
    <x v="0"/>
    <x v="4"/>
    <s v="New Orleans"/>
    <n v="17"/>
    <n v="2024"/>
  </r>
  <r>
    <x v="11"/>
    <s v="Cam"/>
    <x v="0"/>
    <x v="0"/>
    <s v="Joe Burrow"/>
    <n v="8.06"/>
    <n v="2024"/>
  </r>
  <r>
    <x v="11"/>
    <s v="Cam"/>
    <x v="0"/>
    <x v="1"/>
    <s v="Ja'Marr Chase"/>
    <n v="9.1999999999999993"/>
    <n v="2024"/>
  </r>
  <r>
    <x v="11"/>
    <s v="Cam"/>
    <x v="0"/>
    <x v="1"/>
    <s v="Nico Collins"/>
    <n v="14.7"/>
    <n v="2024"/>
  </r>
  <r>
    <x v="11"/>
    <s v="Cam"/>
    <x v="0"/>
    <x v="1"/>
    <s v="Andrei Iosivas"/>
    <n v="4.0999999999999996"/>
    <n v="2024"/>
  </r>
  <r>
    <x v="11"/>
    <s v="Cam"/>
    <x v="0"/>
    <x v="2"/>
    <s v="Rhamondre Stevenson"/>
    <n v="20.100000000000001"/>
    <n v="2024"/>
  </r>
  <r>
    <x v="11"/>
    <s v="Cam"/>
    <x v="0"/>
    <x v="2"/>
    <s v="Aaron Jones"/>
    <n v="17.899999999999999"/>
    <n v="2024"/>
  </r>
  <r>
    <x v="11"/>
    <s v="Cam"/>
    <x v="0"/>
    <x v="3"/>
    <s v="George Kittle"/>
    <n v="6"/>
    <n v="2024"/>
  </r>
  <r>
    <x v="11"/>
    <s v="Cam"/>
    <x v="0"/>
    <x v="5"/>
    <s v="Evan McPherson"/>
    <n v="6"/>
    <n v="2024"/>
  </r>
  <r>
    <x v="11"/>
    <s v="Cam"/>
    <x v="0"/>
    <x v="4"/>
    <s v="Atlanta"/>
    <n v="4"/>
    <n v="2024"/>
  </r>
  <r>
    <x v="0"/>
    <s v="Brenton"/>
    <x v="1"/>
    <x v="0"/>
    <s v="Baker Mayfield"/>
    <n v="18.8"/>
    <n v="2024"/>
  </r>
  <r>
    <x v="0"/>
    <s v="Brenton"/>
    <x v="1"/>
    <x v="1"/>
    <s v="Tyreek Hill"/>
    <n v="5.0999999999999996"/>
    <n v="2024"/>
  </r>
  <r>
    <x v="0"/>
    <s v="Brenton"/>
    <x v="1"/>
    <x v="1"/>
    <s v="Zay Flowers"/>
    <n v="18.600000000000001"/>
    <n v="2024"/>
  </r>
  <r>
    <x v="0"/>
    <s v="Brenton"/>
    <x v="1"/>
    <x v="1"/>
    <s v="Jayden Reed"/>
    <n v="5.6"/>
    <n v="2024"/>
  </r>
  <r>
    <x v="0"/>
    <s v="Brenton"/>
    <x v="1"/>
    <x v="2"/>
    <s v="Ezekiel Elliott"/>
    <n v="4.2"/>
    <n v="2024"/>
  </r>
  <r>
    <x v="0"/>
    <s v="Brenton"/>
    <x v="1"/>
    <x v="2"/>
    <s v="Jerome Ford"/>
    <n v="6.9"/>
    <n v="2024"/>
  </r>
  <r>
    <x v="0"/>
    <s v="Brenton"/>
    <x v="1"/>
    <x v="3"/>
    <s v="Trey McBride"/>
    <n v="15.7"/>
    <n v="2024"/>
  </r>
  <r>
    <x v="0"/>
    <s v="Brenton"/>
    <x v="1"/>
    <x v="4"/>
    <s v="Tyler Bass"/>
    <n v="7"/>
    <n v="2024"/>
  </r>
  <r>
    <x v="0"/>
    <s v="Brenton"/>
    <x v="1"/>
    <x v="5"/>
    <s v="Jacksonville"/>
    <n v="4"/>
    <n v="2024"/>
  </r>
  <r>
    <x v="2"/>
    <s v="Mike"/>
    <x v="1"/>
    <x v="0"/>
    <s v="Patrick Mahomes"/>
    <n v="12.94"/>
    <n v="2024"/>
  </r>
  <r>
    <x v="2"/>
    <s v="Mike"/>
    <x v="1"/>
    <x v="1"/>
    <s v="Davante Adams"/>
    <n v="21.5"/>
    <n v="2024"/>
  </r>
  <r>
    <x v="2"/>
    <s v="Mike"/>
    <x v="1"/>
    <x v="1"/>
    <s v="Mike Evans"/>
    <n v="5.7"/>
    <n v="2024"/>
  </r>
  <r>
    <x v="2"/>
    <s v="Mike"/>
    <x v="1"/>
    <x v="1"/>
    <s v="Khalil Shakir"/>
    <n v="8.1"/>
    <n v="2024"/>
  </r>
  <r>
    <x v="2"/>
    <s v="Mike"/>
    <x v="1"/>
    <x v="2"/>
    <s v="Derrick Henry"/>
    <n v="16.100000000000001"/>
    <n v="2024"/>
  </r>
  <r>
    <x v="2"/>
    <s v="Mike"/>
    <x v="1"/>
    <x v="2"/>
    <s v="Tyjae Spears"/>
    <n v="4.0999999999999996"/>
    <n v="2024"/>
  </r>
  <r>
    <x v="2"/>
    <s v="Mike"/>
    <x v="1"/>
    <x v="3"/>
    <s v="Sam LaPorta"/>
    <n v="2.2999999999999998"/>
    <n v="2024"/>
  </r>
  <r>
    <x v="2"/>
    <s v="Mike"/>
    <x v="1"/>
    <x v="4"/>
    <s v="Buffalo"/>
    <n v="17"/>
    <n v="2024"/>
  </r>
  <r>
    <x v="2"/>
    <s v="Mike"/>
    <x v="1"/>
    <x v="5"/>
    <s v="Jason Sanders"/>
    <n v="4"/>
    <n v="2024"/>
  </r>
  <r>
    <x v="1"/>
    <s v="Todd"/>
    <x v="1"/>
    <x v="0"/>
    <s v="Dak Prescott"/>
    <n v="12.92"/>
    <n v="2024"/>
  </r>
  <r>
    <x v="1"/>
    <s v="Todd"/>
    <x v="1"/>
    <x v="1"/>
    <s v="Deebo Samuel"/>
    <n v="14"/>
    <n v="2024"/>
  </r>
  <r>
    <x v="1"/>
    <s v="Todd"/>
    <x v="1"/>
    <x v="1"/>
    <s v="Rashee Rice"/>
    <n v="16"/>
    <n v="2024"/>
  </r>
  <r>
    <x v="1"/>
    <s v="Todd"/>
    <x v="1"/>
    <x v="1"/>
    <s v="Calvin Ridley"/>
    <n v="22.7"/>
    <n v="2024"/>
  </r>
  <r>
    <x v="1"/>
    <s v="Todd"/>
    <x v="1"/>
    <x v="2"/>
    <s v="De'Von Achane"/>
    <n v="26"/>
    <n v="2024"/>
  </r>
  <r>
    <x v="1"/>
    <s v="Todd"/>
    <x v="1"/>
    <x v="2"/>
    <s v="James Conner"/>
    <n v="18.899999999999999"/>
    <n v="2024"/>
  </r>
  <r>
    <x v="1"/>
    <s v="Todd"/>
    <x v="1"/>
    <x v="3"/>
    <s v="Kyle Pitts"/>
    <n v="3.5"/>
    <n v="2024"/>
  </r>
  <r>
    <x v="1"/>
    <s v="Todd"/>
    <x v="1"/>
    <x v="4"/>
    <s v="Seattle"/>
    <n v="5"/>
    <n v="2024"/>
  </r>
  <r>
    <x v="1"/>
    <s v="Todd"/>
    <x v="1"/>
    <x v="5"/>
    <s v="Chris Boswell"/>
    <n v="9"/>
    <n v="2024"/>
  </r>
  <r>
    <x v="7"/>
    <s v="Jay"/>
    <x v="1"/>
    <x v="0"/>
    <s v="Lamar Jackson"/>
    <n v="16.38"/>
    <n v="2024"/>
  </r>
  <r>
    <x v="7"/>
    <s v="Jay"/>
    <x v="1"/>
    <x v="1"/>
    <s v="Stefon Diggs"/>
    <n v="5.7"/>
    <n v="2024"/>
  </r>
  <r>
    <x v="7"/>
    <s v="Jay"/>
    <x v="1"/>
    <x v="1"/>
    <s v="Amari Cooper"/>
    <n v="2.6"/>
    <n v="2024"/>
  </r>
  <r>
    <x v="7"/>
    <s v="Jay"/>
    <x v="1"/>
    <x v="1"/>
    <s v="Christian Kirk"/>
    <n v="0.4"/>
    <n v="2024"/>
  </r>
  <r>
    <x v="7"/>
    <s v="Jay"/>
    <x v="1"/>
    <x v="2"/>
    <s v="Alvin Kamara"/>
    <n v="43"/>
    <n v="2024"/>
  </r>
  <r>
    <x v="7"/>
    <s v="Jay"/>
    <x v="1"/>
    <x v="2"/>
    <s v="Jonathan Taylor"/>
    <n v="14.5"/>
    <n v="2024"/>
  </r>
  <r>
    <x v="7"/>
    <s v="Jay"/>
    <x v="1"/>
    <x v="3"/>
    <s v="Mark Andrews"/>
    <n v="7.1"/>
    <n v="2024"/>
  </r>
  <r>
    <x v="7"/>
    <s v="Jay"/>
    <x v="1"/>
    <x v="5"/>
    <s v="Ka'imi Fairbairn"/>
    <n v="20"/>
    <n v="2024"/>
  </r>
  <r>
    <x v="7"/>
    <s v="Jay"/>
    <x v="1"/>
    <x v="4"/>
    <s v="LA Chargers"/>
    <n v="14"/>
    <n v="2024"/>
  </r>
  <r>
    <x v="4"/>
    <s v="Eli"/>
    <x v="1"/>
    <x v="0"/>
    <s v="Jalen Hurts"/>
    <n v="23.82"/>
    <n v="2024"/>
  </r>
  <r>
    <x v="4"/>
    <s v="Eli"/>
    <x v="1"/>
    <x v="1"/>
    <s v="Justin Jefferson"/>
    <n v="21.3"/>
    <n v="2024"/>
  </r>
  <r>
    <x v="4"/>
    <s v="Eli"/>
    <x v="1"/>
    <x v="1"/>
    <s v="DJ Moore"/>
    <n v="8.3000000000000007"/>
    <n v="2024"/>
  </r>
  <r>
    <x v="4"/>
    <s v="Eli"/>
    <x v="1"/>
    <x v="1"/>
    <s v="Demarcus Robinson"/>
    <n v="6"/>
    <n v="2024"/>
  </r>
  <r>
    <x v="4"/>
    <s v="Eli"/>
    <x v="1"/>
    <x v="2"/>
    <s v="Bijan Robinson"/>
    <n v="14.2"/>
    <n v="2024"/>
  </r>
  <r>
    <x v="4"/>
    <s v="Eli"/>
    <x v="1"/>
    <x v="2"/>
    <s v="Jordan Mason"/>
    <n v="16.899999999999999"/>
    <n v="2024"/>
  </r>
  <r>
    <x v="4"/>
    <s v="Eli"/>
    <x v="1"/>
    <x v="3"/>
    <s v="Dalton Schultz"/>
    <n v="3.1"/>
    <n v="2024"/>
  </r>
  <r>
    <x v="4"/>
    <s v="Eli"/>
    <x v="1"/>
    <x v="5"/>
    <s v="Jake Moody"/>
    <n v="5"/>
    <n v="2024"/>
  </r>
  <r>
    <x v="4"/>
    <s v="Eli"/>
    <x v="1"/>
    <x v="4"/>
    <s v="NYJ"/>
    <n v="10"/>
    <n v="2024"/>
  </r>
  <r>
    <x v="6"/>
    <s v="Will"/>
    <x v="1"/>
    <x v="0"/>
    <s v="Geno Smith"/>
    <n v="17.88"/>
    <n v="2024"/>
  </r>
  <r>
    <x v="6"/>
    <s v="Will"/>
    <x v="1"/>
    <x v="1"/>
    <s v="Amon-Ra St. Brown"/>
    <n v="17.399999999999999"/>
    <n v="2024"/>
  </r>
  <r>
    <x v="6"/>
    <s v="Will"/>
    <x v="1"/>
    <x v="1"/>
    <s v="Drake London"/>
    <n v="14.4"/>
    <n v="2024"/>
  </r>
  <r>
    <x v="6"/>
    <s v="Will"/>
    <x v="1"/>
    <x v="1"/>
    <s v="Jaxon Smith-Njigba"/>
    <n v="17.7"/>
    <n v="2024"/>
  </r>
  <r>
    <x v="6"/>
    <s v="Will"/>
    <x v="1"/>
    <x v="2"/>
    <s v="Travis Etienne"/>
    <n v="13.3"/>
    <n v="2024"/>
  </r>
  <r>
    <x v="6"/>
    <s v="Will"/>
    <x v="1"/>
    <x v="2"/>
    <s v="Zach Charbonet"/>
    <n v="15.4"/>
    <n v="2024"/>
  </r>
  <r>
    <x v="6"/>
    <s v="Will"/>
    <x v="1"/>
    <x v="3"/>
    <s v="Travis Kelce"/>
    <n v="1.1000000000000001"/>
    <n v="2024"/>
  </r>
  <r>
    <x v="6"/>
    <s v="Will"/>
    <x v="1"/>
    <x v="5"/>
    <s v="Jason Myers"/>
    <n v="12"/>
    <n v="2024"/>
  </r>
  <r>
    <x v="6"/>
    <s v="Will"/>
    <x v="1"/>
    <x v="4"/>
    <s v="Houston"/>
    <n v="16"/>
    <n v="2024"/>
  </r>
  <r>
    <x v="8"/>
    <s v="Schulwolf"/>
    <x v="1"/>
    <x v="0"/>
    <s v="Jayden Daniels"/>
    <n v="13.44"/>
    <n v="2024"/>
  </r>
  <r>
    <x v="8"/>
    <s v="Schulwolf"/>
    <x v="1"/>
    <x v="1"/>
    <s v="Chris Godwin"/>
    <n v="21.2"/>
    <n v="2024"/>
  </r>
  <r>
    <x v="8"/>
    <s v="Schulwolf"/>
    <x v="1"/>
    <x v="1"/>
    <s v="DeVonta Smith"/>
    <n v="17.100000000000001"/>
    <n v="2024"/>
  </r>
  <r>
    <x v="8"/>
    <s v="Schulwolf"/>
    <x v="1"/>
    <x v="1"/>
    <s v="Cooper Kupp"/>
    <n v="5.7"/>
    <n v="2024"/>
  </r>
  <r>
    <x v="8"/>
    <s v="Schulwolf"/>
    <x v="1"/>
    <x v="2"/>
    <s v="James Cook"/>
    <n v="28"/>
    <n v="2024"/>
  </r>
  <r>
    <x v="8"/>
    <s v="Schulwolf"/>
    <x v="1"/>
    <x v="2"/>
    <s v="Jahmyr Gibbs"/>
    <n v="14.1"/>
    <n v="2024"/>
  </r>
  <r>
    <x v="8"/>
    <s v="Schulwolf"/>
    <x v="1"/>
    <x v="3"/>
    <s v="Dalton Kincaid"/>
    <n v="5.3"/>
    <n v="2024"/>
  </r>
  <r>
    <x v="8"/>
    <s v="Schulwolf"/>
    <x v="1"/>
    <x v="5"/>
    <s v="Brandon Aubrey"/>
    <n v="17"/>
    <n v="2024"/>
  </r>
  <r>
    <x v="8"/>
    <s v="Schulwolf"/>
    <x v="1"/>
    <x v="4"/>
    <s v="Dallas"/>
    <n v="-3"/>
    <n v="2024"/>
  </r>
  <r>
    <x v="3"/>
    <s v="Kevin"/>
    <x v="1"/>
    <x v="0"/>
    <s v="CJ Stroud"/>
    <n v="14.3"/>
    <n v="2024"/>
  </r>
  <r>
    <x v="3"/>
    <s v="Kevin"/>
    <x v="1"/>
    <x v="1"/>
    <s v="Marvin Harrison Jr"/>
    <n v="27"/>
    <n v="2024"/>
  </r>
  <r>
    <x v="3"/>
    <s v="Kevin"/>
    <x v="1"/>
    <x v="1"/>
    <s v="Chris Olave"/>
    <n v="10.8"/>
    <n v="2024"/>
  </r>
  <r>
    <x v="3"/>
    <s v="Kevin"/>
    <x v="1"/>
    <x v="1"/>
    <s v="George Pickens"/>
    <n v="3.9"/>
    <n v="2024"/>
  </r>
  <r>
    <x v="3"/>
    <s v="Kevin"/>
    <x v="1"/>
    <x v="2"/>
    <s v="Isiah Pacheco"/>
    <n v="13.6"/>
    <n v="2024"/>
  </r>
  <r>
    <x v="3"/>
    <s v="Kevin"/>
    <x v="1"/>
    <x v="2"/>
    <s v="Najee Harris"/>
    <n v="7.9"/>
    <n v="2024"/>
  </r>
  <r>
    <x v="3"/>
    <s v="Kevin"/>
    <x v="1"/>
    <x v="3"/>
    <s v="Hunter Henry"/>
    <n v="14.9"/>
    <n v="2024"/>
  </r>
  <r>
    <x v="3"/>
    <s v="Kevin"/>
    <x v="1"/>
    <x v="5"/>
    <s v="Justin Tucker"/>
    <n v="13"/>
    <n v="2024"/>
  </r>
  <r>
    <x v="3"/>
    <s v="Kevin"/>
    <x v="1"/>
    <x v="4"/>
    <s v="Cleveland"/>
    <n v="9"/>
    <n v="2024"/>
  </r>
  <r>
    <x v="10"/>
    <s v="Brand"/>
    <x v="1"/>
    <x v="0"/>
    <s v="Anthony Richardson"/>
    <n v="9.86"/>
    <n v="2024"/>
  </r>
  <r>
    <x v="10"/>
    <s v="Brand"/>
    <x v="1"/>
    <x v="1"/>
    <s v="Jameson Williams"/>
    <n v="11.9"/>
    <n v="2024"/>
  </r>
  <r>
    <x v="10"/>
    <s v="Brand"/>
    <x v="1"/>
    <x v="1"/>
    <s v="Garrett Wilson"/>
    <n v="8.1999999999999993"/>
    <n v="2024"/>
  </r>
  <r>
    <x v="10"/>
    <s v="Brand"/>
    <x v="1"/>
    <x v="1"/>
    <s v="Michael Pittman"/>
    <n v="3.6"/>
    <n v="2024"/>
  </r>
  <r>
    <x v="10"/>
    <s v="Brand"/>
    <x v="1"/>
    <x v="2"/>
    <s v="Breece Hall"/>
    <n v="20.9"/>
    <n v="2024"/>
  </r>
  <r>
    <x v="10"/>
    <s v="Brand"/>
    <x v="1"/>
    <x v="2"/>
    <s v="Bucky Irving"/>
    <n v="2.2000000000000002"/>
    <n v="2024"/>
  </r>
  <r>
    <x v="10"/>
    <s v="Brand"/>
    <x v="1"/>
    <x v="3"/>
    <s v="Dallas Goedert"/>
    <n v="5.3"/>
    <n v="2024"/>
  </r>
  <r>
    <x v="10"/>
    <s v="Brand"/>
    <x v="1"/>
    <x v="5"/>
    <s v="Cairo Santos"/>
    <n v="11"/>
    <n v="2024"/>
  </r>
  <r>
    <x v="10"/>
    <s v="Brand"/>
    <x v="1"/>
    <x v="4"/>
    <s v="Indianapolis"/>
    <n v="2"/>
    <n v="2024"/>
  </r>
  <r>
    <x v="9"/>
    <s v="Tommy"/>
    <x v="1"/>
    <x v="0"/>
    <s v="Josh Allen"/>
    <n v="9.76"/>
    <n v="2024"/>
  </r>
  <r>
    <x v="9"/>
    <s v="Tommy"/>
    <x v="1"/>
    <x v="1"/>
    <s v="DK Metcalf"/>
    <n v="23.9"/>
    <n v="2024"/>
  </r>
  <r>
    <x v="9"/>
    <s v="Tommy"/>
    <x v="1"/>
    <x v="1"/>
    <s v="Malik Nabers"/>
    <n v="23.7"/>
    <n v="2024"/>
  </r>
  <r>
    <x v="9"/>
    <s v="Tommy"/>
    <x v="1"/>
    <x v="1"/>
    <s v="Xavier Worthy"/>
    <n v="3.2"/>
    <n v="2024"/>
  </r>
  <r>
    <x v="9"/>
    <s v="Tommy"/>
    <x v="1"/>
    <x v="2"/>
    <s v="Saquon Barkley"/>
    <n v="15.6"/>
    <n v="2024"/>
  </r>
  <r>
    <x v="9"/>
    <s v="Tommy"/>
    <x v="1"/>
    <x v="2"/>
    <s v="Kyren Williams"/>
    <n v="13.2"/>
    <n v="2024"/>
  </r>
  <r>
    <x v="9"/>
    <s v="Tommy"/>
    <x v="1"/>
    <x v="3"/>
    <s v="Evan Engram"/>
    <n v="0"/>
    <n v="2024"/>
  </r>
  <r>
    <x v="9"/>
    <s v="Tommy"/>
    <x v="1"/>
    <x v="5"/>
    <s v="Harrison Butker"/>
    <n v="10"/>
    <n v="2024"/>
  </r>
  <r>
    <x v="9"/>
    <s v="Tommy"/>
    <x v="1"/>
    <x v="4"/>
    <s v="San Francisco"/>
    <n v="4"/>
    <n v="2024"/>
  </r>
  <r>
    <x v="11"/>
    <s v="Cam"/>
    <x v="1"/>
    <x v="0"/>
    <s v="Kyler Murray"/>
    <n v="28.54"/>
    <n v="2024"/>
  </r>
  <r>
    <x v="11"/>
    <s v="Cam"/>
    <x v="1"/>
    <x v="1"/>
    <s v="Nico Collins"/>
    <n v="23.5"/>
    <n v="2024"/>
  </r>
  <r>
    <x v="11"/>
    <s v="Cam"/>
    <x v="1"/>
    <x v="1"/>
    <s v="Ja'Marr Chase"/>
    <n v="5.5"/>
    <n v="2024"/>
  </r>
  <r>
    <x v="11"/>
    <s v="Cam"/>
    <x v="1"/>
    <x v="1"/>
    <s v="Brandon Aiyuk"/>
    <n v="6.3"/>
    <n v="2024"/>
  </r>
  <r>
    <x v="11"/>
    <s v="Cam"/>
    <x v="1"/>
    <x v="2"/>
    <s v="Rhamondre Stevenson"/>
    <n v="16"/>
    <n v="2024"/>
  </r>
  <r>
    <x v="11"/>
    <s v="Cam"/>
    <x v="1"/>
    <x v="2"/>
    <s v="JK Dobbins"/>
    <n v="19.600000000000001"/>
    <n v="2024"/>
  </r>
  <r>
    <x v="11"/>
    <s v="Cam"/>
    <x v="1"/>
    <x v="3"/>
    <s v="George Kittle"/>
    <n v="17.100000000000001"/>
    <n v="2024"/>
  </r>
  <r>
    <x v="11"/>
    <s v="Cam"/>
    <x v="1"/>
    <x v="5"/>
    <s v="Evan McPherson"/>
    <n v="15"/>
    <n v="2024"/>
  </r>
  <r>
    <x v="11"/>
    <s v="Cam"/>
    <x v="1"/>
    <x v="4"/>
    <s v="Baltimore"/>
    <n v="8"/>
    <n v="2024"/>
  </r>
  <r>
    <x v="5"/>
    <s v="Burnett/Jasjaap"/>
    <x v="1"/>
    <x v="0"/>
    <s v="Brock Purdy"/>
    <n v="13.96"/>
    <n v="2024"/>
  </r>
  <r>
    <x v="5"/>
    <s v="Burnett/Jasjaap"/>
    <x v="1"/>
    <x v="1"/>
    <s v="CeeDee Lamb"/>
    <n v="17"/>
    <n v="2024"/>
  </r>
  <r>
    <x v="5"/>
    <s v="Burnett/Jasjaap"/>
    <x v="1"/>
    <x v="1"/>
    <s v="Jaylen Waddle"/>
    <n v="6.5"/>
    <n v="2024"/>
  </r>
  <r>
    <x v="5"/>
    <s v="Burnett/Jasjaap"/>
    <x v="1"/>
    <x v="1"/>
    <s v="Rashid Shaheed"/>
    <n v="18.899999999999999"/>
    <n v="2024"/>
  </r>
  <r>
    <x v="5"/>
    <s v="Burnett/Jasjaap"/>
    <x v="1"/>
    <x v="2"/>
    <s v="David Montgomery"/>
    <n v="15"/>
    <n v="2024"/>
  </r>
  <r>
    <x v="5"/>
    <s v="Burnett/Jasjaap"/>
    <x v="1"/>
    <x v="2"/>
    <s v="Josh Jacobs"/>
    <n v="13.1"/>
    <n v="2024"/>
  </r>
  <r>
    <x v="5"/>
    <s v="Burnett/Jasjaap"/>
    <x v="1"/>
    <x v="3"/>
    <s v="Brock Bowers"/>
    <n v="14.3"/>
    <n v="2024"/>
  </r>
  <r>
    <x v="5"/>
    <s v="Burnett/Jasjaap"/>
    <x v="1"/>
    <x v="5"/>
    <s v="Jake Elliott"/>
    <n v="7"/>
    <n v="2024"/>
  </r>
  <r>
    <x v="5"/>
    <s v="Burnett/Jasjaap"/>
    <x v="1"/>
    <x v="4"/>
    <s v="Pittsburgh"/>
    <n v="14"/>
    <n v="2024"/>
  </r>
  <r>
    <x v="0"/>
    <s v="Brenton"/>
    <x v="2"/>
    <x v="0"/>
    <s v="Derek Carr"/>
    <n v="7.98"/>
    <n v="2024"/>
  </r>
  <r>
    <x v="0"/>
    <s v="Brenton"/>
    <x v="2"/>
    <x v="1"/>
    <s v="Tyreek Hill"/>
    <n v="5.5"/>
    <n v="2024"/>
  </r>
  <r>
    <x v="0"/>
    <s v="Brenton"/>
    <x v="2"/>
    <x v="1"/>
    <s v="Zay Flowers"/>
    <n v="3.8"/>
    <n v="2024"/>
  </r>
  <r>
    <x v="0"/>
    <s v="Brenton"/>
    <x v="2"/>
    <x v="1"/>
    <s v="Jayden Reed"/>
    <n v="8.9"/>
    <n v="2024"/>
  </r>
  <r>
    <x v="0"/>
    <s v="Brenton"/>
    <x v="2"/>
    <x v="2"/>
    <s v="Cam Akers"/>
    <n v="9.4"/>
    <n v="2024"/>
  </r>
  <r>
    <x v="0"/>
    <s v="Brenton"/>
    <x v="2"/>
    <x v="2"/>
    <s v="Jerome Ford"/>
    <n v="8.5"/>
    <n v="2024"/>
  </r>
  <r>
    <x v="0"/>
    <s v="Brenton"/>
    <x v="2"/>
    <x v="3"/>
    <s v="Trey McBride"/>
    <n v="4"/>
    <n v="2024"/>
  </r>
  <r>
    <x v="0"/>
    <s v="Brenton"/>
    <x v="2"/>
    <x v="5"/>
    <s v="Tyler Bass"/>
    <n v="11"/>
    <n v="2024"/>
  </r>
  <r>
    <x v="0"/>
    <s v="Brenton"/>
    <x v="2"/>
    <x v="4"/>
    <s v="Tampa Bay"/>
    <n v="1"/>
    <n v="2024"/>
  </r>
  <r>
    <x v="3"/>
    <s v="Kevin"/>
    <x v="2"/>
    <x v="0"/>
    <s v="CJ Stroud"/>
    <n v="9.8000000000000007"/>
    <n v="2024"/>
  </r>
  <r>
    <x v="3"/>
    <s v="Kevin"/>
    <x v="2"/>
    <x v="1"/>
    <s v="Chris Olave"/>
    <n v="17.600000000000001"/>
    <n v="2024"/>
  </r>
  <r>
    <x v="3"/>
    <s v="Kevin"/>
    <x v="2"/>
    <x v="1"/>
    <s v="Marvin Harrison Jr"/>
    <n v="14.9"/>
    <n v="2024"/>
  </r>
  <r>
    <x v="3"/>
    <s v="Kevin"/>
    <x v="2"/>
    <x v="1"/>
    <s v="George Pickens"/>
    <n v="8.1999999999999993"/>
    <n v="2024"/>
  </r>
  <r>
    <x v="3"/>
    <s v="Kevin"/>
    <x v="2"/>
    <x v="2"/>
    <s v="Najee Harris"/>
    <n v="11.1"/>
    <n v="2024"/>
  </r>
  <r>
    <x v="3"/>
    <s v="Kevin"/>
    <x v="2"/>
    <x v="2"/>
    <s v="Joe Mixon"/>
    <n v="0"/>
    <n v="2024"/>
  </r>
  <r>
    <x v="3"/>
    <s v="Kevin"/>
    <x v="2"/>
    <x v="3"/>
    <s v="Hunter Henry"/>
    <n v="1.9"/>
    <n v="2024"/>
  </r>
  <r>
    <x v="3"/>
    <s v="Kevin"/>
    <x v="2"/>
    <x v="5"/>
    <s v="Justin Tucker"/>
    <n v="3"/>
    <n v="2024"/>
  </r>
  <r>
    <x v="3"/>
    <s v="Kevin"/>
    <x v="2"/>
    <x v="4"/>
    <s v="Cleveland"/>
    <n v="5"/>
    <n v="2024"/>
  </r>
  <r>
    <x v="2"/>
    <s v="Mike"/>
    <x v="2"/>
    <x v="0"/>
    <s v="Patrick Mahomes"/>
    <n v="16.38"/>
    <n v="2024"/>
  </r>
  <r>
    <x v="2"/>
    <s v="Mike"/>
    <x v="2"/>
    <x v="1"/>
    <s v="Tank Dell"/>
    <n v="8.6999999999999993"/>
    <n v="2024"/>
  </r>
  <r>
    <x v="2"/>
    <s v="Mike"/>
    <x v="2"/>
    <x v="1"/>
    <s v="Davante Adams"/>
    <n v="6"/>
    <n v="2024"/>
  </r>
  <r>
    <x v="2"/>
    <s v="Mike"/>
    <x v="2"/>
    <x v="1"/>
    <s v="Khalil Shakir"/>
    <n v="16.2"/>
    <n v="2024"/>
  </r>
  <r>
    <x v="2"/>
    <s v="Mike"/>
    <x v="2"/>
    <x v="2"/>
    <s v="Derrick Henry"/>
    <n v="29.9"/>
    <n v="2024"/>
  </r>
  <r>
    <x v="2"/>
    <s v="Mike"/>
    <x v="2"/>
    <x v="2"/>
    <s v="Carson Steele"/>
    <n v="7.9"/>
    <n v="2024"/>
  </r>
  <r>
    <x v="2"/>
    <s v="Mike"/>
    <x v="2"/>
    <x v="3"/>
    <s v="Sam LaPorta"/>
    <n v="4.5999999999999996"/>
    <n v="2024"/>
  </r>
  <r>
    <x v="2"/>
    <s v="Mike"/>
    <x v="2"/>
    <x v="5"/>
    <s v="Younghoe Koo"/>
    <n v="7"/>
    <n v="2024"/>
  </r>
  <r>
    <x v="2"/>
    <s v="Mike"/>
    <x v="2"/>
    <x v="4"/>
    <s v="Buffalo"/>
    <n v="14"/>
    <n v="2024"/>
  </r>
  <r>
    <x v="7"/>
    <s v="Jay"/>
    <x v="2"/>
    <x v="0"/>
    <s v="Lamar Jackson"/>
    <n v="25.98"/>
    <n v="2024"/>
  </r>
  <r>
    <x v="7"/>
    <s v="Jay"/>
    <x v="2"/>
    <x v="1"/>
    <s v="Amari Cooper"/>
    <n v="24.1"/>
    <n v="2024"/>
  </r>
  <r>
    <x v="7"/>
    <s v="Jay"/>
    <x v="2"/>
    <x v="1"/>
    <s v="Stefon Diggs"/>
    <n v="14.92"/>
    <n v="2024"/>
  </r>
  <r>
    <x v="7"/>
    <s v="Jay"/>
    <x v="2"/>
    <x v="1"/>
    <s v="Tee Higgins"/>
    <n v="5.4"/>
    <n v="2024"/>
  </r>
  <r>
    <x v="7"/>
    <s v="Jay"/>
    <x v="2"/>
    <x v="2"/>
    <s v="Jonathan Taylor"/>
    <n v="26"/>
    <n v="2024"/>
  </r>
  <r>
    <x v="7"/>
    <s v="Jay"/>
    <x v="2"/>
    <x v="2"/>
    <s v="Alvin Kamara"/>
    <n v="14.2"/>
    <n v="2024"/>
  </r>
  <r>
    <x v="7"/>
    <s v="Jay"/>
    <x v="2"/>
    <x v="3"/>
    <s v="Mark Andrews"/>
    <n v="0"/>
    <n v="2024"/>
  </r>
  <r>
    <x v="7"/>
    <s v="Jay"/>
    <x v="2"/>
    <x v="5"/>
    <s v="Ka'imi Fairbairn"/>
    <n v="1"/>
    <n v="2024"/>
  </r>
  <r>
    <x v="7"/>
    <s v="Jay"/>
    <x v="2"/>
    <x v="4"/>
    <s v="Cincinnati"/>
    <n v="-3"/>
    <n v="2024"/>
  </r>
  <r>
    <x v="1"/>
    <s v="Todd"/>
    <x v="2"/>
    <x v="0"/>
    <s v="Dak Prescott"/>
    <n v="29.86"/>
    <n v="2024"/>
  </r>
  <r>
    <x v="1"/>
    <s v="Todd"/>
    <x v="2"/>
    <x v="1"/>
    <s v="Rashee Rice"/>
    <n v="23.1"/>
    <n v="2024"/>
  </r>
  <r>
    <x v="1"/>
    <s v="Todd"/>
    <x v="2"/>
    <x v="1"/>
    <s v="Brian Thomas Jr"/>
    <n v="7.3"/>
    <n v="2024"/>
  </r>
  <r>
    <x v="1"/>
    <s v="Todd"/>
    <x v="2"/>
    <x v="1"/>
    <s v="Calvin Ridley"/>
    <n v="1.4"/>
    <n v="2024"/>
  </r>
  <r>
    <x v="1"/>
    <s v="Todd"/>
    <x v="2"/>
    <x v="2"/>
    <s v="De'Von Achane"/>
    <n v="7.3"/>
    <n v="2024"/>
  </r>
  <r>
    <x v="1"/>
    <s v="Todd"/>
    <x v="2"/>
    <x v="2"/>
    <s v="D'Andre Swift"/>
    <n v="5.2"/>
    <n v="2024"/>
  </r>
  <r>
    <x v="1"/>
    <s v="Todd"/>
    <x v="2"/>
    <x v="3"/>
    <s v="Kyle Pitts"/>
    <n v="6.9"/>
    <n v="2024"/>
  </r>
  <r>
    <x v="1"/>
    <s v="Todd"/>
    <x v="2"/>
    <x v="5"/>
    <s v="Chris Boswell"/>
    <n v="8"/>
    <n v="2024"/>
  </r>
  <r>
    <x v="1"/>
    <s v="Todd"/>
    <x v="2"/>
    <x v="4"/>
    <s v="Las Vegas"/>
    <n v="-6"/>
    <n v="2024"/>
  </r>
  <r>
    <x v="4"/>
    <s v="Eli"/>
    <x v="2"/>
    <x v="0"/>
    <s v="Jalen Hurts"/>
    <n v="10.94"/>
    <n v="2024"/>
  </r>
  <r>
    <x v="4"/>
    <s v="Eli"/>
    <x v="2"/>
    <x v="1"/>
    <s v="Justin Jefferson"/>
    <n v="17.100000000000001"/>
    <n v="2024"/>
  </r>
  <r>
    <x v="4"/>
    <s v="Eli"/>
    <x v="2"/>
    <x v="1"/>
    <s v="Rome Odunze"/>
    <n v="20.399999999999999"/>
    <n v="2024"/>
  </r>
  <r>
    <x v="4"/>
    <s v="Eli"/>
    <x v="2"/>
    <x v="1"/>
    <s v="DJ Moore"/>
    <n v="11.2"/>
    <n v="2024"/>
  </r>
  <r>
    <x v="4"/>
    <s v="Eli"/>
    <x v="2"/>
    <x v="2"/>
    <s v="Bijan Robinson"/>
    <n v="12.2"/>
    <n v="2024"/>
  </r>
  <r>
    <x v="4"/>
    <s v="Eli"/>
    <x v="2"/>
    <x v="2"/>
    <s v="Jordan Mason"/>
    <n v="9.8000000000000007"/>
    <n v="2024"/>
  </r>
  <r>
    <x v="4"/>
    <s v="Eli"/>
    <x v="2"/>
    <x v="3"/>
    <s v="Dalton Schultz"/>
    <n v="2.1"/>
    <n v="2024"/>
  </r>
  <r>
    <x v="4"/>
    <s v="Eli"/>
    <x v="2"/>
    <x v="5"/>
    <s v="Jake Moody"/>
    <n v="6"/>
    <n v="2024"/>
  </r>
  <r>
    <x v="4"/>
    <s v="Eli"/>
    <x v="2"/>
    <x v="4"/>
    <s v="NYJ"/>
    <n v="19"/>
    <n v="2024"/>
  </r>
  <r>
    <x v="6"/>
    <s v="Will"/>
    <x v="2"/>
    <x v="0"/>
    <s v="Geno Smith"/>
    <n v="11.36"/>
    <n v="2024"/>
  </r>
  <r>
    <x v="6"/>
    <s v="Will"/>
    <x v="2"/>
    <x v="1"/>
    <s v="Amon-Ra St. Brown"/>
    <n v="17"/>
    <n v="2024"/>
  </r>
  <r>
    <x v="6"/>
    <s v="Will"/>
    <x v="2"/>
    <x v="1"/>
    <s v="Drake London"/>
    <n v="15.7"/>
    <n v="2024"/>
  </r>
  <r>
    <x v="6"/>
    <s v="Will"/>
    <x v="2"/>
    <x v="1"/>
    <s v="Ladd McConkey"/>
    <n v="5.9"/>
    <n v="2024"/>
  </r>
  <r>
    <x v="6"/>
    <s v="Will"/>
    <x v="2"/>
    <x v="2"/>
    <s v="Zach Charbonet"/>
    <n v="24.2"/>
    <n v="2024"/>
  </r>
  <r>
    <x v="6"/>
    <s v="Will"/>
    <x v="2"/>
    <x v="2"/>
    <s v="Travis Etienne"/>
    <n v="10.5"/>
    <n v="2024"/>
  </r>
  <r>
    <x v="6"/>
    <s v="Will"/>
    <x v="2"/>
    <x v="3"/>
    <s v="Travis Kelce"/>
    <n v="5"/>
    <n v="2024"/>
  </r>
  <r>
    <x v="6"/>
    <s v="Will"/>
    <x v="2"/>
    <x v="5"/>
    <s v="Jason Myers"/>
    <n v="8"/>
    <n v="2024"/>
  </r>
  <r>
    <x v="6"/>
    <s v="Will"/>
    <x v="2"/>
    <x v="4"/>
    <s v="Houston"/>
    <n v="4"/>
    <n v="2024"/>
  </r>
  <r>
    <x v="11"/>
    <s v="Cam"/>
    <x v="2"/>
    <x v="0"/>
    <s v="Joe Burrow"/>
    <n v="25.36"/>
    <n v="2024"/>
  </r>
  <r>
    <x v="11"/>
    <s v="Cam"/>
    <x v="2"/>
    <x v="1"/>
    <s v="Ja'Marr Chase"/>
    <n v="26.8"/>
    <n v="2024"/>
  </r>
  <r>
    <x v="11"/>
    <s v="Cam"/>
    <x v="2"/>
    <x v="1"/>
    <s v="Nico Collins"/>
    <n v="10.6"/>
    <n v="2024"/>
  </r>
  <r>
    <x v="11"/>
    <s v="Cam"/>
    <x v="2"/>
    <x v="1"/>
    <s v="Brandon Aiyuk"/>
    <n v="7.3"/>
    <n v="2024"/>
  </r>
  <r>
    <x v="11"/>
    <s v="Cam"/>
    <x v="2"/>
    <x v="2"/>
    <s v="Aaron Jones"/>
    <n v="23.3"/>
    <n v="2024"/>
  </r>
  <r>
    <x v="11"/>
    <s v="Cam"/>
    <x v="2"/>
    <x v="2"/>
    <s v="JK Dobbins"/>
    <n v="6.9"/>
    <n v="2024"/>
  </r>
  <r>
    <x v="11"/>
    <s v="Cam"/>
    <x v="2"/>
    <x v="3"/>
    <s v="Pat Freiermuth"/>
    <n v="5.3"/>
    <n v="2024"/>
  </r>
  <r>
    <x v="11"/>
    <s v="Cam"/>
    <x v="2"/>
    <x v="5"/>
    <s v="Evan McPherson"/>
    <n v="8"/>
    <n v="2024"/>
  </r>
  <r>
    <x v="11"/>
    <s v="Cam"/>
    <x v="2"/>
    <x v="4"/>
    <s v="Chicago"/>
    <n v="4"/>
    <n v="2024"/>
  </r>
  <r>
    <x v="8"/>
    <s v="Schulwolf"/>
    <x v="2"/>
    <x v="0"/>
    <s v="Jayden Daniels"/>
    <n v="28.06"/>
    <n v="2024"/>
  </r>
  <r>
    <x v="8"/>
    <s v="Schulwolf"/>
    <x v="2"/>
    <x v="1"/>
    <s v="Chris Godwin"/>
    <n v="14.3"/>
    <n v="2024"/>
  </r>
  <r>
    <x v="8"/>
    <s v="Schulwolf"/>
    <x v="2"/>
    <x v="1"/>
    <s v="DeVonta Smith"/>
    <n v="11.4"/>
    <n v="2024"/>
  </r>
  <r>
    <x v="8"/>
    <s v="Schulwolf"/>
    <x v="2"/>
    <x v="1"/>
    <s v="Jerry Jeudy"/>
    <n v="6.7"/>
    <n v="2024"/>
  </r>
  <r>
    <x v="8"/>
    <s v="Schulwolf"/>
    <x v="2"/>
    <x v="2"/>
    <s v="Zack Moss"/>
    <n v="18.2"/>
    <n v="2024"/>
  </r>
  <r>
    <x v="8"/>
    <s v="Schulwolf"/>
    <x v="2"/>
    <x v="2"/>
    <s v="James Cook"/>
    <n v="16.7"/>
    <n v="2024"/>
  </r>
  <r>
    <x v="8"/>
    <s v="Schulwolf"/>
    <x v="2"/>
    <x v="3"/>
    <s v="Dalton Kincaid"/>
    <n v="11.6"/>
    <n v="2024"/>
  </r>
  <r>
    <x v="8"/>
    <s v="Schulwolf"/>
    <x v="2"/>
    <x v="5"/>
    <s v="Brandon Aubrey"/>
    <n v="11"/>
    <n v="2024"/>
  </r>
  <r>
    <x v="8"/>
    <s v="Schulwolf"/>
    <x v="2"/>
    <x v="4"/>
    <s v="Dallas"/>
    <n v="-5"/>
    <n v="2024"/>
  </r>
  <r>
    <x v="10"/>
    <s v="Brand"/>
    <x v="2"/>
    <x v="0"/>
    <s v="Anthony Richardson"/>
    <n v="5.08"/>
    <n v="2024"/>
  </r>
  <r>
    <x v="10"/>
    <s v="Brand"/>
    <x v="2"/>
    <x v="1"/>
    <s v="Garrett Wilson"/>
    <n v="11.8"/>
    <n v="2024"/>
  </r>
  <r>
    <x v="10"/>
    <s v="Brand"/>
    <x v="2"/>
    <x v="1"/>
    <s v="Michael Pittman"/>
    <n v="5.6"/>
    <n v="2024"/>
  </r>
  <r>
    <x v="10"/>
    <s v="Brand"/>
    <x v="2"/>
    <x v="1"/>
    <s v="Brandin Cooks"/>
    <n v="2.6"/>
    <n v="2024"/>
  </r>
  <r>
    <x v="10"/>
    <s v="Brand"/>
    <x v="2"/>
    <x v="2"/>
    <s v="Breece Hall"/>
    <n v="16.3"/>
    <n v="2024"/>
  </r>
  <r>
    <x v="10"/>
    <s v="Brand"/>
    <x v="2"/>
    <x v="2"/>
    <s v="Bucky Irving"/>
    <n v="9.9"/>
    <n v="2024"/>
  </r>
  <r>
    <x v="10"/>
    <s v="Brand"/>
    <x v="2"/>
    <x v="3"/>
    <s v="Dallas Goedert"/>
    <n v="22"/>
    <n v="2024"/>
  </r>
  <r>
    <x v="10"/>
    <s v="Brand"/>
    <x v="2"/>
    <x v="5"/>
    <s v="Cairo Santos"/>
    <n v="6"/>
    <n v="2024"/>
  </r>
  <r>
    <x v="10"/>
    <s v="Brand"/>
    <x v="2"/>
    <x v="4"/>
    <s v="Indianapolis"/>
    <n v="10"/>
    <n v="2024"/>
  </r>
  <r>
    <x v="9"/>
    <s v="Tommy"/>
    <x v="2"/>
    <x v="0"/>
    <s v="Josh Allen"/>
    <n v="30.92"/>
    <n v="2024"/>
  </r>
  <r>
    <x v="9"/>
    <s v="Tommy"/>
    <x v="2"/>
    <x v="1"/>
    <s v="Malik Nabers"/>
    <n v="24.2"/>
    <n v="2024"/>
  </r>
  <r>
    <x v="9"/>
    <s v="Tommy"/>
    <x v="2"/>
    <x v="1"/>
    <s v="DK Metcalf"/>
    <n v="18.399999999999999"/>
    <n v="2024"/>
  </r>
  <r>
    <x v="9"/>
    <s v="Tommy"/>
    <x v="2"/>
    <x v="1"/>
    <s v="Xavier Worthy"/>
    <n v="4"/>
    <n v="2024"/>
  </r>
  <r>
    <x v="9"/>
    <s v="Tommy"/>
    <x v="2"/>
    <x v="2"/>
    <s v="Saquon Barkley"/>
    <n v="31.6"/>
    <n v="2024"/>
  </r>
  <r>
    <x v="9"/>
    <s v="Tommy"/>
    <x v="2"/>
    <x v="2"/>
    <s v="Kyren Williams"/>
    <n v="30.6"/>
    <n v="2024"/>
  </r>
  <r>
    <x v="9"/>
    <s v="Tommy"/>
    <x v="2"/>
    <x v="3"/>
    <s v="Mike Gesicki"/>
    <n v="6.7"/>
    <n v="2024"/>
  </r>
  <r>
    <x v="9"/>
    <s v="Tommy"/>
    <x v="2"/>
    <x v="5"/>
    <s v="Harrison Butker"/>
    <n v="12"/>
    <n v="2024"/>
  </r>
  <r>
    <x v="9"/>
    <s v="Tommy"/>
    <x v="2"/>
    <x v="4"/>
    <s v="San Francisco"/>
    <n v="4"/>
    <n v="2024"/>
  </r>
  <r>
    <x v="5"/>
    <s v="Burnett/Jasjaap"/>
    <x v="2"/>
    <x v="0"/>
    <s v="Brock Purdy"/>
    <n v="25.78"/>
    <n v="2024"/>
  </r>
  <r>
    <x v="5"/>
    <s v="Burnett/Jasjaap"/>
    <x v="2"/>
    <x v="1"/>
    <s v="CeeDee Lamb"/>
    <n v="6.7"/>
    <n v="2024"/>
  </r>
  <r>
    <x v="5"/>
    <s v="Burnett/Jasjaap"/>
    <x v="2"/>
    <x v="1"/>
    <s v="Jaylen Waddle"/>
    <n v="4.5999999999999996"/>
    <n v="2024"/>
  </r>
  <r>
    <x v="5"/>
    <s v="Burnett/Jasjaap"/>
    <x v="2"/>
    <x v="1"/>
    <s v="Rashid Shaheed"/>
    <n v="0"/>
    <n v="2024"/>
  </r>
  <r>
    <x v="5"/>
    <s v="Burnett/Jasjaap"/>
    <x v="2"/>
    <x v="2"/>
    <s v="David Montgomery"/>
    <n v="19.7"/>
    <n v="2024"/>
  </r>
  <r>
    <x v="5"/>
    <s v="Burnett/Jasjaap"/>
    <x v="2"/>
    <x v="2"/>
    <s v="Josh Jacobs"/>
    <n v="5.3"/>
    <n v="2024"/>
  </r>
  <r>
    <x v="5"/>
    <s v="Burnett/Jasjaap"/>
    <x v="2"/>
    <x v="3"/>
    <s v="Brock Bowers"/>
    <n v="5.6"/>
    <n v="2024"/>
  </r>
  <r>
    <x v="5"/>
    <s v="Burnett/Jasjaap"/>
    <x v="2"/>
    <x v="5"/>
    <s v="Jake Elliott"/>
    <n v="1"/>
    <n v="2024"/>
  </r>
  <r>
    <x v="5"/>
    <s v="Burnett/Jasjaap"/>
    <x v="2"/>
    <x v="4"/>
    <s v="Pittsburgh"/>
    <n v="12"/>
    <n v="2024"/>
  </r>
  <r>
    <x v="0"/>
    <s v="Brenton"/>
    <x v="3"/>
    <x v="0"/>
    <s v="Baker Mayfield"/>
    <n v="28.88"/>
    <n v="2024"/>
  </r>
  <r>
    <x v="0"/>
    <s v="Brenton"/>
    <x v="3"/>
    <x v="1"/>
    <s v="Jayden Reed"/>
    <n v="23.6"/>
    <n v="2024"/>
  </r>
  <r>
    <x v="0"/>
    <s v="Brenton"/>
    <x v="3"/>
    <x v="1"/>
    <s v="Courtland Sutton"/>
    <n v="13.5"/>
    <n v="2024"/>
  </r>
  <r>
    <x v="0"/>
    <s v="Brenton"/>
    <x v="3"/>
    <x v="1"/>
    <s v="Tyreek Hill"/>
    <n v="6.2"/>
    <n v="2024"/>
  </r>
  <r>
    <x v="0"/>
    <s v="Brenton"/>
    <x v="3"/>
    <x v="2"/>
    <s v="Jerome Ford"/>
    <n v="12"/>
    <n v="2024"/>
  </r>
  <r>
    <x v="0"/>
    <s v="Brenton"/>
    <x v="3"/>
    <x v="2"/>
    <s v="Cam Akers"/>
    <n v="5.3"/>
    <n v="2024"/>
  </r>
  <r>
    <x v="0"/>
    <s v="Brenton"/>
    <x v="3"/>
    <x v="3"/>
    <s v="Colby Parkinson"/>
    <n v="5.3"/>
    <n v="2024"/>
  </r>
  <r>
    <x v="0"/>
    <s v="Brenton"/>
    <x v="3"/>
    <x v="5"/>
    <s v="Tyler Bass"/>
    <n v="5"/>
    <n v="2024"/>
  </r>
  <r>
    <x v="0"/>
    <s v="Brenton"/>
    <x v="3"/>
    <x v="4"/>
    <s v="Kansas City"/>
    <n v="7"/>
    <n v="2024"/>
  </r>
  <r>
    <x v="0"/>
    <s v="Brenton"/>
    <x v="3"/>
    <x v="6"/>
    <s v="Zay Flowers"/>
    <n v="1.5"/>
    <n v="2024"/>
  </r>
  <r>
    <x v="7"/>
    <s v="Jay"/>
    <x v="3"/>
    <x v="0"/>
    <s v="Lamar Jackson"/>
    <n v="23.64"/>
    <n v="2024"/>
  </r>
  <r>
    <x v="7"/>
    <s v="Jay"/>
    <x v="3"/>
    <x v="1"/>
    <s v="Amari Cooper"/>
    <n v="5.5"/>
    <n v="2024"/>
  </r>
  <r>
    <x v="7"/>
    <s v="Jay"/>
    <x v="3"/>
    <x v="1"/>
    <s v="Stefon Diggs"/>
    <n v="16"/>
    <n v="2024"/>
  </r>
  <r>
    <x v="7"/>
    <s v="Jay"/>
    <x v="3"/>
    <x v="1"/>
    <s v="Jauan Jennings"/>
    <n v="10.3"/>
    <n v="2024"/>
  </r>
  <r>
    <x v="7"/>
    <s v="Jay"/>
    <x v="3"/>
    <x v="2"/>
    <s v="Brian Robinson"/>
    <n v="18.8"/>
    <n v="2024"/>
  </r>
  <r>
    <x v="7"/>
    <s v="Jay"/>
    <x v="3"/>
    <x v="2"/>
    <s v="Alvin Kamara"/>
    <n v="21.4"/>
    <n v="2024"/>
  </r>
  <r>
    <x v="7"/>
    <s v="Jay"/>
    <x v="3"/>
    <x v="3"/>
    <s v="Tyler Conklin"/>
    <n v="3.7"/>
    <n v="2024"/>
  </r>
  <r>
    <x v="7"/>
    <s v="Jay"/>
    <x v="3"/>
    <x v="5"/>
    <s v="Ka'imi Fairbairn"/>
    <n v="6"/>
    <n v="2024"/>
  </r>
  <r>
    <x v="7"/>
    <s v="Jay"/>
    <x v="3"/>
    <x v="4"/>
    <s v="Miami"/>
    <n v="3"/>
    <n v="2024"/>
  </r>
  <r>
    <x v="7"/>
    <s v="Jay"/>
    <x v="3"/>
    <x v="7"/>
    <s v="Jonathan Taylor"/>
    <n v="18.3"/>
    <n v="2024"/>
  </r>
  <r>
    <x v="8"/>
    <s v="Schulwolf"/>
    <x v="3"/>
    <x v="0"/>
    <s v="Jayden Daniels"/>
    <n v="24.02"/>
    <n v="2024"/>
  </r>
  <r>
    <x v="8"/>
    <s v="Schulwolf"/>
    <x v="3"/>
    <x v="1"/>
    <s v="Terry McLaurin"/>
    <n v="14.7"/>
    <n v="2024"/>
  </r>
  <r>
    <x v="8"/>
    <s v="Schulwolf"/>
    <x v="3"/>
    <x v="1"/>
    <s v="Jerry Jeudy"/>
    <n v="10.199999999999999"/>
    <n v="2024"/>
  </r>
  <r>
    <x v="8"/>
    <s v="Schulwolf"/>
    <x v="3"/>
    <x v="1"/>
    <s v="Chris Godwin"/>
    <n v="9.9"/>
    <n v="2024"/>
  </r>
  <r>
    <x v="8"/>
    <s v="Schulwolf"/>
    <x v="3"/>
    <x v="2"/>
    <s v="Jahmyr Gibbs"/>
    <n v="19.8"/>
    <n v="2024"/>
  </r>
  <r>
    <x v="8"/>
    <s v="Schulwolf"/>
    <x v="3"/>
    <x v="2"/>
    <s v="Zack Moss"/>
    <n v="15.8"/>
    <n v="2024"/>
  </r>
  <r>
    <x v="8"/>
    <s v="Schulwolf"/>
    <x v="3"/>
    <x v="3"/>
    <s v="Dalton Kincaid"/>
    <n v="7.2"/>
    <n v="2024"/>
  </r>
  <r>
    <x v="8"/>
    <s v="Schulwolf"/>
    <x v="3"/>
    <x v="5"/>
    <s v="Brandon Aubrey"/>
    <n v="11"/>
    <n v="2024"/>
  </r>
  <r>
    <x v="8"/>
    <s v="Schulwolf"/>
    <x v="3"/>
    <x v="4"/>
    <s v="Dallas"/>
    <n v="3"/>
    <n v="2024"/>
  </r>
  <r>
    <x v="8"/>
    <s v="Schulwolf"/>
    <x v="3"/>
    <x v="7"/>
    <s v="James Cook"/>
    <n v="5.3"/>
    <n v="2024"/>
  </r>
  <r>
    <x v="5"/>
    <s v="Burnett/Jasjaap"/>
    <x v="3"/>
    <x v="0"/>
    <s v="Brock Purdy"/>
    <n v="14.62"/>
    <n v="2024"/>
  </r>
  <r>
    <x v="5"/>
    <s v="Burnett/Jasjaap"/>
    <x v="3"/>
    <x v="1"/>
    <s v="CeeDee Lamb"/>
    <n v="20.100000000000001"/>
    <n v="2024"/>
  </r>
  <r>
    <x v="5"/>
    <s v="Burnett/Jasjaap"/>
    <x v="3"/>
    <x v="1"/>
    <s v="Jaylen Waddle"/>
    <n v="5.6"/>
    <n v="2024"/>
  </r>
  <r>
    <x v="5"/>
    <s v="Burnett/Jasjaap"/>
    <x v="3"/>
    <x v="1"/>
    <s v="Rashid Shaheed"/>
    <n v="11.7"/>
    <n v="2024"/>
  </r>
  <r>
    <x v="5"/>
    <s v="Burnett/Jasjaap"/>
    <x v="3"/>
    <x v="2"/>
    <s v="David Montgomery"/>
    <n v="14.5"/>
    <n v="2024"/>
  </r>
  <r>
    <x v="5"/>
    <s v="Burnett/Jasjaap"/>
    <x v="3"/>
    <x v="2"/>
    <s v="Josh Jacobs"/>
    <n v="9.8000000000000007"/>
    <n v="2024"/>
  </r>
  <r>
    <x v="5"/>
    <s v="Burnett/Jasjaap"/>
    <x v="3"/>
    <x v="3"/>
    <s v="Brock Bowers"/>
    <n v="4.0999999999999996"/>
    <n v="2024"/>
  </r>
  <r>
    <x v="5"/>
    <s v="Burnett/Jasjaap"/>
    <x v="3"/>
    <x v="5"/>
    <s v="Jake Elliott"/>
    <n v="2"/>
    <n v="2024"/>
  </r>
  <r>
    <x v="5"/>
    <s v="Burnett/Jasjaap"/>
    <x v="3"/>
    <x v="4"/>
    <s v="Pittsburgh"/>
    <n v="1"/>
    <n v="2024"/>
  </r>
  <r>
    <x v="5"/>
    <s v="Burnett/Jasjaap"/>
    <x v="3"/>
    <x v="7"/>
    <s v="Gus Edwards"/>
    <n v="1.9"/>
    <n v="2024"/>
  </r>
  <r>
    <x v="2"/>
    <s v="Mike"/>
    <x v="3"/>
    <x v="0"/>
    <s v="Patrick Mahomes"/>
    <n v="13"/>
    <n v="2024"/>
  </r>
  <r>
    <x v="2"/>
    <s v="Mike"/>
    <x v="3"/>
    <x v="1"/>
    <s v="Mike Evans"/>
    <n v="19.399999999999999"/>
    <n v="2024"/>
  </r>
  <r>
    <x v="2"/>
    <s v="Mike"/>
    <x v="3"/>
    <x v="1"/>
    <s v="Khalil Shakir"/>
    <n v="8.1999999999999993"/>
    <n v="2024"/>
  </r>
  <r>
    <x v="2"/>
    <s v="Mike"/>
    <x v="3"/>
    <x v="1"/>
    <s v="Quentin Johnston"/>
    <n v="1.8"/>
    <n v="2024"/>
  </r>
  <r>
    <x v="2"/>
    <s v="Mike"/>
    <x v="3"/>
    <x v="2"/>
    <s v="Derrick Henry"/>
    <n v="34.4"/>
    <n v="2024"/>
  </r>
  <r>
    <x v="2"/>
    <s v="Mike"/>
    <x v="3"/>
    <x v="2"/>
    <s v="Carson Steele"/>
    <n v="-0.9"/>
    <n v="2024"/>
  </r>
  <r>
    <x v="2"/>
    <s v="Mike"/>
    <x v="3"/>
    <x v="3"/>
    <s v="Jake Ferguson"/>
    <n v="8.4"/>
    <n v="2024"/>
  </r>
  <r>
    <x v="2"/>
    <s v="Mike"/>
    <x v="3"/>
    <x v="5"/>
    <s v="Younghoe Koo"/>
    <n v="20"/>
    <n v="2024"/>
  </r>
  <r>
    <x v="2"/>
    <s v="Mike"/>
    <x v="3"/>
    <x v="4"/>
    <s v="Buffalo"/>
    <n v="-5"/>
    <n v="2024"/>
  </r>
  <r>
    <x v="2"/>
    <s v="Mike"/>
    <x v="3"/>
    <x v="8"/>
    <s v="Sam LaPorta"/>
    <n v="7.3"/>
    <n v="2024"/>
  </r>
  <r>
    <x v="4"/>
    <s v="Eli"/>
    <x v="3"/>
    <x v="0"/>
    <s v="Jalen Hurts"/>
    <n v="16.32"/>
    <n v="2024"/>
  </r>
  <r>
    <x v="4"/>
    <s v="Eli"/>
    <x v="3"/>
    <x v="1"/>
    <s v="Justin Jefferson"/>
    <n v="17.5"/>
    <n v="2024"/>
  </r>
  <r>
    <x v="4"/>
    <s v="Eli"/>
    <x v="3"/>
    <x v="1"/>
    <s v="DJ Moore"/>
    <n v="9.6999999999999993"/>
    <n v="2024"/>
  </r>
  <r>
    <x v="4"/>
    <s v="Eli"/>
    <x v="3"/>
    <x v="1"/>
    <s v="Jalen Tolbert"/>
    <n v="3.9"/>
    <n v="2024"/>
  </r>
  <r>
    <x v="4"/>
    <s v="Eli"/>
    <x v="3"/>
    <x v="2"/>
    <s v="Jordan Mason"/>
    <n v="23"/>
    <n v="2024"/>
  </r>
  <r>
    <x v="4"/>
    <s v="Eli"/>
    <x v="3"/>
    <x v="2"/>
    <s v="Bijan Robinson"/>
    <n v="9.4"/>
    <n v="2024"/>
  </r>
  <r>
    <x v="4"/>
    <s v="Eli"/>
    <x v="3"/>
    <x v="3"/>
    <s v="Dalton Schultz"/>
    <n v="4.9000000000000004"/>
    <n v="2024"/>
  </r>
  <r>
    <x v="4"/>
    <s v="Eli"/>
    <x v="3"/>
    <x v="5"/>
    <s v="Jake Moody"/>
    <n v="13"/>
    <n v="2024"/>
  </r>
  <r>
    <x v="4"/>
    <s v="Eli"/>
    <x v="3"/>
    <x v="4"/>
    <s v="NYJ"/>
    <n v="9"/>
    <n v="2024"/>
  </r>
  <r>
    <x v="4"/>
    <s v="Eli"/>
    <x v="3"/>
    <x v="6"/>
    <s v="Rome Odunze"/>
    <n v="1.5"/>
    <n v="2024"/>
  </r>
  <r>
    <x v="1"/>
    <s v="Todd"/>
    <x v="3"/>
    <x v="0"/>
    <s v="Dak Prescott"/>
    <n v="16.739999999999998"/>
    <n v="2024"/>
  </r>
  <r>
    <x v="1"/>
    <s v="Todd"/>
    <x v="3"/>
    <x v="1"/>
    <s v="Brian Thomas Jr"/>
    <n v="18.899999999999999"/>
    <n v="2024"/>
  </r>
  <r>
    <x v="1"/>
    <s v="Todd"/>
    <x v="3"/>
    <x v="1"/>
    <s v="Diontae Johnson"/>
    <n v="17.8"/>
    <n v="2024"/>
  </r>
  <r>
    <x v="1"/>
    <s v="Todd"/>
    <x v="3"/>
    <x v="1"/>
    <s v="Deebo Samuel"/>
    <n v="8.6999999999999993"/>
    <n v="2024"/>
  </r>
  <r>
    <x v="1"/>
    <s v="Todd"/>
    <x v="3"/>
    <x v="2"/>
    <s v="James Conner"/>
    <n v="17.8"/>
    <n v="2024"/>
  </r>
  <r>
    <x v="1"/>
    <s v="Todd"/>
    <x v="3"/>
    <x v="2"/>
    <s v="De'Von Achane"/>
    <n v="4.4000000000000004"/>
    <n v="2024"/>
  </r>
  <r>
    <x v="1"/>
    <s v="Todd"/>
    <x v="3"/>
    <x v="3"/>
    <s v="Kyle Pitts"/>
    <n v="0"/>
    <n v="2024"/>
  </r>
  <r>
    <x v="1"/>
    <s v="Todd"/>
    <x v="3"/>
    <x v="5"/>
    <s v="Chris Boswell"/>
    <n v="8"/>
    <n v="2024"/>
  </r>
  <r>
    <x v="1"/>
    <s v="Todd"/>
    <x v="3"/>
    <x v="4"/>
    <s v="Tennessee"/>
    <n v="13"/>
    <n v="2024"/>
  </r>
  <r>
    <x v="1"/>
    <s v="Todd"/>
    <x v="3"/>
    <x v="6"/>
    <s v="Rashee Rice"/>
    <n v="0"/>
    <n v="2024"/>
  </r>
  <r>
    <x v="11"/>
    <s v="Cam"/>
    <x v="3"/>
    <x v="0"/>
    <s v="Kyler Murray"/>
    <n v="9.98"/>
    <n v="2024"/>
  </r>
  <r>
    <x v="11"/>
    <s v="Cam"/>
    <x v="3"/>
    <x v="1"/>
    <s v="Ja'Marr Chase"/>
    <n v="16"/>
    <n v="2024"/>
  </r>
  <r>
    <x v="11"/>
    <s v="Cam"/>
    <x v="3"/>
    <x v="1"/>
    <s v="Nico Collins"/>
    <n v="27.1"/>
    <n v="2024"/>
  </r>
  <r>
    <x v="11"/>
    <s v="Cam"/>
    <x v="3"/>
    <x v="1"/>
    <s v="Jakobi Meyers"/>
    <n v="7.4"/>
    <n v="2024"/>
  </r>
  <r>
    <x v="11"/>
    <s v="Cam"/>
    <x v="3"/>
    <x v="2"/>
    <s v="Aaron Jones"/>
    <n v="15.9"/>
    <n v="2024"/>
  </r>
  <r>
    <x v="11"/>
    <s v="Cam"/>
    <x v="3"/>
    <x v="2"/>
    <s v="Rhamondre Stevenson"/>
    <n v="6.2"/>
    <n v="2024"/>
  </r>
  <r>
    <x v="11"/>
    <s v="Cam"/>
    <x v="3"/>
    <x v="3"/>
    <s v="George Kittle"/>
    <n v="12.5"/>
    <n v="2024"/>
  </r>
  <r>
    <x v="11"/>
    <s v="Cam"/>
    <x v="3"/>
    <x v="5"/>
    <s v="Evan McPherson"/>
    <n v="13"/>
    <n v="2024"/>
  </r>
  <r>
    <x v="11"/>
    <s v="Cam"/>
    <x v="3"/>
    <x v="4"/>
    <s v="Chicago"/>
    <n v="7"/>
    <n v="2024"/>
  </r>
  <r>
    <x v="11"/>
    <s v="Cam"/>
    <x v="3"/>
    <x v="6"/>
    <s v="Brandon Aiyuk"/>
    <n v="5.8"/>
    <n v="2024"/>
  </r>
  <r>
    <x v="6"/>
    <s v="Will"/>
    <x v="3"/>
    <x v="0"/>
    <s v="Geno Smith"/>
    <n v="21.6"/>
    <n v="2024"/>
  </r>
  <r>
    <x v="6"/>
    <s v="Will"/>
    <x v="3"/>
    <x v="1"/>
    <s v="Amon-Ra St. Brown"/>
    <n v="17.78"/>
    <n v="2024"/>
  </r>
  <r>
    <x v="6"/>
    <s v="Will"/>
    <x v="3"/>
    <x v="1"/>
    <s v="Drake London"/>
    <n v="9.4"/>
    <n v="2024"/>
  </r>
  <r>
    <x v="6"/>
    <s v="Will"/>
    <x v="3"/>
    <x v="1"/>
    <s v="Ladd McConkey"/>
    <n v="15.2"/>
    <n v="2024"/>
  </r>
  <r>
    <x v="6"/>
    <s v="Will"/>
    <x v="3"/>
    <x v="2"/>
    <s v="Travis Etienne"/>
    <n v="6.5"/>
    <n v="2024"/>
  </r>
  <r>
    <x v="6"/>
    <s v="Will"/>
    <x v="3"/>
    <x v="2"/>
    <s v="Zach Charbonet"/>
    <n v="7.9"/>
    <n v="2024"/>
  </r>
  <r>
    <x v="6"/>
    <s v="Will"/>
    <x v="3"/>
    <x v="3"/>
    <s v="Travis Kelce"/>
    <n v="12.4"/>
    <n v="2024"/>
  </r>
  <r>
    <x v="6"/>
    <s v="Will"/>
    <x v="3"/>
    <x v="5"/>
    <s v="Jason Myers"/>
    <n v="3"/>
    <n v="2024"/>
  </r>
  <r>
    <x v="6"/>
    <s v="Will"/>
    <x v="3"/>
    <x v="4"/>
    <s v="Houston"/>
    <n v="1"/>
    <n v="2024"/>
  </r>
  <r>
    <x v="6"/>
    <s v="Will"/>
    <x v="3"/>
    <x v="6"/>
    <s v="Jaxon Smith-Njigba"/>
    <n v="9.1"/>
    <n v="2024"/>
  </r>
  <r>
    <x v="9"/>
    <s v="Tommy"/>
    <x v="3"/>
    <x v="0"/>
    <s v="Josh Allen"/>
    <n v="7.3"/>
    <n v="2024"/>
  </r>
  <r>
    <x v="9"/>
    <s v="Tommy"/>
    <x v="3"/>
    <x v="1"/>
    <s v="Malik Nabers"/>
    <n v="17.100000000000001"/>
    <n v="2024"/>
  </r>
  <r>
    <x v="9"/>
    <s v="Tommy"/>
    <x v="3"/>
    <x v="1"/>
    <s v="Xavier Worthy"/>
    <n v="14.8"/>
    <n v="2024"/>
  </r>
  <r>
    <x v="9"/>
    <s v="Tommy"/>
    <x v="3"/>
    <x v="1"/>
    <s v="DK Metcalf"/>
    <n v="11.9"/>
    <n v="2024"/>
  </r>
  <r>
    <x v="9"/>
    <s v="Tommy"/>
    <x v="3"/>
    <x v="2"/>
    <s v="Kyren Williams"/>
    <n v="18.399999999999999"/>
    <n v="2024"/>
  </r>
  <r>
    <x v="9"/>
    <s v="Tommy"/>
    <x v="3"/>
    <x v="2"/>
    <s v="Saquon Barkley"/>
    <n v="12.6"/>
    <n v="2024"/>
  </r>
  <r>
    <x v="9"/>
    <s v="Tommy"/>
    <x v="3"/>
    <x v="3"/>
    <s v="Mike Gesicki"/>
    <n v="-0.4"/>
    <n v="2024"/>
  </r>
  <r>
    <x v="9"/>
    <s v="Tommy"/>
    <x v="3"/>
    <x v="5"/>
    <s v="Harrison Butker"/>
    <n v="5"/>
    <n v="2024"/>
  </r>
  <r>
    <x v="9"/>
    <s v="Tommy"/>
    <x v="3"/>
    <x v="4"/>
    <s v="San Francisco"/>
    <n v="23"/>
    <n v="2024"/>
  </r>
  <r>
    <x v="9"/>
    <s v="Tommy"/>
    <x v="3"/>
    <x v="7"/>
    <s v="Rachaad White"/>
    <n v="9.4"/>
    <n v="2024"/>
  </r>
  <r>
    <x v="10"/>
    <s v="Brand"/>
    <x v="3"/>
    <x v="0"/>
    <s v="Anthony Richardson"/>
    <n v="5.24"/>
    <n v="2024"/>
  </r>
  <r>
    <x v="10"/>
    <s v="Brand"/>
    <x v="3"/>
    <x v="1"/>
    <s v="Michael Pittman"/>
    <n v="14.3"/>
    <n v="2024"/>
  </r>
  <r>
    <x v="10"/>
    <s v="Brand"/>
    <x v="3"/>
    <x v="1"/>
    <s v="Garrett Wilson"/>
    <n v="4.5999999999999996"/>
    <n v="2024"/>
  </r>
  <r>
    <x v="10"/>
    <s v="Brand"/>
    <x v="3"/>
    <x v="1"/>
    <s v="Jameson Williams"/>
    <n v="15"/>
    <n v="2024"/>
  </r>
  <r>
    <x v="10"/>
    <s v="Brand"/>
    <x v="3"/>
    <x v="2"/>
    <s v="Kenneth Walker"/>
    <n v="31.6"/>
    <n v="2024"/>
  </r>
  <r>
    <x v="10"/>
    <s v="Brand"/>
    <x v="3"/>
    <x v="2"/>
    <s v="Breece Hall"/>
    <n v="2.8"/>
    <n v="2024"/>
  </r>
  <r>
    <x v="10"/>
    <s v="Brand"/>
    <x v="3"/>
    <x v="3"/>
    <s v="Dallas Goedert"/>
    <n v="9.6999999999999993"/>
    <n v="2024"/>
  </r>
  <r>
    <x v="10"/>
    <s v="Brand"/>
    <x v="3"/>
    <x v="5"/>
    <s v="Cairo Santos"/>
    <n v="7"/>
    <n v="2024"/>
  </r>
  <r>
    <x v="10"/>
    <s v="Brand"/>
    <x v="3"/>
    <x v="4"/>
    <s v="Las Vegas"/>
    <n v="10"/>
    <n v="2024"/>
  </r>
  <r>
    <x v="10"/>
    <s v="Brand"/>
    <x v="3"/>
    <x v="6"/>
    <s v="Keenan Allen"/>
    <n v="3.4"/>
    <n v="2024"/>
  </r>
  <r>
    <x v="3"/>
    <s v="Kevin"/>
    <x v="3"/>
    <x v="0"/>
    <s v="CJ Stroud"/>
    <n v="23.5"/>
    <n v="2024"/>
  </r>
  <r>
    <x v="3"/>
    <s v="Kevin"/>
    <x v="3"/>
    <x v="1"/>
    <s v="Jordan Addison"/>
    <n v="21.4"/>
    <n v="2024"/>
  </r>
  <r>
    <x v="3"/>
    <s v="Kevin"/>
    <x v="3"/>
    <x v="1"/>
    <s v="Marvin Harrison Jr"/>
    <n v="13"/>
    <n v="2024"/>
  </r>
  <r>
    <x v="3"/>
    <s v="Kevin"/>
    <x v="3"/>
    <x v="1"/>
    <s v="George Pickens"/>
    <n v="12.8"/>
    <n v="2024"/>
  </r>
  <r>
    <x v="3"/>
    <s v="Kevin"/>
    <x v="3"/>
    <x v="2"/>
    <s v="Chuba Hubbard"/>
    <n v="20.100000000000001"/>
    <n v="2024"/>
  </r>
  <r>
    <x v="3"/>
    <s v="Kevin"/>
    <x v="3"/>
    <x v="2"/>
    <s v="Najee Harris"/>
    <n v="8.8000000000000007"/>
    <n v="2024"/>
  </r>
  <r>
    <x v="3"/>
    <s v="Kevin"/>
    <x v="3"/>
    <x v="3"/>
    <s v="Hunter Henry"/>
    <n v="2.2000000000000002"/>
    <n v="2024"/>
  </r>
  <r>
    <x v="3"/>
    <s v="Kevin"/>
    <x v="3"/>
    <x v="5"/>
    <s v="Justin Tucker"/>
    <n v="5"/>
    <n v="2024"/>
  </r>
  <r>
    <x v="3"/>
    <s v="Kevin"/>
    <x v="3"/>
    <x v="4"/>
    <s v="Cleveland"/>
    <n v="12"/>
    <n v="2024"/>
  </r>
  <r>
    <x v="3"/>
    <s v="Kevin"/>
    <x v="3"/>
    <x v="6"/>
    <s v="Chris Olave"/>
    <n v="12.7"/>
    <n v="2024"/>
  </r>
  <r>
    <x v="0"/>
    <s v="Brenton"/>
    <x v="4"/>
    <x v="0"/>
    <s v="Baker Mayfield"/>
    <n v="23.4"/>
    <n v="2024"/>
  </r>
  <r>
    <x v="0"/>
    <s v="Brenton"/>
    <x v="4"/>
    <x v="1"/>
    <s v="Jayden Reed"/>
    <n v="11.7"/>
    <n v="2024"/>
  </r>
  <r>
    <x v="0"/>
    <s v="Brenton"/>
    <x v="4"/>
    <x v="1"/>
    <s v="Tyreek Hill"/>
    <n v="9.9"/>
    <n v="2024"/>
  </r>
  <r>
    <x v="0"/>
    <s v="Brenton"/>
    <x v="4"/>
    <x v="1"/>
    <s v="Courtland Sutton"/>
    <n v="4.2"/>
    <n v="2024"/>
  </r>
  <r>
    <x v="0"/>
    <s v="Brenton"/>
    <x v="4"/>
    <x v="2"/>
    <s v="Javonte Williams"/>
    <n v="13.6"/>
    <n v="2024"/>
  </r>
  <r>
    <x v="0"/>
    <s v="Brenton"/>
    <x v="4"/>
    <x v="2"/>
    <s v="Jerome Ford"/>
    <n v="6.4"/>
    <n v="2024"/>
  </r>
  <r>
    <x v="0"/>
    <s v="Brenton"/>
    <x v="4"/>
    <x v="3"/>
    <s v="Trey McBride"/>
    <n v="8.3000000000000007"/>
    <n v="2024"/>
  </r>
  <r>
    <x v="0"/>
    <s v="Brenton"/>
    <x v="4"/>
    <x v="5"/>
    <s v="Tyler Bass"/>
    <n v="8"/>
    <n v="2024"/>
  </r>
  <r>
    <x v="0"/>
    <s v="Brenton"/>
    <x v="4"/>
    <x v="4"/>
    <s v="New England"/>
    <n v="9"/>
    <n v="2024"/>
  </r>
  <r>
    <x v="0"/>
    <s v="Brenton"/>
    <x v="4"/>
    <x v="6"/>
    <s v="Dontayvion Wicks"/>
    <n v="3"/>
    <n v="2024"/>
  </r>
  <r>
    <x v="4"/>
    <s v="Eli"/>
    <x v="4"/>
    <x v="0"/>
    <s v="Deshaun Watson"/>
    <n v="8.4"/>
    <n v="2024"/>
  </r>
  <r>
    <x v="4"/>
    <s v="Eli"/>
    <x v="4"/>
    <x v="1"/>
    <s v="DJ Moore"/>
    <n v="25"/>
    <n v="2024"/>
  </r>
  <r>
    <x v="4"/>
    <s v="Eli"/>
    <x v="4"/>
    <x v="1"/>
    <s v="Justin Jefferson"/>
    <n v="12.2"/>
    <n v="2024"/>
  </r>
  <r>
    <x v="4"/>
    <s v="Eli"/>
    <x v="4"/>
    <x v="1"/>
    <s v="Rome Odunze"/>
    <n v="6.5"/>
    <n v="2024"/>
  </r>
  <r>
    <x v="4"/>
    <s v="Eli"/>
    <x v="4"/>
    <x v="2"/>
    <s v="Bijan Robinson"/>
    <n v="9.1999999999999993"/>
    <n v="2024"/>
  </r>
  <r>
    <x v="4"/>
    <s v="Eli"/>
    <x v="4"/>
    <x v="2"/>
    <s v="Jordan Mason"/>
    <n v="8.3000000000000007"/>
    <n v="2024"/>
  </r>
  <r>
    <x v="4"/>
    <s v="Eli"/>
    <x v="4"/>
    <x v="3"/>
    <s v="David Njoku"/>
    <n v="1.9"/>
    <n v="2024"/>
  </r>
  <r>
    <x v="4"/>
    <s v="Eli"/>
    <x v="4"/>
    <x v="5"/>
    <s v="Jake Moody"/>
    <n v="8"/>
    <n v="2024"/>
  </r>
  <r>
    <x v="4"/>
    <s v="Eli"/>
    <x v="4"/>
    <x v="4"/>
    <s v="NYJ"/>
    <n v="10"/>
    <n v="2024"/>
  </r>
  <r>
    <x v="4"/>
    <s v="Eli"/>
    <x v="4"/>
    <x v="6"/>
    <s v="Xavier Legette"/>
    <n v="1.3"/>
    <n v="2024"/>
  </r>
  <r>
    <x v="2"/>
    <s v="Mike"/>
    <x v="4"/>
    <x v="0"/>
    <s v="Justin Fields"/>
    <n v="15.94"/>
    <n v="2024"/>
  </r>
  <r>
    <x v="2"/>
    <s v="Mike"/>
    <x v="4"/>
    <x v="1"/>
    <s v="Mike Evans"/>
    <n v="20.7"/>
    <n v="2024"/>
  </r>
  <r>
    <x v="2"/>
    <s v="Mike"/>
    <x v="4"/>
    <x v="1"/>
    <s v="Tutu Atwell"/>
    <n v="9.5"/>
    <n v="2024"/>
  </r>
  <r>
    <x v="2"/>
    <s v="Mike"/>
    <x v="4"/>
    <x v="1"/>
    <s v="Tank Dell"/>
    <n v="5.3"/>
    <n v="2024"/>
  </r>
  <r>
    <x v="2"/>
    <s v="Mike"/>
    <x v="4"/>
    <x v="2"/>
    <s v="Derrick Henry"/>
    <n v="16.100000000000001"/>
    <n v="2024"/>
  </r>
  <r>
    <x v="2"/>
    <s v="Mike"/>
    <x v="4"/>
    <x v="2"/>
    <s v="Kareem Hunt"/>
    <n v="18.2"/>
    <n v="2024"/>
  </r>
  <r>
    <x v="2"/>
    <s v="Mike"/>
    <x v="4"/>
    <x v="3"/>
    <s v="Jake Ferguson"/>
    <n v="10"/>
    <n v="2024"/>
  </r>
  <r>
    <x v="2"/>
    <s v="Mike"/>
    <x v="4"/>
    <x v="5"/>
    <s v="Younghoe Koo"/>
    <n v="16"/>
    <n v="2024"/>
  </r>
  <r>
    <x v="2"/>
    <s v="Mike"/>
    <x v="4"/>
    <x v="4"/>
    <s v="Buffalo"/>
    <n v="1"/>
    <n v="2024"/>
  </r>
  <r>
    <x v="2"/>
    <s v="Mike"/>
    <x v="4"/>
    <x v="7"/>
    <s v="Chase Brown"/>
    <n v="14.9"/>
    <n v="2024"/>
  </r>
  <r>
    <x v="11"/>
    <s v="Cam"/>
    <x v="4"/>
    <x v="0"/>
    <s v="Joe Burrow"/>
    <n v="33.78"/>
    <n v="2024"/>
  </r>
  <r>
    <x v="11"/>
    <s v="Cam"/>
    <x v="4"/>
    <x v="1"/>
    <s v="Ja'Marr Chase"/>
    <n v="36.299999999999997"/>
    <n v="2024"/>
  </r>
  <r>
    <x v="11"/>
    <s v="Cam"/>
    <x v="4"/>
    <x v="1"/>
    <s v="Brandon Aiyuk"/>
    <n v="18.7"/>
    <n v="2024"/>
  </r>
  <r>
    <x v="11"/>
    <s v="Cam"/>
    <x v="4"/>
    <x v="1"/>
    <s v="Nico Collins"/>
    <n v="14.8"/>
    <n v="2024"/>
  </r>
  <r>
    <x v="11"/>
    <s v="Cam"/>
    <x v="4"/>
    <x v="2"/>
    <s v="D'Andre Swift"/>
    <n v="19"/>
    <n v="2024"/>
  </r>
  <r>
    <x v="11"/>
    <s v="Cam"/>
    <x v="4"/>
    <x v="2"/>
    <s v="Aaron Jones"/>
    <n v="5.8"/>
    <n v="2024"/>
  </r>
  <r>
    <x v="11"/>
    <s v="Cam"/>
    <x v="4"/>
    <x v="3"/>
    <s v="George Kittle"/>
    <n v="16.399999999999999"/>
    <n v="2024"/>
  </r>
  <r>
    <x v="11"/>
    <s v="Cam"/>
    <x v="4"/>
    <x v="5"/>
    <s v="Evan McPherson"/>
    <n v="4"/>
    <n v="2024"/>
  </r>
  <r>
    <x v="11"/>
    <s v="Cam"/>
    <x v="4"/>
    <x v="4"/>
    <s v="Chicago"/>
    <n v="15"/>
    <n v="2024"/>
  </r>
  <r>
    <x v="11"/>
    <s v="Cam"/>
    <x v="4"/>
    <x v="6"/>
    <s v="Wan'Dale Robinson"/>
    <n v="13"/>
    <n v="2024"/>
  </r>
  <r>
    <x v="10"/>
    <s v="Brand"/>
    <x v="4"/>
    <x v="0"/>
    <s v="Joe Flacco"/>
    <n v="26.56"/>
    <n v="2024"/>
  </r>
  <r>
    <x v="10"/>
    <s v="Brand"/>
    <x v="4"/>
    <x v="1"/>
    <s v="Garrett Wilson"/>
    <n v="22.6"/>
    <n v="2024"/>
  </r>
  <r>
    <x v="10"/>
    <s v="Brand"/>
    <x v="4"/>
    <x v="1"/>
    <s v="Michael Pittman"/>
    <n v="12.2"/>
    <n v="2024"/>
  </r>
  <r>
    <x v="10"/>
    <s v="Brand"/>
    <x v="4"/>
    <x v="1"/>
    <s v="Keenan Allen"/>
    <n v="4.8"/>
    <n v="2024"/>
  </r>
  <r>
    <x v="10"/>
    <s v="Brand"/>
    <x v="4"/>
    <x v="2"/>
    <s v="Kenneth Walker"/>
    <n v="11.1"/>
    <n v="2024"/>
  </r>
  <r>
    <x v="10"/>
    <s v="Brand"/>
    <x v="4"/>
    <x v="2"/>
    <s v="Breece Hall"/>
    <n v="5.2"/>
    <n v="2024"/>
  </r>
  <r>
    <x v="10"/>
    <s v="Brand"/>
    <x v="4"/>
    <x v="3"/>
    <s v="Zach Ertz"/>
    <n v="2"/>
    <n v="2024"/>
  </r>
  <r>
    <x v="10"/>
    <s v="Brand"/>
    <x v="4"/>
    <x v="5"/>
    <s v="Cairo Santos"/>
    <n v="5"/>
    <n v="2024"/>
  </r>
  <r>
    <x v="10"/>
    <s v="Brand"/>
    <x v="4"/>
    <x v="4"/>
    <s v="Indianapolis"/>
    <n v="-4"/>
    <n v="2024"/>
  </r>
  <r>
    <x v="10"/>
    <s v="Brand"/>
    <x v="4"/>
    <x v="7"/>
    <s v="Bucky Irving"/>
    <n v="4.5999999999999996"/>
    <n v="2024"/>
  </r>
  <r>
    <x v="5"/>
    <s v="Burnett/Jasjaap"/>
    <x v="4"/>
    <x v="0"/>
    <s v="Brock Purdy"/>
    <n v="13.06"/>
    <n v="2024"/>
  </r>
  <r>
    <x v="5"/>
    <s v="Burnett/Jasjaap"/>
    <x v="4"/>
    <x v="1"/>
    <s v="Rashid Shaheed"/>
    <n v="16.600000000000001"/>
    <n v="2024"/>
  </r>
  <r>
    <x v="5"/>
    <s v="Burnett/Jasjaap"/>
    <x v="4"/>
    <x v="1"/>
    <s v="CeeDee Lamb"/>
    <n v="8.9"/>
    <n v="2024"/>
  </r>
  <r>
    <x v="5"/>
    <s v="Burnett/Jasjaap"/>
    <x v="4"/>
    <x v="1"/>
    <s v="Jordan Whittington"/>
    <n v="12.4"/>
    <n v="2024"/>
  </r>
  <r>
    <x v="5"/>
    <s v="Burnett/Jasjaap"/>
    <x v="4"/>
    <x v="2"/>
    <s v="Josh Jacobs"/>
    <n v="15.9"/>
    <n v="2024"/>
  </r>
  <r>
    <x v="5"/>
    <s v="Burnett/Jasjaap"/>
    <x v="4"/>
    <x v="2"/>
    <s v="Rico Dowdle"/>
    <n v="18.399999999999999"/>
    <n v="2024"/>
  </r>
  <r>
    <x v="5"/>
    <s v="Burnett/Jasjaap"/>
    <x v="4"/>
    <x v="3"/>
    <s v="Brock Bowers"/>
    <n v="19.7"/>
    <n v="2024"/>
  </r>
  <r>
    <x v="5"/>
    <s v="Burnett/Jasjaap"/>
    <x v="4"/>
    <x v="5"/>
    <s v="Austin Seibert"/>
    <n v="10"/>
    <n v="2024"/>
  </r>
  <r>
    <x v="5"/>
    <s v="Burnett/Jasjaap"/>
    <x v="4"/>
    <x v="4"/>
    <s v="Pittsburgh"/>
    <n v="7"/>
    <n v="2024"/>
  </r>
  <r>
    <x v="5"/>
    <s v="Burnett/Jasjaap"/>
    <x v="4"/>
    <x v="6"/>
    <s v="Jaylen Waddle"/>
    <n v="6.6"/>
    <n v="2024"/>
  </r>
  <r>
    <x v="6"/>
    <s v="Will"/>
    <x v="4"/>
    <x v="0"/>
    <s v="Geno Smith"/>
    <n v="22.56"/>
    <n v="2024"/>
  </r>
  <r>
    <x v="6"/>
    <s v="Will"/>
    <x v="4"/>
    <x v="1"/>
    <s v="Drake London"/>
    <n v="27.4"/>
    <n v="2024"/>
  </r>
  <r>
    <x v="6"/>
    <s v="Will"/>
    <x v="4"/>
    <x v="1"/>
    <s v="Jaxon Smith-Njigba"/>
    <n v="11.1"/>
    <n v="2024"/>
  </r>
  <r>
    <x v="6"/>
    <s v="Will"/>
    <x v="4"/>
    <x v="1"/>
    <s v="Keon Coleman"/>
    <n v="11.4"/>
    <n v="2024"/>
  </r>
  <r>
    <x v="6"/>
    <s v="Will"/>
    <x v="4"/>
    <x v="2"/>
    <s v="Travis Etienne"/>
    <n v="9"/>
    <n v="2024"/>
  </r>
  <r>
    <x v="6"/>
    <s v="Will"/>
    <x v="4"/>
    <x v="2"/>
    <s v="Austin Ekeler"/>
    <n v="10.7"/>
    <n v="2024"/>
  </r>
  <r>
    <x v="6"/>
    <s v="Will"/>
    <x v="4"/>
    <x v="3"/>
    <s v="Travis Kelce"/>
    <n v="11.5"/>
    <n v="2024"/>
  </r>
  <r>
    <x v="6"/>
    <s v="Will"/>
    <x v="4"/>
    <x v="5"/>
    <s v="Jason Myers"/>
    <n v="9"/>
    <n v="2024"/>
  </r>
  <r>
    <x v="6"/>
    <s v="Will"/>
    <x v="4"/>
    <x v="4"/>
    <s v="Houston"/>
    <n v="3"/>
    <n v="2024"/>
  </r>
  <r>
    <x v="6"/>
    <s v="Will"/>
    <x v="4"/>
    <x v="7"/>
    <s v="Zach Charbonet"/>
    <n v="4.5"/>
    <n v="2024"/>
  </r>
  <r>
    <x v="8"/>
    <s v="Schulwolf"/>
    <x v="4"/>
    <x v="0"/>
    <s v="Jayden Daniels"/>
    <n v="19.72"/>
    <n v="2024"/>
  </r>
  <r>
    <x v="8"/>
    <s v="Schulwolf"/>
    <x v="4"/>
    <x v="1"/>
    <s v="Terry McLaurin"/>
    <n v="11.4"/>
    <n v="2024"/>
  </r>
  <r>
    <x v="8"/>
    <s v="Schulwolf"/>
    <x v="4"/>
    <x v="1"/>
    <s v="Chris Godwin"/>
    <n v="9.1"/>
    <n v="2024"/>
  </r>
  <r>
    <x v="8"/>
    <s v="Schulwolf"/>
    <x v="4"/>
    <x v="1"/>
    <s v="Tyler Lockett"/>
    <n v="9.5"/>
    <n v="2024"/>
  </r>
  <r>
    <x v="8"/>
    <s v="Schulwolf"/>
    <x v="4"/>
    <x v="2"/>
    <s v="James Cook"/>
    <n v="16.899999999999999"/>
    <n v="2024"/>
  </r>
  <r>
    <x v="8"/>
    <s v="Schulwolf"/>
    <x v="4"/>
    <x v="2"/>
    <s v="Zack Moss"/>
    <n v="6.7"/>
    <n v="2024"/>
  </r>
  <r>
    <x v="8"/>
    <s v="Schulwolf"/>
    <x v="4"/>
    <x v="3"/>
    <s v="Dalton Kincaid"/>
    <n v="4.4000000000000004"/>
    <n v="2024"/>
  </r>
  <r>
    <x v="8"/>
    <s v="Schulwolf"/>
    <x v="4"/>
    <x v="5"/>
    <s v="Brandon Aubrey"/>
    <n v="9"/>
    <n v="2024"/>
  </r>
  <r>
    <x v="8"/>
    <s v="Schulwolf"/>
    <x v="4"/>
    <x v="4"/>
    <s v="Denver"/>
    <n v="15"/>
    <n v="2024"/>
  </r>
  <r>
    <x v="8"/>
    <s v="Schulwolf"/>
    <x v="4"/>
    <x v="6"/>
    <s v="Jerry Jeudy"/>
    <n v="2.1"/>
    <n v="2024"/>
  </r>
  <r>
    <x v="1"/>
    <s v="Todd"/>
    <x v="4"/>
    <x v="0"/>
    <s v="Sam Darnold"/>
    <n v="4.26"/>
    <n v="2024"/>
  </r>
  <r>
    <x v="1"/>
    <s v="Todd"/>
    <x v="4"/>
    <x v="1"/>
    <s v="Brian Thomas Jr"/>
    <n v="20.7"/>
    <n v="2024"/>
  </r>
  <r>
    <x v="1"/>
    <s v="Todd"/>
    <x v="4"/>
    <x v="1"/>
    <s v="Darnell Mooney"/>
    <n v="27"/>
    <n v="2024"/>
  </r>
  <r>
    <x v="1"/>
    <s v="Todd"/>
    <x v="4"/>
    <x v="1"/>
    <s v="Diontae Johnson"/>
    <n v="4.4000000000000004"/>
    <n v="2024"/>
  </r>
  <r>
    <x v="1"/>
    <s v="Todd"/>
    <x v="4"/>
    <x v="2"/>
    <s v="James Conner"/>
    <n v="13"/>
    <n v="2024"/>
  </r>
  <r>
    <x v="1"/>
    <s v="Todd"/>
    <x v="4"/>
    <x v="2"/>
    <s v="De'Von Achane"/>
    <n v="2.2000000000000002"/>
    <n v="2024"/>
  </r>
  <r>
    <x v="1"/>
    <s v="Todd"/>
    <x v="4"/>
    <x v="3"/>
    <s v="Tucker Kraft"/>
    <n v="22.8"/>
    <n v="2024"/>
  </r>
  <r>
    <x v="1"/>
    <s v="Todd"/>
    <x v="4"/>
    <x v="5"/>
    <s v="Chris Boswell"/>
    <n v="6"/>
    <n v="2024"/>
  </r>
  <r>
    <x v="1"/>
    <s v="Todd"/>
    <x v="4"/>
    <x v="4"/>
    <s v="Green Bay"/>
    <n v="12"/>
    <n v="2024"/>
  </r>
  <r>
    <x v="1"/>
    <s v="Todd"/>
    <x v="4"/>
    <x v="6"/>
    <s v="Deebo Samuel"/>
    <n v="2.5"/>
    <n v="2024"/>
  </r>
  <r>
    <x v="9"/>
    <s v="Tommy"/>
    <x v="4"/>
    <x v="0"/>
    <s v="Josh Allen"/>
    <n v="14.64"/>
    <n v="2024"/>
  </r>
  <r>
    <x v="9"/>
    <s v="Tommy"/>
    <x v="4"/>
    <x v="1"/>
    <s v="Xavier Worthy"/>
    <n v="10.3"/>
    <n v="2024"/>
  </r>
  <r>
    <x v="9"/>
    <s v="Tommy"/>
    <x v="4"/>
    <x v="1"/>
    <s v="Allen Lazard"/>
    <n v="11.4"/>
    <n v="2024"/>
  </r>
  <r>
    <x v="9"/>
    <s v="Tommy"/>
    <x v="4"/>
    <x v="1"/>
    <s v="Michael Wilson"/>
    <n v="10.3"/>
    <n v="2024"/>
  </r>
  <r>
    <x v="9"/>
    <s v="Tommy"/>
    <x v="4"/>
    <x v="2"/>
    <s v="Kyren Williams"/>
    <n v="15"/>
    <n v="2024"/>
  </r>
  <r>
    <x v="9"/>
    <s v="Tommy"/>
    <x v="4"/>
    <x v="2"/>
    <s v="Rachaad White"/>
    <n v="8.1"/>
    <n v="2024"/>
  </r>
  <r>
    <x v="9"/>
    <s v="Tommy"/>
    <x v="4"/>
    <x v="3"/>
    <s v="Cade Otton"/>
    <n v="5.9"/>
    <n v="2024"/>
  </r>
  <r>
    <x v="9"/>
    <s v="Tommy"/>
    <x v="4"/>
    <x v="5"/>
    <s v="Harrison Butker"/>
    <n v="14"/>
    <n v="2024"/>
  </r>
  <r>
    <x v="9"/>
    <s v="Tommy"/>
    <x v="4"/>
    <x v="4"/>
    <s v="Minnesota"/>
    <n v="17"/>
    <n v="2024"/>
  </r>
  <r>
    <x v="9"/>
    <s v="Tommy"/>
    <x v="4"/>
    <x v="6"/>
    <s v="DK Metcalf"/>
    <n v="5.5"/>
    <n v="2024"/>
  </r>
  <r>
    <x v="7"/>
    <s v="Jay"/>
    <x v="4"/>
    <x v="0"/>
    <s v="Lamar Jackson"/>
    <n v="33.42"/>
    <n v="2024"/>
  </r>
  <r>
    <x v="7"/>
    <s v="Jay"/>
    <x v="4"/>
    <x v="1"/>
    <s v="Stefon Diggs"/>
    <n v="11.2"/>
    <n v="2024"/>
  </r>
  <r>
    <x v="7"/>
    <s v="Jay"/>
    <x v="4"/>
    <x v="1"/>
    <s v="Amari Cooper"/>
    <n v="8"/>
    <n v="2024"/>
  </r>
  <r>
    <x v="7"/>
    <s v="Jay"/>
    <x v="4"/>
    <x v="1"/>
    <s v="Jauan Jennings"/>
    <n v="1.8"/>
    <n v="2024"/>
  </r>
  <r>
    <x v="7"/>
    <s v="Jay"/>
    <x v="4"/>
    <x v="2"/>
    <s v="Trey Sermon"/>
    <n v="15.3"/>
    <n v="2024"/>
  </r>
  <r>
    <x v="7"/>
    <s v="Jay"/>
    <x v="4"/>
    <x v="2"/>
    <s v="Brian Robinson"/>
    <n v="13.8"/>
    <n v="2024"/>
  </r>
  <r>
    <x v="7"/>
    <s v="Jay"/>
    <x v="4"/>
    <x v="3"/>
    <s v="Tyler Conklin"/>
    <n v="8.5"/>
    <n v="2024"/>
  </r>
  <r>
    <x v="7"/>
    <s v="Jay"/>
    <x v="4"/>
    <x v="5"/>
    <s v="Ka'imi Fairbairn"/>
    <n v="16"/>
    <n v="2024"/>
  </r>
  <r>
    <x v="7"/>
    <s v="Jay"/>
    <x v="4"/>
    <x v="4"/>
    <s v="Miami"/>
    <n v="7"/>
    <n v="2024"/>
  </r>
  <r>
    <x v="7"/>
    <s v="Jay"/>
    <x v="4"/>
    <x v="7"/>
    <s v="Alvin Kamara"/>
    <n v="9.6"/>
    <n v="2024"/>
  </r>
  <r>
    <x v="3"/>
    <s v="Kevin"/>
    <x v="4"/>
    <x v="0"/>
    <s v="CJ Stroud"/>
    <n v="15.94"/>
    <n v="2024"/>
  </r>
  <r>
    <x v="3"/>
    <s v="Kevin"/>
    <x v="4"/>
    <x v="1"/>
    <s v="Jordan Addison"/>
    <n v="5.0999999999999996"/>
    <n v="2024"/>
  </r>
  <r>
    <x v="3"/>
    <s v="Kevin"/>
    <x v="4"/>
    <x v="1"/>
    <s v="Marvin Harrison Jr"/>
    <n v="4.5999999999999996"/>
    <n v="2024"/>
  </r>
  <r>
    <x v="3"/>
    <s v="Kevin"/>
    <x v="4"/>
    <x v="1"/>
    <s v="George Pickens"/>
    <n v="4.0999999999999996"/>
    <n v="2024"/>
  </r>
  <r>
    <x v="3"/>
    <s v="Kevin"/>
    <x v="4"/>
    <x v="2"/>
    <s v="Chuba Hubbard"/>
    <n v="15.5"/>
    <n v="2024"/>
  </r>
  <r>
    <x v="3"/>
    <s v="Kevin"/>
    <x v="4"/>
    <x v="2"/>
    <s v="Najee Harris"/>
    <n v="8.6999999999999993"/>
    <n v="2024"/>
  </r>
  <r>
    <x v="3"/>
    <s v="Kevin"/>
    <x v="4"/>
    <x v="3"/>
    <s v="Hunter Henry"/>
    <n v="4.2"/>
    <n v="2024"/>
  </r>
  <r>
    <x v="3"/>
    <s v="Kevin"/>
    <x v="4"/>
    <x v="5"/>
    <s v="Justin Tucker"/>
    <n v="13"/>
    <n v="2024"/>
  </r>
  <r>
    <x v="3"/>
    <s v="Kevin"/>
    <x v="4"/>
    <x v="4"/>
    <s v="Seattle"/>
    <n v="7"/>
    <n v="2024"/>
  </r>
  <r>
    <x v="3"/>
    <s v="Kevin"/>
    <x v="4"/>
    <x v="6"/>
    <s v="Chris Olave"/>
    <n v="2"/>
    <n v="2024"/>
  </r>
  <r>
    <x v="0"/>
    <s v="Brenton"/>
    <x v="5"/>
    <x v="0"/>
    <s v="Daniel Jones"/>
    <n v="11.8"/>
    <n v="2024"/>
  </r>
  <r>
    <x v="0"/>
    <s v="Brenton"/>
    <x v="5"/>
    <x v="1"/>
    <s v="Jayden Reed"/>
    <n v="11.8"/>
    <n v="2024"/>
  </r>
  <r>
    <x v="0"/>
    <s v="Brenton"/>
    <x v="5"/>
    <x v="1"/>
    <s v="Courtland Sutton"/>
    <n v="13.3"/>
    <n v="2024"/>
  </r>
  <r>
    <x v="0"/>
    <s v="Brenton"/>
    <x v="5"/>
    <x v="1"/>
    <s v="Zay Flowers"/>
    <n v="17.899999999999999"/>
    <n v="2024"/>
  </r>
  <r>
    <x v="0"/>
    <s v="Brenton"/>
    <x v="5"/>
    <x v="2"/>
    <s v="Javonte Williams"/>
    <n v="3.1"/>
    <n v="2024"/>
  </r>
  <r>
    <x v="0"/>
    <s v="Brenton"/>
    <x v="5"/>
    <x v="2"/>
    <s v="Tank Bigsby"/>
    <n v="2.4"/>
    <n v="2024"/>
  </r>
  <r>
    <x v="0"/>
    <s v="Brenton"/>
    <x v="5"/>
    <x v="3"/>
    <s v="Trey McBride"/>
    <n v="13.6"/>
    <n v="2024"/>
  </r>
  <r>
    <x v="0"/>
    <s v="Brenton"/>
    <x v="5"/>
    <x v="5"/>
    <s v="Jake Elliott"/>
    <n v="10"/>
    <n v="2024"/>
  </r>
  <r>
    <x v="0"/>
    <s v="Brenton"/>
    <x v="5"/>
    <x v="4"/>
    <s v="Atlanta"/>
    <n v="4"/>
    <n v="2024"/>
  </r>
  <r>
    <x v="0"/>
    <s v="Brenton"/>
    <x v="5"/>
    <x v="6"/>
    <s v="Dontayvion Wicks"/>
    <n v="1.4"/>
    <n v="2024"/>
  </r>
  <r>
    <x v="11"/>
    <s v="Cam"/>
    <x v="5"/>
    <x v="0"/>
    <s v="Joe Burrow"/>
    <n v="19.82"/>
    <n v="2024"/>
  </r>
  <r>
    <x v="11"/>
    <s v="Cam"/>
    <x v="5"/>
    <x v="1"/>
    <s v="Josh Downs"/>
    <n v="16"/>
    <n v="2024"/>
  </r>
  <r>
    <x v="11"/>
    <s v="Cam"/>
    <x v="5"/>
    <x v="1"/>
    <s v="Ja'Marr Chase"/>
    <n v="9.6999999999999993"/>
    <n v="2024"/>
  </r>
  <r>
    <x v="11"/>
    <s v="Cam"/>
    <x v="5"/>
    <x v="1"/>
    <s v="Wan'Dale Robinson"/>
    <n v="7.5"/>
    <n v="2024"/>
  </r>
  <r>
    <x v="11"/>
    <s v="Cam"/>
    <x v="5"/>
    <x v="2"/>
    <s v="D'Andre Swift"/>
    <n v="19.899999999999999"/>
    <n v="2024"/>
  </r>
  <r>
    <x v="11"/>
    <s v="Cam"/>
    <x v="5"/>
    <x v="2"/>
    <s v="JK Dobbins"/>
    <n v="17.2"/>
    <n v="2024"/>
  </r>
  <r>
    <x v="11"/>
    <s v="Cam"/>
    <x v="5"/>
    <x v="3"/>
    <s v="George Kittle"/>
    <n v="20.3"/>
    <n v="2024"/>
  </r>
  <r>
    <x v="11"/>
    <s v="Cam"/>
    <x v="5"/>
    <x v="5"/>
    <s v="Evan McPherson"/>
    <n v="5"/>
    <n v="2024"/>
  </r>
  <r>
    <x v="11"/>
    <s v="Cam"/>
    <x v="5"/>
    <x v="4"/>
    <s v="Chicago"/>
    <n v="10"/>
    <n v="2024"/>
  </r>
  <r>
    <x v="11"/>
    <s v="Cam"/>
    <x v="5"/>
    <x v="6"/>
    <s v="Brandon Aiyuk"/>
    <n v="4.7"/>
    <n v="2024"/>
  </r>
  <r>
    <x v="2"/>
    <s v="Mike"/>
    <x v="5"/>
    <x v="0"/>
    <s v="Justin Fields"/>
    <n v="23.7"/>
    <n v="2024"/>
  </r>
  <r>
    <x v="2"/>
    <s v="Mike"/>
    <x v="5"/>
    <x v="1"/>
    <s v="Tank Dell"/>
    <n v="15.2"/>
    <n v="2024"/>
  </r>
  <r>
    <x v="2"/>
    <s v="Mike"/>
    <x v="5"/>
    <x v="1"/>
    <s v="Mike Evans"/>
    <n v="4.4000000000000004"/>
    <n v="2024"/>
  </r>
  <r>
    <x v="2"/>
    <s v="Mike"/>
    <x v="5"/>
    <x v="1"/>
    <s v="Ray-Ray McCloud"/>
    <n v="2.8"/>
    <n v="2024"/>
  </r>
  <r>
    <x v="2"/>
    <s v="Mike"/>
    <x v="5"/>
    <x v="2"/>
    <s v="Derrick Henry"/>
    <n v="25.2"/>
    <n v="2024"/>
  </r>
  <r>
    <x v="2"/>
    <s v="Mike"/>
    <x v="5"/>
    <x v="2"/>
    <s v="Chase Brown"/>
    <n v="13.4"/>
    <n v="2024"/>
  </r>
  <r>
    <x v="2"/>
    <s v="Mike"/>
    <x v="5"/>
    <x v="3"/>
    <s v="Sam LaPorta"/>
    <n v="11.7"/>
    <n v="2024"/>
  </r>
  <r>
    <x v="2"/>
    <s v="Mike"/>
    <x v="5"/>
    <x v="5"/>
    <s v="Younghoe Koo"/>
    <n v="12"/>
    <n v="2024"/>
  </r>
  <r>
    <x v="2"/>
    <s v="Mike"/>
    <x v="5"/>
    <x v="4"/>
    <s v="Buffalo"/>
    <n v="5"/>
    <n v="2024"/>
  </r>
  <r>
    <x v="2"/>
    <s v="Mike"/>
    <x v="5"/>
    <x v="8"/>
    <s v="Jake Ferguson"/>
    <n v="2.6"/>
    <n v="2024"/>
  </r>
  <r>
    <x v="9"/>
    <s v="Tommy"/>
    <x v="5"/>
    <x v="0"/>
    <s v="Josh Allen"/>
    <n v="24.4"/>
    <n v="2024"/>
  </r>
  <r>
    <x v="9"/>
    <s v="Tommy"/>
    <x v="5"/>
    <x v="1"/>
    <s v="Allen Lazard"/>
    <n v="20.399999999999999"/>
    <n v="2024"/>
  </r>
  <r>
    <x v="9"/>
    <s v="Tommy"/>
    <x v="5"/>
    <x v="1"/>
    <s v="Romeo Doubs"/>
    <n v="18.399999999999999"/>
    <n v="2024"/>
  </r>
  <r>
    <x v="9"/>
    <s v="Tommy"/>
    <x v="5"/>
    <x v="1"/>
    <s v="Michael Wilson"/>
    <n v="9.1"/>
    <n v="2024"/>
  </r>
  <r>
    <x v="9"/>
    <s v="Tommy"/>
    <x v="5"/>
    <x v="2"/>
    <s v="Alexander Mattison"/>
    <n v="15"/>
    <n v="2024"/>
  </r>
  <r>
    <x v="9"/>
    <s v="Tommy"/>
    <x v="5"/>
    <x v="2"/>
    <s v="Saquon Barkley"/>
    <n v="6.4"/>
    <n v="2024"/>
  </r>
  <r>
    <x v="9"/>
    <s v="Tommy"/>
    <x v="5"/>
    <x v="3"/>
    <s v="Cade Otton"/>
    <n v="8.5"/>
    <n v="2024"/>
  </r>
  <r>
    <x v="9"/>
    <s v="Tommy"/>
    <x v="5"/>
    <x v="5"/>
    <s v="Chase McLaughlin"/>
    <n v="9"/>
    <n v="2024"/>
  </r>
  <r>
    <x v="9"/>
    <s v="Tommy"/>
    <x v="5"/>
    <x v="4"/>
    <s v="San Francisco"/>
    <n v="6"/>
    <n v="2024"/>
  </r>
  <r>
    <x v="9"/>
    <s v="Tommy"/>
    <x v="5"/>
    <x v="6"/>
    <s v="DK Metcalf"/>
    <n v="6.3"/>
    <n v="2024"/>
  </r>
  <r>
    <x v="1"/>
    <s v="Todd"/>
    <x v="5"/>
    <x v="0"/>
    <s v="Dak Prescott"/>
    <n v="3.22"/>
    <n v="2024"/>
  </r>
  <r>
    <x v="1"/>
    <s v="Todd"/>
    <x v="5"/>
    <x v="1"/>
    <s v="Deebo Samuel"/>
    <n v="19.2"/>
    <n v="2024"/>
  </r>
  <r>
    <x v="1"/>
    <s v="Todd"/>
    <x v="5"/>
    <x v="1"/>
    <s v="AJ Brown"/>
    <n v="20.6"/>
    <n v="2024"/>
  </r>
  <r>
    <x v="1"/>
    <s v="Todd"/>
    <x v="5"/>
    <x v="1"/>
    <s v="Darnell Mooney"/>
    <n v="5.3"/>
    <n v="2024"/>
  </r>
  <r>
    <x v="1"/>
    <s v="Todd"/>
    <x v="5"/>
    <x v="2"/>
    <s v="James Conner"/>
    <n v="4.5999999999999996"/>
    <n v="2024"/>
  </r>
  <r>
    <x v="1"/>
    <s v="Todd"/>
    <x v="5"/>
    <x v="2"/>
    <s v="Braelon Allen"/>
    <n v="0.8"/>
    <n v="2024"/>
  </r>
  <r>
    <x v="1"/>
    <s v="Todd"/>
    <x v="5"/>
    <x v="3"/>
    <s v="Tucker Kraft"/>
    <n v="2.5"/>
    <n v="2024"/>
  </r>
  <r>
    <x v="1"/>
    <s v="Todd"/>
    <x v="5"/>
    <x v="5"/>
    <s v="Chris Boswell"/>
    <n v="17"/>
    <n v="2024"/>
  </r>
  <r>
    <x v="1"/>
    <s v="Todd"/>
    <x v="5"/>
    <x v="4"/>
    <s v="Green Bay"/>
    <n v="9"/>
    <n v="2024"/>
  </r>
  <r>
    <x v="1"/>
    <s v="Todd"/>
    <x v="5"/>
    <x v="6"/>
    <s v="Brian Thomas Jr"/>
    <n v="4.2"/>
    <n v="2024"/>
  </r>
  <r>
    <x v="8"/>
    <s v="Schulwolf"/>
    <x v="5"/>
    <x v="0"/>
    <s v="Jayden Daniels"/>
    <n v="20.96"/>
    <n v="2024"/>
  </r>
  <r>
    <x v="8"/>
    <s v="Schulwolf"/>
    <x v="5"/>
    <x v="1"/>
    <s v="Terry McLaurin"/>
    <n v="20.3"/>
    <n v="2024"/>
  </r>
  <r>
    <x v="8"/>
    <s v="Schulwolf"/>
    <x v="5"/>
    <x v="1"/>
    <s v="Chris Godwin"/>
    <n v="30"/>
    <n v="2024"/>
  </r>
  <r>
    <x v="8"/>
    <s v="Schulwolf"/>
    <x v="5"/>
    <x v="1"/>
    <s v="DeVonta Smith"/>
    <n v="13.9"/>
    <n v="2024"/>
  </r>
  <r>
    <x v="8"/>
    <s v="Schulwolf"/>
    <x v="5"/>
    <x v="2"/>
    <s v="Jahmyr Gibbs"/>
    <n v="10.6"/>
    <n v="2024"/>
  </r>
  <r>
    <x v="8"/>
    <s v="Schulwolf"/>
    <x v="5"/>
    <x v="2"/>
    <s v="Ty Johnson"/>
    <n v="3.4"/>
    <n v="2024"/>
  </r>
  <r>
    <x v="8"/>
    <s v="Schulwolf"/>
    <x v="5"/>
    <x v="3"/>
    <s v="Dalton Kincaid"/>
    <n v="8.1"/>
    <n v="2024"/>
  </r>
  <r>
    <x v="8"/>
    <s v="Schulwolf"/>
    <x v="5"/>
    <x v="5"/>
    <s v="Brandon Aubrey"/>
    <n v="12"/>
    <n v="2024"/>
  </r>
  <r>
    <x v="8"/>
    <s v="Schulwolf"/>
    <x v="5"/>
    <x v="4"/>
    <s v="Denver"/>
    <n v="2"/>
    <n v="2024"/>
  </r>
  <r>
    <x v="8"/>
    <s v="Schulwolf"/>
    <x v="5"/>
    <x v="7"/>
    <s v="Zack Moss"/>
    <n v="0"/>
    <n v="2024"/>
  </r>
  <r>
    <x v="4"/>
    <s v="Eli"/>
    <x v="5"/>
    <x v="0"/>
    <s v="Jalen Hurts"/>
    <n v="21.86"/>
    <n v="2024"/>
  </r>
  <r>
    <x v="4"/>
    <s v="Eli"/>
    <x v="5"/>
    <x v="1"/>
    <s v="Jalen Tolbert"/>
    <n v="6.3"/>
    <n v="2024"/>
  </r>
  <r>
    <x v="4"/>
    <s v="Eli"/>
    <x v="5"/>
    <x v="1"/>
    <s v="DJ Moore"/>
    <n v="4"/>
    <n v="2024"/>
  </r>
  <r>
    <x v="4"/>
    <s v="Eli"/>
    <x v="5"/>
    <x v="1"/>
    <s v="Rome Odunze"/>
    <n v="5"/>
    <n v="2024"/>
  </r>
  <r>
    <x v="4"/>
    <s v="Eli"/>
    <x v="5"/>
    <x v="2"/>
    <s v="Bijan Robinson"/>
    <n v="24"/>
    <n v="2024"/>
  </r>
  <r>
    <x v="4"/>
    <s v="Eli"/>
    <x v="5"/>
    <x v="2"/>
    <s v="Jordan Mason"/>
    <n v="8.6999999999999993"/>
    <n v="2024"/>
  </r>
  <r>
    <x v="4"/>
    <s v="Eli"/>
    <x v="5"/>
    <x v="3"/>
    <s v="Kyle Pitts"/>
    <n v="8.5"/>
    <n v="2024"/>
  </r>
  <r>
    <x v="4"/>
    <s v="Eli"/>
    <x v="5"/>
    <x v="5"/>
    <s v="Brayden Narveson"/>
    <n v="10"/>
    <n v="2024"/>
  </r>
  <r>
    <x v="4"/>
    <s v="Eli"/>
    <x v="5"/>
    <x v="4"/>
    <s v="NYJ"/>
    <n v="1"/>
    <n v="2024"/>
  </r>
  <r>
    <x v="4"/>
    <s v="Eli"/>
    <x v="5"/>
    <x v="7"/>
    <s v="Tyjae Spears"/>
    <n v="2.7"/>
    <n v="2024"/>
  </r>
  <r>
    <x v="7"/>
    <s v="Jay"/>
    <x v="5"/>
    <x v="0"/>
    <s v="Lamar Jackson"/>
    <n v="18.920000000000002"/>
    <n v="2024"/>
  </r>
  <r>
    <x v="7"/>
    <s v="Jay"/>
    <x v="5"/>
    <x v="1"/>
    <s v="Stefon Diggs"/>
    <n v="16.7"/>
    <n v="2024"/>
  </r>
  <r>
    <x v="7"/>
    <s v="Jay"/>
    <x v="5"/>
    <x v="1"/>
    <s v="Amari Cooper"/>
    <n v="6.2"/>
    <n v="2024"/>
  </r>
  <r>
    <x v="7"/>
    <s v="Jay"/>
    <x v="5"/>
    <x v="1"/>
    <s v="Jauan Jennings"/>
    <n v="4.2"/>
    <n v="2024"/>
  </r>
  <r>
    <x v="7"/>
    <s v="Jay"/>
    <x v="5"/>
    <x v="2"/>
    <s v="Tony Pollard"/>
    <n v="16.3"/>
    <n v="2024"/>
  </r>
  <r>
    <x v="7"/>
    <s v="Jay"/>
    <x v="5"/>
    <x v="2"/>
    <s v="Alvin Kamara"/>
    <n v="14.9"/>
    <n v="2024"/>
  </r>
  <r>
    <x v="7"/>
    <s v="Jay"/>
    <x v="5"/>
    <x v="3"/>
    <s v="Evan Engram"/>
    <n v="13.2"/>
    <n v="2024"/>
  </r>
  <r>
    <x v="7"/>
    <s v="Jay"/>
    <x v="5"/>
    <x v="5"/>
    <s v="Ka'imi Fairbairn"/>
    <n v="11"/>
    <n v="2024"/>
  </r>
  <r>
    <x v="7"/>
    <s v="Jay"/>
    <x v="5"/>
    <x v="4"/>
    <s v="LA Chargers"/>
    <n v="6"/>
    <n v="2024"/>
  </r>
  <r>
    <x v="7"/>
    <s v="Jay"/>
    <x v="5"/>
    <x v="7"/>
    <s v="Trey Sermon"/>
    <n v="2.9"/>
    <n v="2024"/>
  </r>
  <r>
    <x v="6"/>
    <s v="Will"/>
    <x v="5"/>
    <x v="0"/>
    <s v="Geno Smith"/>
    <n v="12.48"/>
    <n v="2024"/>
  </r>
  <r>
    <x v="6"/>
    <s v="Will"/>
    <x v="5"/>
    <x v="1"/>
    <s v="Drake London"/>
    <n v="16.399999999999999"/>
    <n v="2024"/>
  </r>
  <r>
    <x v="6"/>
    <s v="Will"/>
    <x v="5"/>
    <x v="1"/>
    <s v="Amon-Ra St. Brown"/>
    <n v="11.7"/>
    <n v="2024"/>
  </r>
  <r>
    <x v="6"/>
    <s v="Will"/>
    <x v="5"/>
    <x v="1"/>
    <s v="Jaxon Smith-Njigba"/>
    <n v="7.8"/>
    <n v="2024"/>
  </r>
  <r>
    <x v="6"/>
    <s v="Will"/>
    <x v="5"/>
    <x v="2"/>
    <s v="Austin Ekeler"/>
    <n v="8.8000000000000007"/>
    <n v="2024"/>
  </r>
  <r>
    <x v="6"/>
    <s v="Will"/>
    <x v="5"/>
    <x v="2"/>
    <s v="Travis Etienne"/>
    <n v="-0.1"/>
    <n v="2024"/>
  </r>
  <r>
    <x v="6"/>
    <s v="Will"/>
    <x v="5"/>
    <x v="3"/>
    <s v="Isaiah Likely"/>
    <n v="3.7"/>
    <n v="2024"/>
  </r>
  <r>
    <x v="6"/>
    <s v="Will"/>
    <x v="5"/>
    <x v="5"/>
    <s v="Jason Myers"/>
    <n v="6"/>
    <n v="2024"/>
  </r>
  <r>
    <x v="6"/>
    <s v="Will"/>
    <x v="5"/>
    <x v="4"/>
    <s v="Houston"/>
    <n v="13"/>
    <n v="2024"/>
  </r>
  <r>
    <x v="6"/>
    <s v="Will"/>
    <x v="5"/>
    <x v="6"/>
    <s v="Ladd McConkey"/>
    <n v="6.3"/>
    <n v="2024"/>
  </r>
  <r>
    <x v="10"/>
    <s v="Brand"/>
    <x v="5"/>
    <x v="0"/>
    <s v="Kirk Cousins"/>
    <n v="12.5"/>
    <n v="2024"/>
  </r>
  <r>
    <x v="10"/>
    <s v="Brand"/>
    <x v="5"/>
    <x v="1"/>
    <s v="Garrett Wilson"/>
    <n v="20.7"/>
    <n v="2024"/>
  </r>
  <r>
    <x v="10"/>
    <s v="Brand"/>
    <x v="5"/>
    <x v="1"/>
    <s v="Jameson Williams"/>
    <n v="16.2"/>
    <n v="2024"/>
  </r>
  <r>
    <x v="10"/>
    <s v="Brand"/>
    <x v="5"/>
    <x v="1"/>
    <s v="Michael Pittman"/>
    <n v="11"/>
    <n v="2024"/>
  </r>
  <r>
    <x v="10"/>
    <s v="Brand"/>
    <x v="5"/>
    <x v="2"/>
    <s v="Breece Hall"/>
    <n v="19.399999999999999"/>
    <n v="2024"/>
  </r>
  <r>
    <x v="10"/>
    <s v="Brand"/>
    <x v="5"/>
    <x v="2"/>
    <s v="Bucky Irving"/>
    <n v="17.5"/>
    <n v="2024"/>
  </r>
  <r>
    <x v="10"/>
    <s v="Brand"/>
    <x v="5"/>
    <x v="3"/>
    <s v="Dallas Goedert"/>
    <n v="0"/>
    <n v="2024"/>
  </r>
  <r>
    <x v="10"/>
    <s v="Brand"/>
    <x v="5"/>
    <x v="5"/>
    <s v="Cairo Santos"/>
    <n v="4"/>
    <n v="2024"/>
  </r>
  <r>
    <x v="10"/>
    <s v="Brand"/>
    <x v="5"/>
    <x v="4"/>
    <s v="Indianapolis"/>
    <n v="4"/>
    <n v="2024"/>
  </r>
  <r>
    <x v="10"/>
    <s v="Brand"/>
    <x v="5"/>
    <x v="7"/>
    <s v="Kenneth Walker"/>
    <n v="16.899999999999999"/>
    <n v="2024"/>
  </r>
  <r>
    <x v="3"/>
    <s v="Kevin"/>
    <x v="5"/>
    <x v="0"/>
    <s v="CJ Stroud"/>
    <n v="18.38"/>
    <n v="2024"/>
  </r>
  <r>
    <x v="3"/>
    <s v="Kevin"/>
    <x v="5"/>
    <x v="1"/>
    <s v="DeAndre Hopkins"/>
    <n v="7.4"/>
    <n v="2024"/>
  </r>
  <r>
    <x v="3"/>
    <s v="Kevin"/>
    <x v="5"/>
    <x v="1"/>
    <s v="George Pickens"/>
    <n v="6.8"/>
    <n v="2024"/>
  </r>
  <r>
    <x v="3"/>
    <s v="Kevin"/>
    <x v="5"/>
    <x v="1"/>
    <s v="Marvin Harrison Jr"/>
    <n v="0"/>
    <n v="2024"/>
  </r>
  <r>
    <x v="3"/>
    <s v="Kevin"/>
    <x v="5"/>
    <x v="2"/>
    <s v="Najee Harris"/>
    <n v="19.2"/>
    <n v="2024"/>
  </r>
  <r>
    <x v="3"/>
    <s v="Kevin"/>
    <x v="5"/>
    <x v="2"/>
    <s v="Chuba Hubbard"/>
    <n v="12.8"/>
    <n v="2024"/>
  </r>
  <r>
    <x v="3"/>
    <s v="Kevin"/>
    <x v="5"/>
    <x v="3"/>
    <s v="Hunter Henry"/>
    <n v="11.6"/>
    <n v="2024"/>
  </r>
  <r>
    <x v="3"/>
    <s v="Kevin"/>
    <x v="5"/>
    <x v="5"/>
    <s v="Justin Tucker"/>
    <n v="13"/>
    <n v="2024"/>
  </r>
  <r>
    <x v="3"/>
    <s v="Kevin"/>
    <x v="5"/>
    <x v="4"/>
    <s v="Tampa Bay"/>
    <n v="16"/>
    <n v="2024"/>
  </r>
  <r>
    <x v="3"/>
    <s v="Kevin"/>
    <x v="5"/>
    <x v="6"/>
    <s v="Chris Olave"/>
    <n v="-1"/>
    <n v="2024"/>
  </r>
  <r>
    <x v="5"/>
    <s v="Burnett/Jasjaap"/>
    <x v="5"/>
    <x v="0"/>
    <s v="Brock Purdy"/>
    <n v="24.1"/>
    <n v="2024"/>
  </r>
  <r>
    <x v="5"/>
    <s v="Burnett/Jasjaap"/>
    <x v="5"/>
    <x v="1"/>
    <s v="CeeDee Lamb"/>
    <n v="12.6"/>
    <n v="2024"/>
  </r>
  <r>
    <x v="5"/>
    <s v="Burnett/Jasjaap"/>
    <x v="5"/>
    <x v="1"/>
    <s v="Rashid Shaheed"/>
    <n v="7.8"/>
    <n v="2024"/>
  </r>
  <r>
    <x v="5"/>
    <s v="Burnett/Jasjaap"/>
    <x v="5"/>
    <x v="1"/>
    <s v="Alec Pierce"/>
    <n v="0"/>
    <n v="2024"/>
  </r>
  <r>
    <x v="5"/>
    <s v="Burnett/Jasjaap"/>
    <x v="5"/>
    <x v="2"/>
    <s v="Josh Jacobs"/>
    <n v="10.5"/>
    <n v="2024"/>
  </r>
  <r>
    <x v="5"/>
    <s v="Burnett/Jasjaap"/>
    <x v="5"/>
    <x v="2"/>
    <s v="David Montgomery"/>
    <n v="20.5"/>
    <n v="2024"/>
  </r>
  <r>
    <x v="5"/>
    <s v="Burnett/Jasjaap"/>
    <x v="5"/>
    <x v="3"/>
    <s v="Brock Bowers"/>
    <n v="11.6"/>
    <n v="2024"/>
  </r>
  <r>
    <x v="5"/>
    <s v="Burnett/Jasjaap"/>
    <x v="5"/>
    <x v="5"/>
    <s v="Austin Seibert"/>
    <n v="15"/>
    <n v="2024"/>
  </r>
  <r>
    <x v="5"/>
    <s v="Burnett/Jasjaap"/>
    <x v="5"/>
    <x v="4"/>
    <s v="Pittsburgh"/>
    <n v="14"/>
    <n v="2024"/>
  </r>
  <r>
    <x v="5"/>
    <s v="Burnett/Jasjaap"/>
    <x v="5"/>
    <x v="7"/>
    <s v="Rico Dowdle"/>
    <n v="8"/>
    <n v="2024"/>
  </r>
  <r>
    <x v="0"/>
    <s v="Brenton"/>
    <x v="6"/>
    <x v="0"/>
    <s v="Baker Mayfield"/>
    <n v="27"/>
    <n v="2024"/>
  </r>
  <r>
    <x v="0"/>
    <s v="Brenton"/>
    <x v="6"/>
    <x v="1"/>
    <s v="Zay Flowers"/>
    <n v="3.5"/>
    <n v="2024"/>
  </r>
  <r>
    <x v="0"/>
    <s v="Brenton"/>
    <x v="6"/>
    <x v="1"/>
    <s v="DeMario Douglas"/>
    <n v="2.4"/>
    <n v="2024"/>
  </r>
  <r>
    <x v="0"/>
    <s v="Brenton"/>
    <x v="6"/>
    <x v="1"/>
    <s v="Jayden Reed"/>
    <n v="2"/>
    <n v="2024"/>
  </r>
  <r>
    <x v="0"/>
    <s v="Brenton"/>
    <x v="6"/>
    <x v="2"/>
    <s v="Tank Bigsby"/>
    <n v="23.8"/>
    <n v="2024"/>
  </r>
  <r>
    <x v="0"/>
    <s v="Brenton"/>
    <x v="6"/>
    <x v="2"/>
    <s v="Tyrone Tracy"/>
    <n v="4.7"/>
    <n v="2024"/>
  </r>
  <r>
    <x v="0"/>
    <s v="Brenton"/>
    <x v="6"/>
    <x v="3"/>
    <s v="Trey McBride"/>
    <n v="7.6"/>
    <n v="2024"/>
  </r>
  <r>
    <x v="0"/>
    <s v="Brenton"/>
    <x v="6"/>
    <x v="5"/>
    <s v="Jake Elliott"/>
    <n v="4"/>
    <n v="2024"/>
  </r>
  <r>
    <x v="0"/>
    <s v="Brenton"/>
    <x v="6"/>
    <x v="4"/>
    <s v="Cincinnati"/>
    <n v="14"/>
    <n v="2024"/>
  </r>
  <r>
    <x v="0"/>
    <s v="Brenton"/>
    <x v="6"/>
    <x v="6"/>
    <s v="Tyreek Hill"/>
    <n v="1.8"/>
    <n v="2024"/>
  </r>
  <r>
    <x v="9"/>
    <s v="Tommy"/>
    <x v="6"/>
    <x v="0"/>
    <s v="Josh Allen"/>
    <n v="21.02"/>
    <n v="2024"/>
  </r>
  <r>
    <x v="9"/>
    <s v="Tommy"/>
    <x v="6"/>
    <x v="1"/>
    <s v="DK Metcalf"/>
    <n v="17.899999999999999"/>
    <n v="2024"/>
  </r>
  <r>
    <x v="9"/>
    <s v="Tommy"/>
    <x v="6"/>
    <x v="1"/>
    <s v="Allen Lazard"/>
    <n v="7.8"/>
    <n v="2024"/>
  </r>
  <r>
    <x v="9"/>
    <s v="Tommy"/>
    <x v="6"/>
    <x v="1"/>
    <s v="Malik Nabers"/>
    <n v="6.1"/>
    <n v="2024"/>
  </r>
  <r>
    <x v="9"/>
    <s v="Tommy"/>
    <x v="6"/>
    <x v="2"/>
    <s v="Saquon Barkley"/>
    <n v="25.7"/>
    <n v="2024"/>
  </r>
  <r>
    <x v="9"/>
    <s v="Tommy"/>
    <x v="6"/>
    <x v="2"/>
    <s v="Kyren Williams"/>
    <n v="19.600000000000001"/>
    <n v="2024"/>
  </r>
  <r>
    <x v="9"/>
    <s v="Tommy"/>
    <x v="6"/>
    <x v="3"/>
    <s v="Mark Andrews"/>
    <n v="18.100000000000001"/>
    <n v="2024"/>
  </r>
  <r>
    <x v="9"/>
    <s v="Tommy"/>
    <x v="6"/>
    <x v="5"/>
    <s v="Harrison Butker"/>
    <n v="4"/>
    <n v="2024"/>
  </r>
  <r>
    <x v="9"/>
    <s v="Tommy"/>
    <x v="6"/>
    <x v="4"/>
    <s v="Minnesota"/>
    <n v="10"/>
    <n v="2024"/>
  </r>
  <r>
    <x v="9"/>
    <s v="Tommy"/>
    <x v="6"/>
    <x v="6"/>
    <s v="Xavier Worthy"/>
    <n v="3.9"/>
    <n v="2024"/>
  </r>
  <r>
    <x v="2"/>
    <s v="Mike"/>
    <x v="6"/>
    <x v="0"/>
    <s v="Patrick Mahomes"/>
    <n v="12.06"/>
    <n v="2024"/>
  </r>
  <r>
    <x v="2"/>
    <s v="Mike"/>
    <x v="6"/>
    <x v="1"/>
    <s v="Mike Evans"/>
    <n v="9"/>
    <n v="2024"/>
  </r>
  <r>
    <x v="2"/>
    <s v="Mike"/>
    <x v="6"/>
    <x v="1"/>
    <s v="Khalil Shakir"/>
    <n v="10"/>
    <n v="2024"/>
  </r>
  <r>
    <x v="2"/>
    <s v="Mike"/>
    <x v="6"/>
    <x v="1"/>
    <s v="Davante Adams"/>
    <n v="4.5"/>
    <n v="2024"/>
  </r>
  <r>
    <x v="2"/>
    <s v="Mike"/>
    <x v="6"/>
    <x v="2"/>
    <s v="Derrick Henry"/>
    <n v="24.7"/>
    <n v="2024"/>
  </r>
  <r>
    <x v="2"/>
    <s v="Mike"/>
    <x v="6"/>
    <x v="2"/>
    <s v="Kareem Hunt"/>
    <n v="21.3"/>
    <n v="2024"/>
  </r>
  <r>
    <x v="2"/>
    <s v="Mike"/>
    <x v="6"/>
    <x v="3"/>
    <s v="Sam LaPorta"/>
    <n v="3"/>
    <n v="2024"/>
  </r>
  <r>
    <x v="2"/>
    <s v="Mike"/>
    <x v="6"/>
    <x v="5"/>
    <s v="Younghoe Koo"/>
    <n v="2"/>
    <n v="2024"/>
  </r>
  <r>
    <x v="2"/>
    <s v="Mike"/>
    <x v="6"/>
    <x v="4"/>
    <s v="Buffalo"/>
    <n v="12"/>
    <n v="2024"/>
  </r>
  <r>
    <x v="2"/>
    <s v="Mike"/>
    <x v="6"/>
    <x v="6"/>
    <s v="Tank Dell"/>
    <n v="0"/>
    <n v="2024"/>
  </r>
  <r>
    <x v="8"/>
    <s v="Schulwolf"/>
    <x v="6"/>
    <x v="0"/>
    <s v="Jayden Daniels"/>
    <n v="5.24"/>
    <n v="2024"/>
  </r>
  <r>
    <x v="8"/>
    <s v="Schulwolf"/>
    <x v="6"/>
    <x v="1"/>
    <s v="Terry McLaurin"/>
    <n v="12.8"/>
    <n v="2024"/>
  </r>
  <r>
    <x v="8"/>
    <s v="Schulwolf"/>
    <x v="6"/>
    <x v="1"/>
    <s v="Chris Godwin"/>
    <n v="10"/>
    <n v="2024"/>
  </r>
  <r>
    <x v="8"/>
    <s v="Schulwolf"/>
    <x v="6"/>
    <x v="1"/>
    <s v="Tyler Lockett"/>
    <n v="6.5"/>
    <n v="2024"/>
  </r>
  <r>
    <x v="8"/>
    <s v="Schulwolf"/>
    <x v="6"/>
    <x v="2"/>
    <s v="Jahmyr Gibbs"/>
    <n v="30"/>
    <n v="2024"/>
  </r>
  <r>
    <x v="8"/>
    <s v="Schulwolf"/>
    <x v="6"/>
    <x v="2"/>
    <s v="James Cook"/>
    <n v="9.1999999999999993"/>
    <n v="2024"/>
  </r>
  <r>
    <x v="8"/>
    <s v="Schulwolf"/>
    <x v="6"/>
    <x v="3"/>
    <s v="Dalton Kincaid"/>
    <n v="6.7"/>
    <n v="2024"/>
  </r>
  <r>
    <x v="8"/>
    <s v="Schulwolf"/>
    <x v="6"/>
    <x v="5"/>
    <s v="Brandon McManus"/>
    <n v="7"/>
    <n v="2024"/>
  </r>
  <r>
    <x v="8"/>
    <s v="Schulwolf"/>
    <x v="6"/>
    <x v="4"/>
    <s v="Denver"/>
    <n v="21"/>
    <n v="2024"/>
  </r>
  <r>
    <x v="8"/>
    <s v="Schulwolf"/>
    <x v="6"/>
    <x v="6"/>
    <s v="DeVonta Smith"/>
    <n v="0.3"/>
    <n v="2024"/>
  </r>
  <r>
    <x v="1"/>
    <s v="Todd"/>
    <x v="6"/>
    <x v="0"/>
    <s v="Sam Darnold"/>
    <n v="16.260000000000002"/>
    <n v="2024"/>
  </r>
  <r>
    <x v="1"/>
    <s v="Todd"/>
    <x v="6"/>
    <x v="1"/>
    <s v="AJ Brown"/>
    <n v="17.399999999999999"/>
    <n v="2024"/>
  </r>
  <r>
    <x v="1"/>
    <s v="Todd"/>
    <x v="6"/>
    <x v="1"/>
    <s v="Brian Thomas Jr"/>
    <n v="19.600000000000001"/>
    <n v="2024"/>
  </r>
  <r>
    <x v="1"/>
    <s v="Todd"/>
    <x v="6"/>
    <x v="1"/>
    <s v="Diontae Johnson"/>
    <n v="2.2000000000000002"/>
    <n v="2024"/>
  </r>
  <r>
    <x v="1"/>
    <s v="Todd"/>
    <x v="6"/>
    <x v="2"/>
    <s v="James Conner"/>
    <n v="16.2"/>
    <n v="2024"/>
  </r>
  <r>
    <x v="1"/>
    <s v="Todd"/>
    <x v="6"/>
    <x v="2"/>
    <s v="De'Von Achane"/>
    <n v="9.5"/>
    <n v="2024"/>
  </r>
  <r>
    <x v="1"/>
    <s v="Todd"/>
    <x v="6"/>
    <x v="3"/>
    <s v="Tucker Kraft"/>
    <n v="10.8"/>
    <n v="2024"/>
  </r>
  <r>
    <x v="1"/>
    <s v="Todd"/>
    <x v="6"/>
    <x v="5"/>
    <s v="Chris Boswell"/>
    <n v="14"/>
    <n v="2024"/>
  </r>
  <r>
    <x v="1"/>
    <s v="Todd"/>
    <x v="6"/>
    <x v="4"/>
    <s v="LA Chargers"/>
    <n v="2"/>
    <n v="2024"/>
  </r>
  <r>
    <x v="1"/>
    <s v="Todd"/>
    <x v="6"/>
    <x v="6"/>
    <s v="Deebo Samuel"/>
    <n v="0"/>
    <n v="2024"/>
  </r>
  <r>
    <x v="10"/>
    <s v="Brand"/>
    <x v="6"/>
    <x v="0"/>
    <s v="Anthony Richardson"/>
    <n v="8.76"/>
    <n v="2024"/>
  </r>
  <r>
    <x v="10"/>
    <s v="Brand"/>
    <x v="6"/>
    <x v="1"/>
    <s v="Garrett Wilson"/>
    <n v="10.6"/>
    <n v="2024"/>
  </r>
  <r>
    <x v="10"/>
    <s v="Brand"/>
    <x v="6"/>
    <x v="1"/>
    <s v="Michael Pittman"/>
    <n v="7.8"/>
    <n v="2024"/>
  </r>
  <r>
    <x v="10"/>
    <s v="Brand"/>
    <x v="6"/>
    <x v="1"/>
    <s v="Jameson Williams"/>
    <n v="0.1"/>
    <n v="2024"/>
  </r>
  <r>
    <x v="10"/>
    <s v="Brand"/>
    <x v="6"/>
    <x v="2"/>
    <s v="Breece Hall"/>
    <n v="23.1"/>
    <n v="2024"/>
  </r>
  <r>
    <x v="10"/>
    <s v="Brand"/>
    <x v="6"/>
    <x v="2"/>
    <s v="Kenneth Walker"/>
    <n v="22.3"/>
    <n v="2024"/>
  </r>
  <r>
    <x v="10"/>
    <s v="Brand"/>
    <x v="6"/>
    <x v="3"/>
    <s v="Colby Parkinson"/>
    <n v="4.2"/>
    <n v="2024"/>
  </r>
  <r>
    <x v="10"/>
    <s v="Brand"/>
    <x v="6"/>
    <x v="5"/>
    <s v="Cameron Dicker"/>
    <n v="21"/>
    <n v="2024"/>
  </r>
  <r>
    <x v="10"/>
    <s v="Brand"/>
    <x v="6"/>
    <x v="4"/>
    <s v="Indianapolis"/>
    <n v="9"/>
    <n v="2024"/>
  </r>
  <r>
    <x v="10"/>
    <s v="Brand"/>
    <x v="6"/>
    <x v="7"/>
    <s v="Bucky Irving"/>
    <n v="15.2"/>
    <n v="2024"/>
  </r>
  <r>
    <x v="4"/>
    <s v="Eli"/>
    <x v="6"/>
    <x v="0"/>
    <s v="Jalen Hurts"/>
    <n v="22.76"/>
    <n v="2024"/>
  </r>
  <r>
    <x v="4"/>
    <s v="Eli"/>
    <x v="6"/>
    <x v="1"/>
    <s v="Justin Jefferson"/>
    <n v="17.899999999999999"/>
    <n v="2024"/>
  </r>
  <r>
    <x v="4"/>
    <s v="Eli"/>
    <x v="6"/>
    <x v="1"/>
    <s v="Tre Tucker"/>
    <n v="6.2"/>
    <n v="2024"/>
  </r>
  <r>
    <x v="4"/>
    <s v="Eli"/>
    <x v="6"/>
    <x v="1"/>
    <s v="Xavier Legette"/>
    <n v="1.9"/>
    <n v="2024"/>
  </r>
  <r>
    <x v="4"/>
    <s v="Eli"/>
    <x v="6"/>
    <x v="2"/>
    <s v="Bijan Robinson"/>
    <n v="21.8"/>
    <n v="2024"/>
  </r>
  <r>
    <x v="4"/>
    <s v="Eli"/>
    <x v="6"/>
    <x v="2"/>
    <s v="Jordan Mason"/>
    <n v="7.9"/>
    <n v="2024"/>
  </r>
  <r>
    <x v="4"/>
    <s v="Eli"/>
    <x v="6"/>
    <x v="3"/>
    <s v="David Njoku"/>
    <n v="18.600000000000001"/>
    <n v="2024"/>
  </r>
  <r>
    <x v="4"/>
    <s v="Eli"/>
    <x v="6"/>
    <x v="5"/>
    <s v="Tyler Bass"/>
    <n v="10"/>
    <n v="2024"/>
  </r>
  <r>
    <x v="4"/>
    <s v="Eli"/>
    <x v="6"/>
    <x v="4"/>
    <s v="NYJ"/>
    <n v="-7"/>
    <n v="2024"/>
  </r>
  <r>
    <x v="4"/>
    <s v="Eli"/>
    <x v="6"/>
    <x v="8"/>
    <s v="Kyle Pitts"/>
    <n v="10"/>
    <n v="2024"/>
  </r>
  <r>
    <x v="3"/>
    <s v="Kevin"/>
    <x v="6"/>
    <x v="0"/>
    <s v="CJ Stroud"/>
    <n v="5.34"/>
    <n v="2024"/>
  </r>
  <r>
    <x v="3"/>
    <s v="Kevin"/>
    <x v="6"/>
    <x v="1"/>
    <s v="George Pickens"/>
    <n v="19.600000000000001"/>
    <n v="2024"/>
  </r>
  <r>
    <x v="3"/>
    <s v="Kevin"/>
    <x v="6"/>
    <x v="1"/>
    <s v="Jordan Addison"/>
    <n v="8.1"/>
    <n v="2024"/>
  </r>
  <r>
    <x v="3"/>
    <s v="Kevin"/>
    <x v="6"/>
    <x v="1"/>
    <s v="Marvin Harrison Jr"/>
    <n v="3.6"/>
    <n v="2024"/>
  </r>
  <r>
    <x v="3"/>
    <s v="Kevin"/>
    <x v="6"/>
    <x v="2"/>
    <s v="Joe Mixon"/>
    <n v="25.4"/>
    <n v="2024"/>
  </r>
  <r>
    <x v="3"/>
    <s v="Kevin"/>
    <x v="6"/>
    <x v="2"/>
    <s v="Najee Harris"/>
    <n v="16.2"/>
    <n v="2024"/>
  </r>
  <r>
    <x v="3"/>
    <s v="Kevin"/>
    <x v="6"/>
    <x v="3"/>
    <s v="Hunter Henry"/>
    <n v="13.2"/>
    <n v="2024"/>
  </r>
  <r>
    <x v="3"/>
    <s v="Kevin"/>
    <x v="6"/>
    <x v="5"/>
    <s v="Justin Tucker"/>
    <n v="13"/>
    <n v="2024"/>
  </r>
  <r>
    <x v="3"/>
    <s v="Kevin"/>
    <x v="6"/>
    <x v="4"/>
    <s v="LA Rams"/>
    <n v="16"/>
    <n v="2024"/>
  </r>
  <r>
    <x v="3"/>
    <s v="Kevin"/>
    <x v="6"/>
    <x v="7"/>
    <s v="Chuba Hubbard"/>
    <n v="11.2"/>
    <n v="2024"/>
  </r>
  <r>
    <x v="6"/>
    <s v="Will"/>
    <x v="6"/>
    <x v="0"/>
    <s v="Geno Smith"/>
    <n v="17.78"/>
    <n v="2024"/>
  </r>
  <r>
    <x v="6"/>
    <s v="Will"/>
    <x v="6"/>
    <x v="1"/>
    <s v="Drake London"/>
    <n v="15.3"/>
    <n v="2024"/>
  </r>
  <r>
    <x v="6"/>
    <s v="Will"/>
    <x v="6"/>
    <x v="1"/>
    <s v="Amon-Ra St. Brown"/>
    <n v="21.2"/>
    <n v="2024"/>
  </r>
  <r>
    <x v="6"/>
    <s v="Will"/>
    <x v="6"/>
    <x v="1"/>
    <s v="Ladd McConkey"/>
    <n v="7.1"/>
    <n v="2024"/>
  </r>
  <r>
    <x v="6"/>
    <s v="Will"/>
    <x v="6"/>
    <x v="2"/>
    <s v="Austin Ekeler"/>
    <n v="3"/>
    <n v="2024"/>
  </r>
  <r>
    <x v="6"/>
    <s v="Will"/>
    <x v="6"/>
    <x v="2"/>
    <s v="Zach Charbonet"/>
    <n v="1.4"/>
    <n v="2024"/>
  </r>
  <r>
    <x v="6"/>
    <s v="Will"/>
    <x v="6"/>
    <x v="3"/>
    <s v="Travis Kelce"/>
    <n v="3.7"/>
    <n v="2024"/>
  </r>
  <r>
    <x v="6"/>
    <s v="Will"/>
    <x v="6"/>
    <x v="5"/>
    <s v="Jason Myers"/>
    <n v="12"/>
    <n v="2024"/>
  </r>
  <r>
    <x v="6"/>
    <s v="Will"/>
    <x v="6"/>
    <x v="4"/>
    <s v="Houston"/>
    <n v="10"/>
    <n v="2024"/>
  </r>
  <r>
    <x v="6"/>
    <s v="Will"/>
    <x v="6"/>
    <x v="6"/>
    <s v="Jaxon Smith-Njigba"/>
    <n v="3.8"/>
    <n v="2024"/>
  </r>
  <r>
    <x v="5"/>
    <s v="Burnett/Jasjaap"/>
    <x v="6"/>
    <x v="0"/>
    <s v="Brock Purdy"/>
    <n v="17.18"/>
    <n v="2024"/>
  </r>
  <r>
    <x v="5"/>
    <s v="Burnett/Jasjaap"/>
    <x v="6"/>
    <x v="1"/>
    <s v="Bub Means"/>
    <n v="5.2"/>
    <n v="2024"/>
  </r>
  <r>
    <x v="5"/>
    <s v="Burnett/Jasjaap"/>
    <x v="6"/>
    <x v="1"/>
    <s v="Alec Pierce"/>
    <n v="2.5"/>
    <n v="2024"/>
  </r>
  <r>
    <x v="5"/>
    <s v="Burnett/Jasjaap"/>
    <x v="6"/>
    <x v="1"/>
    <s v="Jaylen Waddle"/>
    <n v="1.6"/>
    <n v="2024"/>
  </r>
  <r>
    <x v="5"/>
    <s v="Burnett/Jasjaap"/>
    <x v="6"/>
    <x v="2"/>
    <s v="Josh Jacobs"/>
    <n v="17.7"/>
    <n v="2024"/>
  </r>
  <r>
    <x v="5"/>
    <s v="Burnett/Jasjaap"/>
    <x v="6"/>
    <x v="2"/>
    <s v="David Montgomery"/>
    <n v="6.5"/>
    <n v="2024"/>
  </r>
  <r>
    <x v="5"/>
    <s v="Burnett/Jasjaap"/>
    <x v="6"/>
    <x v="3"/>
    <s v="Brock Bowers"/>
    <n v="14.3"/>
    <n v="2024"/>
  </r>
  <r>
    <x v="5"/>
    <s v="Burnett/Jasjaap"/>
    <x v="6"/>
    <x v="5"/>
    <s v="Austin Seibert"/>
    <n v="17"/>
    <n v="2024"/>
  </r>
  <r>
    <x v="5"/>
    <s v="Burnett/Jasjaap"/>
    <x v="6"/>
    <x v="4"/>
    <s v="Philadelphia"/>
    <n v="18"/>
    <n v="2024"/>
  </r>
  <r>
    <x v="5"/>
    <s v="Burnett/Jasjaap"/>
    <x v="6"/>
    <x v="6"/>
    <s v="Jordan Whittington"/>
    <n v="0"/>
    <n v="2024"/>
  </r>
  <r>
    <x v="7"/>
    <s v="Jay"/>
    <x v="6"/>
    <x v="0"/>
    <s v="Lamar Jackson"/>
    <n v="34.44"/>
    <n v="2024"/>
  </r>
  <r>
    <x v="7"/>
    <s v="Jay"/>
    <x v="6"/>
    <x v="1"/>
    <s v="Tee Higgins"/>
    <n v="16.2"/>
    <n v="2024"/>
  </r>
  <r>
    <x v="7"/>
    <s v="Jay"/>
    <x v="6"/>
    <x v="1"/>
    <s v="Amari Cooper"/>
    <n v="14.6"/>
    <n v="2024"/>
  </r>
  <r>
    <x v="7"/>
    <s v="Jay"/>
    <x v="6"/>
    <x v="1"/>
    <s v="Stefon Diggs"/>
    <n v="4.8"/>
    <n v="2024"/>
  </r>
  <r>
    <x v="7"/>
    <s v="Jay"/>
    <x v="6"/>
    <x v="2"/>
    <s v="Tony Pollard"/>
    <n v="7.5"/>
    <n v="2024"/>
  </r>
  <r>
    <x v="7"/>
    <s v="Jay"/>
    <x v="6"/>
    <x v="2"/>
    <s v="Alvin Kamara"/>
    <n v="5.4"/>
    <n v="2024"/>
  </r>
  <r>
    <x v="7"/>
    <s v="Jay"/>
    <x v="6"/>
    <x v="3"/>
    <s v="Evan Engram"/>
    <n v="6"/>
    <n v="2024"/>
  </r>
  <r>
    <x v="7"/>
    <s v="Jay"/>
    <x v="6"/>
    <x v="5"/>
    <s v="Ka'imi Fairbairn"/>
    <n v="12"/>
    <n v="2024"/>
  </r>
  <r>
    <x v="7"/>
    <s v="Jay"/>
    <x v="6"/>
    <x v="4"/>
    <s v="Jacksonville"/>
    <n v="10"/>
    <n v="2024"/>
  </r>
  <r>
    <x v="7"/>
    <s v="Jay"/>
    <x v="6"/>
    <x v="7"/>
    <s v="Trey Sermon"/>
    <n v="5.4"/>
    <n v="2024"/>
  </r>
  <r>
    <x v="11"/>
    <s v="Cam"/>
    <x v="6"/>
    <x v="0"/>
    <s v="Joe Burrow"/>
    <n v="14.94"/>
    <n v="2024"/>
  </r>
  <r>
    <x v="11"/>
    <s v="Cam"/>
    <x v="6"/>
    <x v="1"/>
    <s v="Ja'Marr Chase"/>
    <n v="15.1"/>
    <n v="2024"/>
  </r>
  <r>
    <x v="11"/>
    <s v="Cam"/>
    <x v="6"/>
    <x v="1"/>
    <s v="Wan'Dale Robinson"/>
    <n v="5.3"/>
    <n v="2024"/>
  </r>
  <r>
    <x v="11"/>
    <s v="Cam"/>
    <x v="6"/>
    <x v="1"/>
    <s v="Brandon Aiyuk"/>
    <n v="3.3"/>
    <n v="2024"/>
  </r>
  <r>
    <x v="11"/>
    <s v="Cam"/>
    <x v="6"/>
    <x v="2"/>
    <s v="Aaron Jones"/>
    <n v="19.100000000000001"/>
    <n v="2024"/>
  </r>
  <r>
    <x v="11"/>
    <s v="Cam"/>
    <x v="6"/>
    <x v="2"/>
    <s v="JK Dobbins"/>
    <n v="8.1"/>
    <n v="2024"/>
  </r>
  <r>
    <x v="11"/>
    <s v="Cam"/>
    <x v="6"/>
    <x v="3"/>
    <s v="George Kittle"/>
    <n v="12.2"/>
    <n v="2024"/>
  </r>
  <r>
    <x v="11"/>
    <s v="Cam"/>
    <x v="6"/>
    <x v="5"/>
    <s v="Evan McPherson"/>
    <n v="3"/>
    <n v="2024"/>
  </r>
  <r>
    <x v="11"/>
    <s v="Cam"/>
    <x v="6"/>
    <x v="4"/>
    <s v="New Orleans"/>
    <n v="1"/>
    <n v="2024"/>
  </r>
  <r>
    <x v="11"/>
    <s v="Cam"/>
    <x v="6"/>
    <x v="7"/>
    <s v="Rhamondre Stevenson"/>
    <n v="3.5"/>
    <n v="2024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924">
  <r>
    <x v="0"/>
    <s v="Brenton"/>
    <n v="1"/>
    <x v="0"/>
    <s v="Trevor Lawrence"/>
    <n v="11.28"/>
    <n v="2024"/>
  </r>
  <r>
    <x v="0"/>
    <s v="Brenton"/>
    <n v="1"/>
    <x v="1"/>
    <s v="Jayden Reed"/>
    <n v="31.1"/>
    <n v="2024"/>
  </r>
  <r>
    <x v="0"/>
    <s v="Brenton"/>
    <n v="1"/>
    <x v="1"/>
    <s v="Tyreek Hill"/>
    <n v="22.5"/>
    <n v="2024"/>
  </r>
  <r>
    <x v="0"/>
    <s v="Brenton"/>
    <n v="1"/>
    <x v="1"/>
    <s v="Zay Flowers"/>
    <n v="8.1"/>
    <n v="2024"/>
  </r>
  <r>
    <x v="0"/>
    <s v="Brenton"/>
    <n v="1"/>
    <x v="2"/>
    <s v="Jerome Ford"/>
    <n v="15.9"/>
    <n v="2024"/>
  </r>
  <r>
    <x v="0"/>
    <s v="Brenton"/>
    <n v="1"/>
    <x v="2"/>
    <s v="Javonte Williams"/>
    <n v="2.8"/>
    <n v="2024"/>
  </r>
  <r>
    <x v="0"/>
    <s v="Brenton"/>
    <n v="1"/>
    <x v="3"/>
    <s v="Trey McBride"/>
    <n v="5.5"/>
    <n v="2024"/>
  </r>
  <r>
    <x v="0"/>
    <s v="Brenton"/>
    <n v="1"/>
    <x v="4"/>
    <s v="Cincinnati"/>
    <n v="3"/>
    <n v="2024"/>
  </r>
  <r>
    <x v="0"/>
    <s v="Brenton"/>
    <n v="1"/>
    <x v="5"/>
    <s v="Tyler Bass"/>
    <n v="10"/>
    <n v="2024"/>
  </r>
  <r>
    <x v="1"/>
    <s v="Todd"/>
    <n v="1"/>
    <x v="0"/>
    <s v="Dak Prescott"/>
    <n v="11.46"/>
    <n v="2024"/>
  </r>
  <r>
    <x v="1"/>
    <s v="Todd"/>
    <n v="1"/>
    <x v="1"/>
    <s v="AJ Brown"/>
    <n v="20.399999999999999"/>
    <n v="2024"/>
  </r>
  <r>
    <x v="1"/>
    <s v="Todd"/>
    <n v="1"/>
    <x v="1"/>
    <s v="Deebo Samuel"/>
    <n v="16.2"/>
    <n v="2024"/>
  </r>
  <r>
    <x v="1"/>
    <s v="Todd"/>
    <n v="1"/>
    <x v="1"/>
    <s v="Rashee Rice"/>
    <n v="13.8"/>
    <n v="2024"/>
  </r>
  <r>
    <x v="1"/>
    <s v="Todd"/>
    <n v="1"/>
    <x v="2"/>
    <s v="De'Von Achane"/>
    <n v="19.5"/>
    <n v="2024"/>
  </r>
  <r>
    <x v="1"/>
    <s v="Todd"/>
    <n v="1"/>
    <x v="2"/>
    <s v="James Conner"/>
    <n v="17.8"/>
    <n v="2024"/>
  </r>
  <r>
    <x v="1"/>
    <s v="Todd"/>
    <n v="1"/>
    <x v="3"/>
    <s v="Pat Freiermuth"/>
    <n v="4.7"/>
    <n v="2024"/>
  </r>
  <r>
    <x v="1"/>
    <s v="Todd"/>
    <n v="1"/>
    <x v="4"/>
    <s v="Seattle"/>
    <n v="10"/>
    <n v="2024"/>
  </r>
  <r>
    <x v="1"/>
    <s v="Todd"/>
    <n v="1"/>
    <x v="5"/>
    <s v="Younghoe Koo"/>
    <n v="4"/>
    <n v="2024"/>
  </r>
  <r>
    <x v="2"/>
    <s v="Mike"/>
    <n v="1"/>
    <x v="0"/>
    <s v="Patrick Mahomes"/>
    <n v="14.64"/>
    <n v="2024"/>
  </r>
  <r>
    <x v="2"/>
    <s v="Mike"/>
    <n v="1"/>
    <x v="1"/>
    <s v="Davante Adams"/>
    <n v="8.4"/>
    <n v="2024"/>
  </r>
  <r>
    <x v="2"/>
    <s v="Mike"/>
    <n v="1"/>
    <x v="1"/>
    <s v="Mike Evans"/>
    <n v="20.6"/>
    <n v="2024"/>
  </r>
  <r>
    <x v="2"/>
    <s v="Mike"/>
    <n v="1"/>
    <x v="1"/>
    <s v="Khalil Shakir"/>
    <n v="11.7"/>
    <n v="2024"/>
  </r>
  <r>
    <x v="2"/>
    <s v="Mike"/>
    <n v="1"/>
    <x v="2"/>
    <s v="Derrick Henry"/>
    <n v="10.6"/>
    <n v="2024"/>
  </r>
  <r>
    <x v="2"/>
    <s v="Mike"/>
    <n v="1"/>
    <x v="2"/>
    <s v="Tyjae Spears"/>
    <n v="5.2"/>
    <n v="2024"/>
  </r>
  <r>
    <x v="2"/>
    <s v="Mike"/>
    <n v="1"/>
    <x v="3"/>
    <s v="Sam LaPorta"/>
    <n v="6.5"/>
    <n v="2024"/>
  </r>
  <r>
    <x v="2"/>
    <s v="Mike"/>
    <n v="1"/>
    <x v="5"/>
    <s v="Jason Sanders"/>
    <n v="9"/>
    <n v="2024"/>
  </r>
  <r>
    <x v="2"/>
    <s v="Mike"/>
    <n v="1"/>
    <x v="4"/>
    <s v="Buffalo"/>
    <n v="6"/>
    <n v="2024"/>
  </r>
  <r>
    <x v="3"/>
    <s v="Kevin"/>
    <n v="1"/>
    <x v="0"/>
    <s v="CJ Stroud"/>
    <n v="18.66"/>
    <n v="2024"/>
  </r>
  <r>
    <x v="3"/>
    <s v="Kevin"/>
    <n v="1"/>
    <x v="1"/>
    <s v="George Pickens"/>
    <n v="10.5"/>
    <n v="2024"/>
  </r>
  <r>
    <x v="3"/>
    <s v="Kevin"/>
    <n v="1"/>
    <x v="1"/>
    <s v="Chris Olave"/>
    <n v="2.1"/>
    <n v="2024"/>
  </r>
  <r>
    <x v="3"/>
    <s v="Kevin"/>
    <n v="1"/>
    <x v="1"/>
    <s v="Marvin Harrison Jr"/>
    <n v="0.9"/>
    <n v="2024"/>
  </r>
  <r>
    <x v="3"/>
    <s v="Kevin"/>
    <n v="1"/>
    <x v="2"/>
    <s v="Joe Mixon"/>
    <n v="25.3"/>
    <n v="2024"/>
  </r>
  <r>
    <x v="3"/>
    <s v="Kevin"/>
    <n v="1"/>
    <x v="2"/>
    <s v="Isiah Pacheco"/>
    <n v="14.8"/>
    <n v="2024"/>
  </r>
  <r>
    <x v="3"/>
    <s v="Kevin"/>
    <n v="1"/>
    <x v="3"/>
    <s v="Hunter Henry"/>
    <n v="2.8"/>
    <n v="2024"/>
  </r>
  <r>
    <x v="3"/>
    <s v="Kevin"/>
    <n v="1"/>
    <x v="5"/>
    <s v="Justin Tucker"/>
    <n v="8"/>
    <n v="2024"/>
  </r>
  <r>
    <x v="3"/>
    <s v="Kevin"/>
    <n v="1"/>
    <x v="4"/>
    <s v="Minnesota"/>
    <n v="23"/>
    <n v="2024"/>
  </r>
  <r>
    <x v="4"/>
    <s v="Eli"/>
    <n v="1"/>
    <x v="0"/>
    <s v="Jalen Hurts"/>
    <n v="16.420000000000002"/>
    <n v="2024"/>
  </r>
  <r>
    <x v="4"/>
    <s v="Eli"/>
    <n v="1"/>
    <x v="1"/>
    <s v="Justin Jefferson"/>
    <n v="13.9"/>
    <n v="2024"/>
  </r>
  <r>
    <x v="4"/>
    <s v="Eli"/>
    <n v="1"/>
    <x v="1"/>
    <s v="DJ Moore"/>
    <n v="7.5"/>
    <n v="2024"/>
  </r>
  <r>
    <x v="4"/>
    <s v="Eli"/>
    <n v="1"/>
    <x v="1"/>
    <s v="DeMario Douglas"/>
    <n v="2.2000000000000002"/>
    <n v="2024"/>
  </r>
  <r>
    <x v="4"/>
    <s v="Eli"/>
    <n v="1"/>
    <x v="2"/>
    <s v="Bijan Robinson"/>
    <n v="13.6"/>
    <n v="2024"/>
  </r>
  <r>
    <x v="4"/>
    <s v="Eli"/>
    <n v="1"/>
    <x v="2"/>
    <s v="Jaylen Warren"/>
    <n v="3"/>
    <n v="2024"/>
  </r>
  <r>
    <x v="4"/>
    <s v="Eli"/>
    <n v="1"/>
    <x v="3"/>
    <s v="David Njoku"/>
    <n v="6.4"/>
    <n v="2024"/>
  </r>
  <r>
    <x v="4"/>
    <s v="Eli"/>
    <n v="1"/>
    <x v="5"/>
    <s v="Jake Moody"/>
    <n v="26"/>
    <n v="2024"/>
  </r>
  <r>
    <x v="4"/>
    <s v="Eli"/>
    <n v="1"/>
    <x v="4"/>
    <s v="NYJ"/>
    <n v="-2"/>
    <n v="2024"/>
  </r>
  <r>
    <x v="5"/>
    <s v="Burnett/Jasjaap"/>
    <n v="1"/>
    <x v="0"/>
    <s v="Brock Purdy"/>
    <n v="10.34"/>
    <n v="2024"/>
  </r>
  <r>
    <x v="5"/>
    <s v="Burnett/Jasjaap"/>
    <n v="1"/>
    <x v="1"/>
    <s v="CeeDee Lamb"/>
    <n v="11.1"/>
    <n v="2024"/>
  </r>
  <r>
    <x v="5"/>
    <s v="Burnett/Jasjaap"/>
    <n v="1"/>
    <x v="1"/>
    <s v="Jaylen Waddle"/>
    <n v="13.7"/>
    <n v="2024"/>
  </r>
  <r>
    <x v="5"/>
    <s v="Burnett/Jasjaap"/>
    <n v="1"/>
    <x v="1"/>
    <s v="Puka Nacua"/>
    <n v="6.2"/>
    <n v="2024"/>
  </r>
  <r>
    <x v="5"/>
    <s v="Burnett/Jasjaap"/>
    <n v="1"/>
    <x v="2"/>
    <s v="Josh Jacobs"/>
    <n v="11.4"/>
    <n v="2024"/>
  </r>
  <r>
    <x v="5"/>
    <s v="Burnett/Jasjaap"/>
    <n v="1"/>
    <x v="2"/>
    <s v="David Montgomery"/>
    <n v="15.8"/>
    <n v="2024"/>
  </r>
  <r>
    <x v="5"/>
    <s v="Burnett/Jasjaap"/>
    <n v="1"/>
    <x v="3"/>
    <s v="Brock Bowers"/>
    <n v="8.8000000000000007"/>
    <n v="2024"/>
  </r>
  <r>
    <x v="5"/>
    <s v="Burnett/Jasjaap"/>
    <n v="1"/>
    <x v="5"/>
    <s v="Jake Elliott"/>
    <n v="10"/>
    <n v="2024"/>
  </r>
  <r>
    <x v="5"/>
    <s v="Burnett/Jasjaap"/>
    <n v="1"/>
    <x v="4"/>
    <s v="Pittsburgh"/>
    <n v="13"/>
    <n v="2024"/>
  </r>
  <r>
    <x v="6"/>
    <s v="Will"/>
    <n v="1"/>
    <x v="0"/>
    <s v="Caleb Williams"/>
    <n v="7.22"/>
    <n v="2024"/>
  </r>
  <r>
    <x v="6"/>
    <s v="Will"/>
    <n v="1"/>
    <x v="1"/>
    <s v="Ladd McConkey"/>
    <n v="12.4"/>
    <n v="2024"/>
  </r>
  <r>
    <x v="6"/>
    <s v="Will"/>
    <n v="1"/>
    <x v="1"/>
    <s v="Amon-Ra St. Brown"/>
    <n v="2.8"/>
    <n v="2024"/>
  </r>
  <r>
    <x v="6"/>
    <s v="Will"/>
    <n v="1"/>
    <x v="1"/>
    <s v="Drake London"/>
    <n v="2.5"/>
    <n v="2024"/>
  </r>
  <r>
    <x v="6"/>
    <s v="Will"/>
    <n v="1"/>
    <x v="2"/>
    <s v="Travis Etienne"/>
    <n v="10.9"/>
    <n v="2024"/>
  </r>
  <r>
    <x v="6"/>
    <s v="Will"/>
    <n v="1"/>
    <x v="2"/>
    <s v="Zamir White"/>
    <n v="3.6"/>
    <n v="2024"/>
  </r>
  <r>
    <x v="6"/>
    <s v="Will"/>
    <n v="1"/>
    <x v="3"/>
    <s v="Kyle Pitts"/>
    <n v="10.1"/>
    <n v="2024"/>
  </r>
  <r>
    <x v="6"/>
    <s v="Will"/>
    <n v="1"/>
    <x v="5"/>
    <s v="Jason Myers"/>
    <n v="10"/>
    <n v="2024"/>
  </r>
  <r>
    <x v="6"/>
    <s v="Will"/>
    <n v="1"/>
    <x v="4"/>
    <s v="Houston"/>
    <n v="3"/>
    <n v="2024"/>
  </r>
  <r>
    <x v="7"/>
    <s v="Jay"/>
    <n v="1"/>
    <x v="0"/>
    <s v="Lamar Jackson"/>
    <n v="25.12"/>
    <n v="2024"/>
  </r>
  <r>
    <x v="7"/>
    <s v="Jay"/>
    <n v="1"/>
    <x v="1"/>
    <s v="Stefon Diggs"/>
    <n v="18.899999999999999"/>
    <n v="2024"/>
  </r>
  <r>
    <x v="7"/>
    <s v="Jay"/>
    <n v="1"/>
    <x v="1"/>
    <s v="Christian Kirk"/>
    <n v="3.5"/>
    <n v="2024"/>
  </r>
  <r>
    <x v="7"/>
    <s v="Jay"/>
    <n v="1"/>
    <x v="1"/>
    <s v="Amari Cooper"/>
    <n v="2.6"/>
    <n v="2024"/>
  </r>
  <r>
    <x v="7"/>
    <s v="Jay"/>
    <n v="1"/>
    <x v="2"/>
    <s v="Alvin Kamara"/>
    <n v="19.5"/>
    <n v="2024"/>
  </r>
  <r>
    <x v="7"/>
    <s v="Jay"/>
    <n v="1"/>
    <x v="2"/>
    <s v="Jonathan Taylor"/>
    <n v="10.8"/>
    <n v="2024"/>
  </r>
  <r>
    <x v="7"/>
    <s v="Jay"/>
    <n v="1"/>
    <x v="3"/>
    <s v="Mark Andrews"/>
    <n v="2.4"/>
    <n v="2024"/>
  </r>
  <r>
    <x v="7"/>
    <s v="Jay"/>
    <n v="1"/>
    <x v="5"/>
    <s v="Ka'imi Fairbairn"/>
    <n v="17"/>
    <n v="2024"/>
  </r>
  <r>
    <x v="7"/>
    <s v="Jay"/>
    <n v="1"/>
    <x v="4"/>
    <s v="LA Chargers"/>
    <n v="15"/>
    <n v="2024"/>
  </r>
  <r>
    <x v="8"/>
    <s v="Schulwolf"/>
    <n v="1"/>
    <x v="0"/>
    <s v="Jordan Love"/>
    <n v="16.399999999999999"/>
    <n v="2024"/>
  </r>
  <r>
    <x v="8"/>
    <s v="Schulwolf"/>
    <n v="1"/>
    <x v="1"/>
    <s v="Cooper Kupp"/>
    <n v="25"/>
    <n v="2024"/>
  </r>
  <r>
    <x v="8"/>
    <s v="Schulwolf"/>
    <n v="1"/>
    <x v="1"/>
    <s v="DeVonta Smith"/>
    <n v="11.9"/>
    <n v="2024"/>
  </r>
  <r>
    <x v="8"/>
    <s v="Schulwolf"/>
    <n v="1"/>
    <x v="1"/>
    <s v="Chris Godwin"/>
    <n v="18.3"/>
    <n v="2024"/>
  </r>
  <r>
    <x v="8"/>
    <s v="Schulwolf"/>
    <n v="1"/>
    <x v="2"/>
    <s v="Jahmyr Gibbs"/>
    <n v="15.4"/>
    <n v="2024"/>
  </r>
  <r>
    <x v="8"/>
    <s v="Schulwolf"/>
    <n v="1"/>
    <x v="2"/>
    <s v="James Cook"/>
    <n v="11.8"/>
    <n v="2024"/>
  </r>
  <r>
    <x v="8"/>
    <s v="Schulwolf"/>
    <n v="1"/>
    <x v="3"/>
    <s v="Dalton Kincaid"/>
    <n v="1.6"/>
    <n v="2024"/>
  </r>
  <r>
    <x v="8"/>
    <s v="Schulwolf"/>
    <n v="1"/>
    <x v="5"/>
    <s v="Brandon Aubrey"/>
    <n v="21"/>
    <n v="2024"/>
  </r>
  <r>
    <x v="8"/>
    <s v="Schulwolf"/>
    <n v="1"/>
    <x v="4"/>
    <s v="Dallas"/>
    <n v="18"/>
    <n v="2024"/>
  </r>
  <r>
    <x v="9"/>
    <s v="Tommy"/>
    <n v="1"/>
    <x v="0"/>
    <s v="Josh Allen"/>
    <n v="31.18"/>
    <n v="2024"/>
  </r>
  <r>
    <x v="9"/>
    <s v="Tommy"/>
    <n v="1"/>
    <x v="1"/>
    <s v="Malik Nabers"/>
    <n v="9.1"/>
    <n v="2024"/>
  </r>
  <r>
    <x v="9"/>
    <s v="Tommy"/>
    <n v="1"/>
    <x v="1"/>
    <s v="DK Metcalf"/>
    <n v="4.4000000000000004"/>
    <n v="2024"/>
  </r>
  <r>
    <x v="9"/>
    <s v="Tommy"/>
    <n v="1"/>
    <x v="1"/>
    <s v="Romeo Doubs"/>
    <n v="7"/>
    <n v="2024"/>
  </r>
  <r>
    <x v="9"/>
    <s v="Tommy"/>
    <n v="1"/>
    <x v="2"/>
    <s v="Saquon Barkley"/>
    <n v="32.200000000000003"/>
    <n v="2024"/>
  </r>
  <r>
    <x v="9"/>
    <s v="Tommy"/>
    <n v="1"/>
    <x v="2"/>
    <s v="Rachaad White"/>
    <n v="13.6"/>
    <n v="2024"/>
  </r>
  <r>
    <x v="9"/>
    <s v="Tommy"/>
    <n v="1"/>
    <x v="3"/>
    <s v="Evan Engram"/>
    <n v="1"/>
    <n v="2024"/>
  </r>
  <r>
    <x v="9"/>
    <s v="Tommy"/>
    <n v="1"/>
    <x v="5"/>
    <s v="Harrison Butker"/>
    <n v="9"/>
    <n v="2024"/>
  </r>
  <r>
    <x v="9"/>
    <s v="Tommy"/>
    <n v="1"/>
    <x v="4"/>
    <s v="San Francisco"/>
    <n v="7"/>
    <n v="2024"/>
  </r>
  <r>
    <x v="10"/>
    <s v="Brand"/>
    <n v="1"/>
    <x v="0"/>
    <s v="Anthony Richardson"/>
    <n v="26.08"/>
    <n v="2024"/>
  </r>
  <r>
    <x v="10"/>
    <s v="Brand"/>
    <n v="1"/>
    <x v="1"/>
    <s v="Jameson Williams"/>
    <n v="21.9"/>
    <n v="2024"/>
  </r>
  <r>
    <x v="10"/>
    <s v="Brand"/>
    <n v="1"/>
    <x v="1"/>
    <s v="Christian Watson"/>
    <n v="8.8000000000000007"/>
    <n v="2024"/>
  </r>
  <r>
    <x v="10"/>
    <s v="Brand"/>
    <n v="1"/>
    <x v="1"/>
    <s v="Garrett Wilson"/>
    <n v="9"/>
    <n v="2024"/>
  </r>
  <r>
    <x v="10"/>
    <s v="Brand"/>
    <n v="1"/>
    <x v="2"/>
    <s v="Kenneth Walker"/>
    <n v="17.899999999999999"/>
    <n v="2024"/>
  </r>
  <r>
    <x v="10"/>
    <s v="Brand"/>
    <n v="1"/>
    <x v="2"/>
    <s v="Breece Hall"/>
    <n v="15.8"/>
    <n v="2024"/>
  </r>
  <r>
    <x v="10"/>
    <s v="Brand"/>
    <n v="1"/>
    <x v="3"/>
    <s v="Dallas Goedert"/>
    <n v="5.0999999999999996"/>
    <n v="2024"/>
  </r>
  <r>
    <x v="10"/>
    <s v="Brand"/>
    <n v="1"/>
    <x v="5"/>
    <s v="Cairo Santos"/>
    <n v="13"/>
    <n v="2024"/>
  </r>
  <r>
    <x v="10"/>
    <s v="Brand"/>
    <n v="1"/>
    <x v="4"/>
    <s v="New Orleans"/>
    <n v="17"/>
    <n v="2024"/>
  </r>
  <r>
    <x v="11"/>
    <s v="Cam"/>
    <n v="1"/>
    <x v="0"/>
    <s v="Joe Burrow"/>
    <n v="8.06"/>
    <n v="2024"/>
  </r>
  <r>
    <x v="11"/>
    <s v="Cam"/>
    <n v="1"/>
    <x v="1"/>
    <s v="Ja'Marr Chase"/>
    <n v="9.1999999999999993"/>
    <n v="2024"/>
  </r>
  <r>
    <x v="11"/>
    <s v="Cam"/>
    <n v="1"/>
    <x v="1"/>
    <s v="Nico Collins"/>
    <n v="14.7"/>
    <n v="2024"/>
  </r>
  <r>
    <x v="11"/>
    <s v="Cam"/>
    <n v="1"/>
    <x v="1"/>
    <s v="Andrei Iosivas"/>
    <n v="4.0999999999999996"/>
    <n v="2024"/>
  </r>
  <r>
    <x v="11"/>
    <s v="Cam"/>
    <n v="1"/>
    <x v="2"/>
    <s v="Rhamondre Stevenson"/>
    <n v="20.100000000000001"/>
    <n v="2024"/>
  </r>
  <r>
    <x v="11"/>
    <s v="Cam"/>
    <n v="1"/>
    <x v="2"/>
    <s v="Aaron Jones"/>
    <n v="17.899999999999999"/>
    <n v="2024"/>
  </r>
  <r>
    <x v="11"/>
    <s v="Cam"/>
    <n v="1"/>
    <x v="3"/>
    <s v="George Kittle"/>
    <n v="6"/>
    <n v="2024"/>
  </r>
  <r>
    <x v="11"/>
    <s v="Cam"/>
    <n v="1"/>
    <x v="5"/>
    <s v="Evan McPherson"/>
    <n v="6"/>
    <n v="2024"/>
  </r>
  <r>
    <x v="11"/>
    <s v="Cam"/>
    <n v="1"/>
    <x v="4"/>
    <s v="Atlanta"/>
    <n v="4"/>
    <n v="2024"/>
  </r>
  <r>
    <x v="0"/>
    <s v="Brenton"/>
    <n v="2"/>
    <x v="0"/>
    <s v="Baker Mayfield"/>
    <n v="18.8"/>
    <n v="2024"/>
  </r>
  <r>
    <x v="0"/>
    <s v="Brenton"/>
    <n v="2"/>
    <x v="1"/>
    <s v="Tyreek Hill"/>
    <n v="5.0999999999999996"/>
    <n v="2024"/>
  </r>
  <r>
    <x v="0"/>
    <s v="Brenton"/>
    <n v="2"/>
    <x v="1"/>
    <s v="Zay Flowers"/>
    <n v="18.600000000000001"/>
    <n v="2024"/>
  </r>
  <r>
    <x v="0"/>
    <s v="Brenton"/>
    <n v="2"/>
    <x v="1"/>
    <s v="Jayden Reed"/>
    <n v="5.6"/>
    <n v="2024"/>
  </r>
  <r>
    <x v="0"/>
    <s v="Brenton"/>
    <n v="2"/>
    <x v="2"/>
    <s v="Ezekiel Elliott"/>
    <n v="4.2"/>
    <n v="2024"/>
  </r>
  <r>
    <x v="0"/>
    <s v="Brenton"/>
    <n v="2"/>
    <x v="2"/>
    <s v="Jerome Ford"/>
    <n v="6.9"/>
    <n v="2024"/>
  </r>
  <r>
    <x v="0"/>
    <s v="Brenton"/>
    <n v="2"/>
    <x v="3"/>
    <s v="Trey McBride"/>
    <n v="15.7"/>
    <n v="2024"/>
  </r>
  <r>
    <x v="0"/>
    <s v="Brenton"/>
    <n v="2"/>
    <x v="4"/>
    <s v="Tyler Bass"/>
    <n v="7"/>
    <n v="2024"/>
  </r>
  <r>
    <x v="0"/>
    <s v="Brenton"/>
    <n v="2"/>
    <x v="5"/>
    <s v="Jacksonville"/>
    <n v="4"/>
    <n v="2024"/>
  </r>
  <r>
    <x v="2"/>
    <s v="Mike"/>
    <n v="2"/>
    <x v="0"/>
    <s v="Patrick Mahomes"/>
    <n v="12.94"/>
    <n v="2024"/>
  </r>
  <r>
    <x v="2"/>
    <s v="Mike"/>
    <n v="2"/>
    <x v="1"/>
    <s v="Davante Adams"/>
    <n v="21.5"/>
    <n v="2024"/>
  </r>
  <r>
    <x v="2"/>
    <s v="Mike"/>
    <n v="2"/>
    <x v="1"/>
    <s v="Mike Evans"/>
    <n v="5.7"/>
    <n v="2024"/>
  </r>
  <r>
    <x v="2"/>
    <s v="Mike"/>
    <n v="2"/>
    <x v="1"/>
    <s v="Khalil Shakir"/>
    <n v="8.1"/>
    <n v="2024"/>
  </r>
  <r>
    <x v="2"/>
    <s v="Mike"/>
    <n v="2"/>
    <x v="2"/>
    <s v="Derrick Henry"/>
    <n v="16.100000000000001"/>
    <n v="2024"/>
  </r>
  <r>
    <x v="2"/>
    <s v="Mike"/>
    <n v="2"/>
    <x v="2"/>
    <s v="Tyjae Spears"/>
    <n v="4.0999999999999996"/>
    <n v="2024"/>
  </r>
  <r>
    <x v="2"/>
    <s v="Mike"/>
    <n v="2"/>
    <x v="3"/>
    <s v="Sam LaPorta"/>
    <n v="2.2999999999999998"/>
    <n v="2024"/>
  </r>
  <r>
    <x v="2"/>
    <s v="Mike"/>
    <n v="2"/>
    <x v="4"/>
    <s v="Buffalo"/>
    <n v="17"/>
    <n v="2024"/>
  </r>
  <r>
    <x v="2"/>
    <s v="Mike"/>
    <n v="2"/>
    <x v="5"/>
    <s v="Jason Sanders"/>
    <n v="4"/>
    <n v="2024"/>
  </r>
  <r>
    <x v="1"/>
    <s v="Todd"/>
    <n v="2"/>
    <x v="0"/>
    <s v="Dak Prescott"/>
    <n v="12.92"/>
    <n v="2024"/>
  </r>
  <r>
    <x v="1"/>
    <s v="Todd"/>
    <n v="2"/>
    <x v="1"/>
    <s v="Deebo Samuel"/>
    <n v="14"/>
    <n v="2024"/>
  </r>
  <r>
    <x v="1"/>
    <s v="Todd"/>
    <n v="2"/>
    <x v="1"/>
    <s v="Rashee Rice"/>
    <n v="16"/>
    <n v="2024"/>
  </r>
  <r>
    <x v="1"/>
    <s v="Todd"/>
    <n v="2"/>
    <x v="1"/>
    <s v="Calvin Ridley"/>
    <n v="22.7"/>
    <n v="2024"/>
  </r>
  <r>
    <x v="1"/>
    <s v="Todd"/>
    <n v="2"/>
    <x v="2"/>
    <s v="De'Von Achane"/>
    <n v="26"/>
    <n v="2024"/>
  </r>
  <r>
    <x v="1"/>
    <s v="Todd"/>
    <n v="2"/>
    <x v="2"/>
    <s v="James Conner"/>
    <n v="18.899999999999999"/>
    <n v="2024"/>
  </r>
  <r>
    <x v="1"/>
    <s v="Todd"/>
    <n v="2"/>
    <x v="3"/>
    <s v="Kyle Pitts"/>
    <n v="3.5"/>
    <n v="2024"/>
  </r>
  <r>
    <x v="1"/>
    <s v="Todd"/>
    <n v="2"/>
    <x v="4"/>
    <s v="Seattle"/>
    <n v="5"/>
    <n v="2024"/>
  </r>
  <r>
    <x v="1"/>
    <s v="Todd"/>
    <n v="2"/>
    <x v="5"/>
    <s v="Chris Boswell"/>
    <n v="9"/>
    <n v="2024"/>
  </r>
  <r>
    <x v="7"/>
    <s v="Jay"/>
    <n v="2"/>
    <x v="0"/>
    <s v="Lamar Jackson"/>
    <n v="16.38"/>
    <n v="2024"/>
  </r>
  <r>
    <x v="7"/>
    <s v="Jay"/>
    <n v="2"/>
    <x v="1"/>
    <s v="Stefon Diggs"/>
    <n v="5.7"/>
    <n v="2024"/>
  </r>
  <r>
    <x v="7"/>
    <s v="Jay"/>
    <n v="2"/>
    <x v="1"/>
    <s v="Amari Cooper"/>
    <n v="2.6"/>
    <n v="2024"/>
  </r>
  <r>
    <x v="7"/>
    <s v="Jay"/>
    <n v="2"/>
    <x v="1"/>
    <s v="Christian Kirk"/>
    <n v="0.4"/>
    <n v="2024"/>
  </r>
  <r>
    <x v="7"/>
    <s v="Jay"/>
    <n v="2"/>
    <x v="2"/>
    <s v="Alvin Kamara"/>
    <n v="43"/>
    <n v="2024"/>
  </r>
  <r>
    <x v="7"/>
    <s v="Jay"/>
    <n v="2"/>
    <x v="2"/>
    <s v="Jonathan Taylor"/>
    <n v="14.5"/>
    <n v="2024"/>
  </r>
  <r>
    <x v="7"/>
    <s v="Jay"/>
    <n v="2"/>
    <x v="3"/>
    <s v="Mark Andrews"/>
    <n v="7.1"/>
    <n v="2024"/>
  </r>
  <r>
    <x v="7"/>
    <s v="Jay"/>
    <n v="2"/>
    <x v="5"/>
    <s v="Ka'imi Fairbairn"/>
    <n v="20"/>
    <n v="2024"/>
  </r>
  <r>
    <x v="7"/>
    <s v="Jay"/>
    <n v="2"/>
    <x v="4"/>
    <s v="LA Chargers"/>
    <n v="14"/>
    <n v="2024"/>
  </r>
  <r>
    <x v="4"/>
    <s v="Eli"/>
    <n v="2"/>
    <x v="0"/>
    <s v="Jalen Hurts"/>
    <n v="23.82"/>
    <n v="2024"/>
  </r>
  <r>
    <x v="4"/>
    <s v="Eli"/>
    <n v="2"/>
    <x v="1"/>
    <s v="Justin Jefferson"/>
    <n v="21.3"/>
    <n v="2024"/>
  </r>
  <r>
    <x v="4"/>
    <s v="Eli"/>
    <n v="2"/>
    <x v="1"/>
    <s v="DJ Moore"/>
    <n v="8.3000000000000007"/>
    <n v="2024"/>
  </r>
  <r>
    <x v="4"/>
    <s v="Eli"/>
    <n v="2"/>
    <x v="1"/>
    <s v="Demarcus Robinson"/>
    <n v="6"/>
    <n v="2024"/>
  </r>
  <r>
    <x v="4"/>
    <s v="Eli"/>
    <n v="2"/>
    <x v="2"/>
    <s v="Bijan Robinson"/>
    <n v="14.2"/>
    <n v="2024"/>
  </r>
  <r>
    <x v="4"/>
    <s v="Eli"/>
    <n v="2"/>
    <x v="2"/>
    <s v="Jordan Mason"/>
    <n v="16.899999999999999"/>
    <n v="2024"/>
  </r>
  <r>
    <x v="4"/>
    <s v="Eli"/>
    <n v="2"/>
    <x v="3"/>
    <s v="Dalton Schultz"/>
    <n v="3.1"/>
    <n v="2024"/>
  </r>
  <r>
    <x v="4"/>
    <s v="Eli"/>
    <n v="2"/>
    <x v="5"/>
    <s v="Jake Moody"/>
    <n v="5"/>
    <n v="2024"/>
  </r>
  <r>
    <x v="4"/>
    <s v="Eli"/>
    <n v="2"/>
    <x v="4"/>
    <s v="NYJ"/>
    <n v="10"/>
    <n v="2024"/>
  </r>
  <r>
    <x v="6"/>
    <s v="Will"/>
    <n v="2"/>
    <x v="0"/>
    <s v="Geno Smith"/>
    <n v="17.88"/>
    <n v="2024"/>
  </r>
  <r>
    <x v="6"/>
    <s v="Will"/>
    <n v="2"/>
    <x v="1"/>
    <s v="Amon-Ra St. Brown"/>
    <n v="17.399999999999999"/>
    <n v="2024"/>
  </r>
  <r>
    <x v="6"/>
    <s v="Will"/>
    <n v="2"/>
    <x v="1"/>
    <s v="Drake London"/>
    <n v="14.4"/>
    <n v="2024"/>
  </r>
  <r>
    <x v="6"/>
    <s v="Will"/>
    <n v="2"/>
    <x v="1"/>
    <s v="Jaxon Smith-Njigba"/>
    <n v="17.7"/>
    <n v="2024"/>
  </r>
  <r>
    <x v="6"/>
    <s v="Will"/>
    <n v="2"/>
    <x v="2"/>
    <s v="Travis Etienne"/>
    <n v="13.3"/>
    <n v="2024"/>
  </r>
  <r>
    <x v="6"/>
    <s v="Will"/>
    <n v="2"/>
    <x v="2"/>
    <s v="Zach Charbonet"/>
    <n v="15.4"/>
    <n v="2024"/>
  </r>
  <r>
    <x v="6"/>
    <s v="Will"/>
    <n v="2"/>
    <x v="3"/>
    <s v="Travis Kelce"/>
    <n v="1.1000000000000001"/>
    <n v="2024"/>
  </r>
  <r>
    <x v="6"/>
    <s v="Will"/>
    <n v="2"/>
    <x v="5"/>
    <s v="Jason Myers"/>
    <n v="12"/>
    <n v="2024"/>
  </r>
  <r>
    <x v="6"/>
    <s v="Will"/>
    <n v="2"/>
    <x v="4"/>
    <s v="Houston"/>
    <n v="16"/>
    <n v="2024"/>
  </r>
  <r>
    <x v="8"/>
    <s v="Schulwolf"/>
    <n v="2"/>
    <x v="0"/>
    <s v="Jayden Daniels"/>
    <n v="13.44"/>
    <n v="2024"/>
  </r>
  <r>
    <x v="8"/>
    <s v="Schulwolf"/>
    <n v="2"/>
    <x v="1"/>
    <s v="Chris Godwin"/>
    <n v="21.2"/>
    <n v="2024"/>
  </r>
  <r>
    <x v="8"/>
    <s v="Schulwolf"/>
    <n v="2"/>
    <x v="1"/>
    <s v="DeVonta Smith"/>
    <n v="17.100000000000001"/>
    <n v="2024"/>
  </r>
  <r>
    <x v="8"/>
    <s v="Schulwolf"/>
    <n v="2"/>
    <x v="1"/>
    <s v="Cooper Kupp"/>
    <n v="5.7"/>
    <n v="2024"/>
  </r>
  <r>
    <x v="8"/>
    <s v="Schulwolf"/>
    <n v="2"/>
    <x v="2"/>
    <s v="James Cook"/>
    <n v="28"/>
    <n v="2024"/>
  </r>
  <r>
    <x v="8"/>
    <s v="Schulwolf"/>
    <n v="2"/>
    <x v="2"/>
    <s v="Jahmyr Gibbs"/>
    <n v="14.1"/>
    <n v="2024"/>
  </r>
  <r>
    <x v="8"/>
    <s v="Schulwolf"/>
    <n v="2"/>
    <x v="3"/>
    <s v="Dalton Kincaid"/>
    <n v="5.3"/>
    <n v="2024"/>
  </r>
  <r>
    <x v="8"/>
    <s v="Schulwolf"/>
    <n v="2"/>
    <x v="5"/>
    <s v="Brandon Aubrey"/>
    <n v="17"/>
    <n v="2024"/>
  </r>
  <r>
    <x v="8"/>
    <s v="Schulwolf"/>
    <n v="2"/>
    <x v="4"/>
    <s v="Dallas"/>
    <n v="-3"/>
    <n v="2024"/>
  </r>
  <r>
    <x v="3"/>
    <s v="Kevin"/>
    <n v="2"/>
    <x v="0"/>
    <s v="CJ Stroud"/>
    <n v="14.3"/>
    <n v="2024"/>
  </r>
  <r>
    <x v="3"/>
    <s v="Kevin"/>
    <n v="2"/>
    <x v="1"/>
    <s v="Marvin Harrison Jr"/>
    <n v="27"/>
    <n v="2024"/>
  </r>
  <r>
    <x v="3"/>
    <s v="Kevin"/>
    <n v="2"/>
    <x v="1"/>
    <s v="Chris Olave"/>
    <n v="10.8"/>
    <n v="2024"/>
  </r>
  <r>
    <x v="3"/>
    <s v="Kevin"/>
    <n v="2"/>
    <x v="1"/>
    <s v="George Pickens"/>
    <n v="3.9"/>
    <n v="2024"/>
  </r>
  <r>
    <x v="3"/>
    <s v="Kevin"/>
    <n v="2"/>
    <x v="2"/>
    <s v="Isiah Pacheco"/>
    <n v="13.6"/>
    <n v="2024"/>
  </r>
  <r>
    <x v="3"/>
    <s v="Kevin"/>
    <n v="2"/>
    <x v="2"/>
    <s v="Najee Harris"/>
    <n v="7.9"/>
    <n v="2024"/>
  </r>
  <r>
    <x v="3"/>
    <s v="Kevin"/>
    <n v="2"/>
    <x v="3"/>
    <s v="Hunter Henry"/>
    <n v="14.9"/>
    <n v="2024"/>
  </r>
  <r>
    <x v="3"/>
    <s v="Kevin"/>
    <n v="2"/>
    <x v="5"/>
    <s v="Justin Tucker"/>
    <n v="13"/>
    <n v="2024"/>
  </r>
  <r>
    <x v="3"/>
    <s v="Kevin"/>
    <n v="2"/>
    <x v="4"/>
    <s v="Cleveland"/>
    <n v="9"/>
    <n v="2024"/>
  </r>
  <r>
    <x v="10"/>
    <s v="Brand"/>
    <n v="2"/>
    <x v="0"/>
    <s v="Anthony Richardson"/>
    <n v="9.86"/>
    <n v="2024"/>
  </r>
  <r>
    <x v="10"/>
    <s v="Brand"/>
    <n v="2"/>
    <x v="1"/>
    <s v="Jameson Williams"/>
    <n v="11.9"/>
    <n v="2024"/>
  </r>
  <r>
    <x v="10"/>
    <s v="Brand"/>
    <n v="2"/>
    <x v="1"/>
    <s v="Garrett Wilson"/>
    <n v="8.1999999999999993"/>
    <n v="2024"/>
  </r>
  <r>
    <x v="10"/>
    <s v="Brand"/>
    <n v="2"/>
    <x v="1"/>
    <s v="Michael Pittman"/>
    <n v="3.6"/>
    <n v="2024"/>
  </r>
  <r>
    <x v="10"/>
    <s v="Brand"/>
    <n v="2"/>
    <x v="2"/>
    <s v="Breece Hall"/>
    <n v="20.9"/>
    <n v="2024"/>
  </r>
  <r>
    <x v="10"/>
    <s v="Brand"/>
    <n v="2"/>
    <x v="2"/>
    <s v="Bucky Irving"/>
    <n v="2.2000000000000002"/>
    <n v="2024"/>
  </r>
  <r>
    <x v="10"/>
    <s v="Brand"/>
    <n v="2"/>
    <x v="3"/>
    <s v="Dallas Goedert"/>
    <n v="5.3"/>
    <n v="2024"/>
  </r>
  <r>
    <x v="10"/>
    <s v="Brand"/>
    <n v="2"/>
    <x v="5"/>
    <s v="Cairo Santos"/>
    <n v="11"/>
    <n v="2024"/>
  </r>
  <r>
    <x v="10"/>
    <s v="Brand"/>
    <n v="2"/>
    <x v="4"/>
    <s v="Indianapolis"/>
    <n v="2"/>
    <n v="2024"/>
  </r>
  <r>
    <x v="9"/>
    <s v="Tommy"/>
    <n v="2"/>
    <x v="0"/>
    <s v="Josh Allen"/>
    <n v="9.76"/>
    <n v="2024"/>
  </r>
  <r>
    <x v="9"/>
    <s v="Tommy"/>
    <n v="2"/>
    <x v="1"/>
    <s v="DK Metcalf"/>
    <n v="23.9"/>
    <n v="2024"/>
  </r>
  <r>
    <x v="9"/>
    <s v="Tommy"/>
    <n v="2"/>
    <x v="1"/>
    <s v="Malik Nabers"/>
    <n v="23.7"/>
    <n v="2024"/>
  </r>
  <r>
    <x v="9"/>
    <s v="Tommy"/>
    <n v="2"/>
    <x v="1"/>
    <s v="Xavier Worthy"/>
    <n v="3.2"/>
    <n v="2024"/>
  </r>
  <r>
    <x v="9"/>
    <s v="Tommy"/>
    <n v="2"/>
    <x v="2"/>
    <s v="Saquon Barkley"/>
    <n v="15.6"/>
    <n v="2024"/>
  </r>
  <r>
    <x v="9"/>
    <s v="Tommy"/>
    <n v="2"/>
    <x v="2"/>
    <s v="Kyren Williams"/>
    <n v="13.2"/>
    <n v="2024"/>
  </r>
  <r>
    <x v="9"/>
    <s v="Tommy"/>
    <n v="2"/>
    <x v="3"/>
    <s v="Evan Engram"/>
    <n v="0"/>
    <n v="2024"/>
  </r>
  <r>
    <x v="9"/>
    <s v="Tommy"/>
    <n v="2"/>
    <x v="5"/>
    <s v="Harrison Butker"/>
    <n v="10"/>
    <n v="2024"/>
  </r>
  <r>
    <x v="9"/>
    <s v="Tommy"/>
    <n v="2"/>
    <x v="4"/>
    <s v="San Francisco"/>
    <n v="4"/>
    <n v="2024"/>
  </r>
  <r>
    <x v="11"/>
    <s v="Cam"/>
    <n v="2"/>
    <x v="0"/>
    <s v="Kyler Murray"/>
    <n v="28.54"/>
    <n v="2024"/>
  </r>
  <r>
    <x v="11"/>
    <s v="Cam"/>
    <n v="2"/>
    <x v="1"/>
    <s v="Nico Collins"/>
    <n v="23.5"/>
    <n v="2024"/>
  </r>
  <r>
    <x v="11"/>
    <s v="Cam"/>
    <n v="2"/>
    <x v="1"/>
    <s v="Ja'Marr Chase"/>
    <n v="5.5"/>
    <n v="2024"/>
  </r>
  <r>
    <x v="11"/>
    <s v="Cam"/>
    <n v="2"/>
    <x v="1"/>
    <s v="Brandon Aiyuk"/>
    <n v="6.3"/>
    <n v="2024"/>
  </r>
  <r>
    <x v="11"/>
    <s v="Cam"/>
    <n v="2"/>
    <x v="2"/>
    <s v="Rhamondre Stevenson"/>
    <n v="16"/>
    <n v="2024"/>
  </r>
  <r>
    <x v="11"/>
    <s v="Cam"/>
    <n v="2"/>
    <x v="2"/>
    <s v="JK Dobbins"/>
    <n v="19.600000000000001"/>
    <n v="2024"/>
  </r>
  <r>
    <x v="11"/>
    <s v="Cam"/>
    <n v="2"/>
    <x v="3"/>
    <s v="George Kittle"/>
    <n v="17.100000000000001"/>
    <n v="2024"/>
  </r>
  <r>
    <x v="11"/>
    <s v="Cam"/>
    <n v="2"/>
    <x v="5"/>
    <s v="Evan McPherson"/>
    <n v="15"/>
    <n v="2024"/>
  </r>
  <r>
    <x v="11"/>
    <s v="Cam"/>
    <n v="2"/>
    <x v="4"/>
    <s v="Baltimore"/>
    <n v="8"/>
    <n v="2024"/>
  </r>
  <r>
    <x v="5"/>
    <s v="Burnett/Jasjaap"/>
    <n v="2"/>
    <x v="0"/>
    <s v="Brock Purdy"/>
    <n v="13.96"/>
    <n v="2024"/>
  </r>
  <r>
    <x v="5"/>
    <s v="Burnett/Jasjaap"/>
    <n v="2"/>
    <x v="1"/>
    <s v="CeeDee Lamb"/>
    <n v="17"/>
    <n v="2024"/>
  </r>
  <r>
    <x v="5"/>
    <s v="Burnett/Jasjaap"/>
    <n v="2"/>
    <x v="1"/>
    <s v="Jaylen Waddle"/>
    <n v="6.5"/>
    <n v="2024"/>
  </r>
  <r>
    <x v="5"/>
    <s v="Burnett/Jasjaap"/>
    <n v="2"/>
    <x v="1"/>
    <s v="Rashid Shaheed"/>
    <n v="18.899999999999999"/>
    <n v="2024"/>
  </r>
  <r>
    <x v="5"/>
    <s v="Burnett/Jasjaap"/>
    <n v="2"/>
    <x v="2"/>
    <s v="David Montgomery"/>
    <n v="15"/>
    <n v="2024"/>
  </r>
  <r>
    <x v="5"/>
    <s v="Burnett/Jasjaap"/>
    <n v="2"/>
    <x v="2"/>
    <s v="Josh Jacobs"/>
    <n v="13.1"/>
    <n v="2024"/>
  </r>
  <r>
    <x v="5"/>
    <s v="Burnett/Jasjaap"/>
    <n v="2"/>
    <x v="3"/>
    <s v="Brock Bowers"/>
    <n v="14.3"/>
    <n v="2024"/>
  </r>
  <r>
    <x v="5"/>
    <s v="Burnett/Jasjaap"/>
    <n v="2"/>
    <x v="5"/>
    <s v="Jake Elliott"/>
    <n v="7"/>
    <n v="2024"/>
  </r>
  <r>
    <x v="5"/>
    <s v="Burnett/Jasjaap"/>
    <n v="2"/>
    <x v="4"/>
    <s v="Pittsburgh"/>
    <n v="14"/>
    <n v="2024"/>
  </r>
  <r>
    <x v="0"/>
    <s v="Brenton"/>
    <n v="3"/>
    <x v="0"/>
    <s v="Derek Carr"/>
    <n v="7.98"/>
    <n v="2024"/>
  </r>
  <r>
    <x v="0"/>
    <s v="Brenton"/>
    <n v="3"/>
    <x v="1"/>
    <s v="Tyreek Hill"/>
    <n v="5.5"/>
    <n v="2024"/>
  </r>
  <r>
    <x v="0"/>
    <s v="Brenton"/>
    <n v="3"/>
    <x v="1"/>
    <s v="Zay Flowers"/>
    <n v="3.8"/>
    <n v="2024"/>
  </r>
  <r>
    <x v="0"/>
    <s v="Brenton"/>
    <n v="3"/>
    <x v="1"/>
    <s v="Jayden Reed"/>
    <n v="8.9"/>
    <n v="2024"/>
  </r>
  <r>
    <x v="0"/>
    <s v="Brenton"/>
    <n v="3"/>
    <x v="2"/>
    <s v="Cam Akers"/>
    <n v="9.4"/>
    <n v="2024"/>
  </r>
  <r>
    <x v="0"/>
    <s v="Brenton"/>
    <n v="3"/>
    <x v="2"/>
    <s v="Jerome Ford"/>
    <n v="8.5"/>
    <n v="2024"/>
  </r>
  <r>
    <x v="0"/>
    <s v="Brenton"/>
    <n v="3"/>
    <x v="3"/>
    <s v="Trey McBride"/>
    <n v="4"/>
    <n v="2024"/>
  </r>
  <r>
    <x v="0"/>
    <s v="Brenton"/>
    <n v="3"/>
    <x v="5"/>
    <s v="Tyler Bass"/>
    <n v="11"/>
    <n v="2024"/>
  </r>
  <r>
    <x v="0"/>
    <s v="Brenton"/>
    <n v="3"/>
    <x v="4"/>
    <s v="Tampa Bay"/>
    <n v="1"/>
    <n v="2024"/>
  </r>
  <r>
    <x v="3"/>
    <s v="Kevin"/>
    <n v="3"/>
    <x v="0"/>
    <s v="CJ Stroud"/>
    <n v="9.8000000000000007"/>
    <n v="2024"/>
  </r>
  <r>
    <x v="3"/>
    <s v="Kevin"/>
    <n v="3"/>
    <x v="1"/>
    <s v="Chris Olave"/>
    <n v="17.600000000000001"/>
    <n v="2024"/>
  </r>
  <r>
    <x v="3"/>
    <s v="Kevin"/>
    <n v="3"/>
    <x v="1"/>
    <s v="Marvin Harrison Jr"/>
    <n v="14.9"/>
    <n v="2024"/>
  </r>
  <r>
    <x v="3"/>
    <s v="Kevin"/>
    <n v="3"/>
    <x v="1"/>
    <s v="George Pickens"/>
    <n v="8.1999999999999993"/>
    <n v="2024"/>
  </r>
  <r>
    <x v="3"/>
    <s v="Kevin"/>
    <n v="3"/>
    <x v="2"/>
    <s v="Najee Harris"/>
    <n v="11.1"/>
    <n v="2024"/>
  </r>
  <r>
    <x v="3"/>
    <s v="Kevin"/>
    <n v="3"/>
    <x v="2"/>
    <s v="Joe Mixon"/>
    <n v="0"/>
    <n v="2024"/>
  </r>
  <r>
    <x v="3"/>
    <s v="Kevin"/>
    <n v="3"/>
    <x v="3"/>
    <s v="Hunter Henry"/>
    <n v="1.9"/>
    <n v="2024"/>
  </r>
  <r>
    <x v="3"/>
    <s v="Kevin"/>
    <n v="3"/>
    <x v="5"/>
    <s v="Justin Tucker"/>
    <n v="3"/>
    <n v="2024"/>
  </r>
  <r>
    <x v="3"/>
    <s v="Kevin"/>
    <n v="3"/>
    <x v="4"/>
    <s v="Cleveland"/>
    <n v="5"/>
    <n v="2024"/>
  </r>
  <r>
    <x v="2"/>
    <s v="Mike"/>
    <n v="3"/>
    <x v="0"/>
    <s v="Patrick Mahomes"/>
    <n v="16.38"/>
    <n v="2024"/>
  </r>
  <r>
    <x v="2"/>
    <s v="Mike"/>
    <n v="3"/>
    <x v="1"/>
    <s v="Tank Dell"/>
    <n v="8.6999999999999993"/>
    <n v="2024"/>
  </r>
  <r>
    <x v="2"/>
    <s v="Mike"/>
    <n v="3"/>
    <x v="1"/>
    <s v="Davante Adams"/>
    <n v="6"/>
    <n v="2024"/>
  </r>
  <r>
    <x v="2"/>
    <s v="Mike"/>
    <n v="3"/>
    <x v="1"/>
    <s v="Khalil Shakir"/>
    <n v="16.2"/>
    <n v="2024"/>
  </r>
  <r>
    <x v="2"/>
    <s v="Mike"/>
    <n v="3"/>
    <x v="2"/>
    <s v="Derrick Henry"/>
    <n v="29.9"/>
    <n v="2024"/>
  </r>
  <r>
    <x v="2"/>
    <s v="Mike"/>
    <n v="3"/>
    <x v="2"/>
    <s v="Carson Steele"/>
    <n v="7.9"/>
    <n v="2024"/>
  </r>
  <r>
    <x v="2"/>
    <s v="Mike"/>
    <n v="3"/>
    <x v="3"/>
    <s v="Sam LaPorta"/>
    <n v="4.5999999999999996"/>
    <n v="2024"/>
  </r>
  <r>
    <x v="2"/>
    <s v="Mike"/>
    <n v="3"/>
    <x v="5"/>
    <s v="Younghoe Koo"/>
    <n v="7"/>
    <n v="2024"/>
  </r>
  <r>
    <x v="2"/>
    <s v="Mike"/>
    <n v="3"/>
    <x v="4"/>
    <s v="Buffalo"/>
    <n v="14"/>
    <n v="2024"/>
  </r>
  <r>
    <x v="7"/>
    <s v="Jay"/>
    <n v="3"/>
    <x v="0"/>
    <s v="Lamar Jackson"/>
    <n v="25.98"/>
    <n v="2024"/>
  </r>
  <r>
    <x v="7"/>
    <s v="Jay"/>
    <n v="3"/>
    <x v="1"/>
    <s v="Amari Cooper"/>
    <n v="24.1"/>
    <n v="2024"/>
  </r>
  <r>
    <x v="7"/>
    <s v="Jay"/>
    <n v="3"/>
    <x v="1"/>
    <s v="Stefon Diggs"/>
    <n v="14.92"/>
    <n v="2024"/>
  </r>
  <r>
    <x v="7"/>
    <s v="Jay"/>
    <n v="3"/>
    <x v="1"/>
    <s v="Tee Higgins"/>
    <n v="5.4"/>
    <n v="2024"/>
  </r>
  <r>
    <x v="7"/>
    <s v="Jay"/>
    <n v="3"/>
    <x v="2"/>
    <s v="Jonathan Taylor"/>
    <n v="26"/>
    <n v="2024"/>
  </r>
  <r>
    <x v="7"/>
    <s v="Jay"/>
    <n v="3"/>
    <x v="2"/>
    <s v="Alvin Kamara"/>
    <n v="14.2"/>
    <n v="2024"/>
  </r>
  <r>
    <x v="7"/>
    <s v="Jay"/>
    <n v="3"/>
    <x v="3"/>
    <s v="Mark Andrews"/>
    <n v="0"/>
    <n v="2024"/>
  </r>
  <r>
    <x v="7"/>
    <s v="Jay"/>
    <n v="3"/>
    <x v="5"/>
    <s v="Ka'imi Fairbairn"/>
    <n v="1"/>
    <n v="2024"/>
  </r>
  <r>
    <x v="7"/>
    <s v="Jay"/>
    <n v="3"/>
    <x v="4"/>
    <s v="Cincinnati"/>
    <n v="-3"/>
    <n v="2024"/>
  </r>
  <r>
    <x v="1"/>
    <s v="Todd"/>
    <n v="3"/>
    <x v="0"/>
    <s v="Dak Prescott"/>
    <n v="29.86"/>
    <n v="2024"/>
  </r>
  <r>
    <x v="1"/>
    <s v="Todd"/>
    <n v="3"/>
    <x v="1"/>
    <s v="Rashee Rice"/>
    <n v="23.1"/>
    <n v="2024"/>
  </r>
  <r>
    <x v="1"/>
    <s v="Todd"/>
    <n v="3"/>
    <x v="1"/>
    <s v="Brian Thomas Jr"/>
    <n v="7.3"/>
    <n v="2024"/>
  </r>
  <r>
    <x v="1"/>
    <s v="Todd"/>
    <n v="3"/>
    <x v="1"/>
    <s v="Calvin Ridley"/>
    <n v="1.4"/>
    <n v="2024"/>
  </r>
  <r>
    <x v="1"/>
    <s v="Todd"/>
    <n v="3"/>
    <x v="2"/>
    <s v="De'Von Achane"/>
    <n v="7.3"/>
    <n v="2024"/>
  </r>
  <r>
    <x v="1"/>
    <s v="Todd"/>
    <n v="3"/>
    <x v="2"/>
    <s v="D'Andre Swift"/>
    <n v="5.2"/>
    <n v="2024"/>
  </r>
  <r>
    <x v="1"/>
    <s v="Todd"/>
    <n v="3"/>
    <x v="3"/>
    <s v="Kyle Pitts"/>
    <n v="6.9"/>
    <n v="2024"/>
  </r>
  <r>
    <x v="1"/>
    <s v="Todd"/>
    <n v="3"/>
    <x v="5"/>
    <s v="Chris Boswell"/>
    <n v="8"/>
    <n v="2024"/>
  </r>
  <r>
    <x v="1"/>
    <s v="Todd"/>
    <n v="3"/>
    <x v="4"/>
    <s v="Las Vegas"/>
    <n v="-6"/>
    <n v="2024"/>
  </r>
  <r>
    <x v="4"/>
    <s v="Eli"/>
    <n v="3"/>
    <x v="0"/>
    <s v="Jalen Hurts"/>
    <n v="10.94"/>
    <n v="2024"/>
  </r>
  <r>
    <x v="4"/>
    <s v="Eli"/>
    <n v="3"/>
    <x v="1"/>
    <s v="Justin Jefferson"/>
    <n v="17.100000000000001"/>
    <n v="2024"/>
  </r>
  <r>
    <x v="4"/>
    <s v="Eli"/>
    <n v="3"/>
    <x v="1"/>
    <s v="Rome Odunze"/>
    <n v="20.399999999999999"/>
    <n v="2024"/>
  </r>
  <r>
    <x v="4"/>
    <s v="Eli"/>
    <n v="3"/>
    <x v="1"/>
    <s v="DJ Moore"/>
    <n v="11.2"/>
    <n v="2024"/>
  </r>
  <r>
    <x v="4"/>
    <s v="Eli"/>
    <n v="3"/>
    <x v="2"/>
    <s v="Bijan Robinson"/>
    <n v="12.2"/>
    <n v="2024"/>
  </r>
  <r>
    <x v="4"/>
    <s v="Eli"/>
    <n v="3"/>
    <x v="2"/>
    <s v="Jordan Mason"/>
    <n v="9.8000000000000007"/>
    <n v="2024"/>
  </r>
  <r>
    <x v="4"/>
    <s v="Eli"/>
    <n v="3"/>
    <x v="3"/>
    <s v="Dalton Schultz"/>
    <n v="2.1"/>
    <n v="2024"/>
  </r>
  <r>
    <x v="4"/>
    <s v="Eli"/>
    <n v="3"/>
    <x v="5"/>
    <s v="Jake Moody"/>
    <n v="6"/>
    <n v="2024"/>
  </r>
  <r>
    <x v="4"/>
    <s v="Eli"/>
    <n v="3"/>
    <x v="4"/>
    <s v="NYJ"/>
    <n v="19"/>
    <n v="2024"/>
  </r>
  <r>
    <x v="6"/>
    <s v="Will"/>
    <n v="3"/>
    <x v="0"/>
    <s v="Geno Smith"/>
    <n v="11.36"/>
    <n v="2024"/>
  </r>
  <r>
    <x v="6"/>
    <s v="Will"/>
    <n v="3"/>
    <x v="1"/>
    <s v="Amon-Ra St. Brown"/>
    <n v="17"/>
    <n v="2024"/>
  </r>
  <r>
    <x v="6"/>
    <s v="Will"/>
    <n v="3"/>
    <x v="1"/>
    <s v="Drake London"/>
    <n v="15.7"/>
    <n v="2024"/>
  </r>
  <r>
    <x v="6"/>
    <s v="Will"/>
    <n v="3"/>
    <x v="1"/>
    <s v="Ladd McConkey"/>
    <n v="5.9"/>
    <n v="2024"/>
  </r>
  <r>
    <x v="6"/>
    <s v="Will"/>
    <n v="3"/>
    <x v="2"/>
    <s v="Zach Charbonet"/>
    <n v="24.2"/>
    <n v="2024"/>
  </r>
  <r>
    <x v="6"/>
    <s v="Will"/>
    <n v="3"/>
    <x v="2"/>
    <s v="Travis Etienne"/>
    <n v="10.5"/>
    <n v="2024"/>
  </r>
  <r>
    <x v="6"/>
    <s v="Will"/>
    <n v="3"/>
    <x v="3"/>
    <s v="Travis Kelce"/>
    <n v="5"/>
    <n v="2024"/>
  </r>
  <r>
    <x v="6"/>
    <s v="Will"/>
    <n v="3"/>
    <x v="5"/>
    <s v="Jason Myers"/>
    <n v="8"/>
    <n v="2024"/>
  </r>
  <r>
    <x v="6"/>
    <s v="Will"/>
    <n v="3"/>
    <x v="4"/>
    <s v="Houston"/>
    <n v="4"/>
    <n v="2024"/>
  </r>
  <r>
    <x v="11"/>
    <s v="Cam"/>
    <n v="3"/>
    <x v="0"/>
    <s v="Joe Burrow"/>
    <n v="25.36"/>
    <n v="2024"/>
  </r>
  <r>
    <x v="11"/>
    <s v="Cam"/>
    <n v="3"/>
    <x v="1"/>
    <s v="Ja'Marr Chase"/>
    <n v="26.8"/>
    <n v="2024"/>
  </r>
  <r>
    <x v="11"/>
    <s v="Cam"/>
    <n v="3"/>
    <x v="1"/>
    <s v="Nico Collins"/>
    <n v="10.6"/>
    <n v="2024"/>
  </r>
  <r>
    <x v="11"/>
    <s v="Cam"/>
    <n v="3"/>
    <x v="1"/>
    <s v="Brandon Aiyuk"/>
    <n v="7.3"/>
    <n v="2024"/>
  </r>
  <r>
    <x v="11"/>
    <s v="Cam"/>
    <n v="3"/>
    <x v="2"/>
    <s v="Aaron Jones"/>
    <n v="23.3"/>
    <n v="2024"/>
  </r>
  <r>
    <x v="11"/>
    <s v="Cam"/>
    <n v="3"/>
    <x v="2"/>
    <s v="JK Dobbins"/>
    <n v="6.9"/>
    <n v="2024"/>
  </r>
  <r>
    <x v="11"/>
    <s v="Cam"/>
    <n v="3"/>
    <x v="3"/>
    <s v="Pat Freiermuth"/>
    <n v="5.3"/>
    <n v="2024"/>
  </r>
  <r>
    <x v="11"/>
    <s v="Cam"/>
    <n v="3"/>
    <x v="5"/>
    <s v="Evan McPherson"/>
    <n v="8"/>
    <n v="2024"/>
  </r>
  <r>
    <x v="11"/>
    <s v="Cam"/>
    <n v="3"/>
    <x v="4"/>
    <s v="Chicago"/>
    <n v="4"/>
    <n v="2024"/>
  </r>
  <r>
    <x v="8"/>
    <s v="Schulwolf"/>
    <n v="3"/>
    <x v="0"/>
    <s v="Jayden Daniels"/>
    <n v="28.06"/>
    <n v="2024"/>
  </r>
  <r>
    <x v="8"/>
    <s v="Schulwolf"/>
    <n v="3"/>
    <x v="1"/>
    <s v="Chris Godwin"/>
    <n v="14.3"/>
    <n v="2024"/>
  </r>
  <r>
    <x v="8"/>
    <s v="Schulwolf"/>
    <n v="3"/>
    <x v="1"/>
    <s v="DeVonta Smith"/>
    <n v="11.4"/>
    <n v="2024"/>
  </r>
  <r>
    <x v="8"/>
    <s v="Schulwolf"/>
    <n v="3"/>
    <x v="1"/>
    <s v="Jerry Jeudy"/>
    <n v="6.7"/>
    <n v="2024"/>
  </r>
  <r>
    <x v="8"/>
    <s v="Schulwolf"/>
    <n v="3"/>
    <x v="2"/>
    <s v="Zack Moss"/>
    <n v="18.2"/>
    <n v="2024"/>
  </r>
  <r>
    <x v="8"/>
    <s v="Schulwolf"/>
    <n v="3"/>
    <x v="2"/>
    <s v="James Cook"/>
    <n v="16.7"/>
    <n v="2024"/>
  </r>
  <r>
    <x v="8"/>
    <s v="Schulwolf"/>
    <n v="3"/>
    <x v="3"/>
    <s v="Dalton Kincaid"/>
    <n v="11.6"/>
    <n v="2024"/>
  </r>
  <r>
    <x v="8"/>
    <s v="Schulwolf"/>
    <n v="3"/>
    <x v="5"/>
    <s v="Brandon Aubrey"/>
    <n v="11"/>
    <n v="2024"/>
  </r>
  <r>
    <x v="8"/>
    <s v="Schulwolf"/>
    <n v="3"/>
    <x v="4"/>
    <s v="Dallas"/>
    <n v="-5"/>
    <n v="2024"/>
  </r>
  <r>
    <x v="10"/>
    <s v="Brand"/>
    <n v="3"/>
    <x v="0"/>
    <s v="Anthony Richardson"/>
    <n v="5.08"/>
    <n v="2024"/>
  </r>
  <r>
    <x v="10"/>
    <s v="Brand"/>
    <n v="3"/>
    <x v="1"/>
    <s v="Garrett Wilson"/>
    <n v="11.8"/>
    <n v="2024"/>
  </r>
  <r>
    <x v="10"/>
    <s v="Brand"/>
    <n v="3"/>
    <x v="1"/>
    <s v="Michael Pittman"/>
    <n v="5.6"/>
    <n v="2024"/>
  </r>
  <r>
    <x v="10"/>
    <s v="Brand"/>
    <n v="3"/>
    <x v="1"/>
    <s v="Brandin Cooks"/>
    <n v="2.6"/>
    <n v="2024"/>
  </r>
  <r>
    <x v="10"/>
    <s v="Brand"/>
    <n v="3"/>
    <x v="2"/>
    <s v="Breece Hall"/>
    <n v="16.3"/>
    <n v="2024"/>
  </r>
  <r>
    <x v="10"/>
    <s v="Brand"/>
    <n v="3"/>
    <x v="2"/>
    <s v="Bucky Irving"/>
    <n v="9.9"/>
    <n v="2024"/>
  </r>
  <r>
    <x v="10"/>
    <s v="Brand"/>
    <n v="3"/>
    <x v="3"/>
    <s v="Dallas Goedert"/>
    <n v="22"/>
    <n v="2024"/>
  </r>
  <r>
    <x v="10"/>
    <s v="Brand"/>
    <n v="3"/>
    <x v="5"/>
    <s v="Cairo Santos"/>
    <n v="6"/>
    <n v="2024"/>
  </r>
  <r>
    <x v="10"/>
    <s v="Brand"/>
    <n v="3"/>
    <x v="4"/>
    <s v="Indianapolis"/>
    <n v="10"/>
    <n v="2024"/>
  </r>
  <r>
    <x v="9"/>
    <s v="Tommy"/>
    <n v="3"/>
    <x v="0"/>
    <s v="Josh Allen"/>
    <n v="30.92"/>
    <n v="2024"/>
  </r>
  <r>
    <x v="9"/>
    <s v="Tommy"/>
    <n v="3"/>
    <x v="1"/>
    <s v="Malik Nabers"/>
    <n v="24.2"/>
    <n v="2024"/>
  </r>
  <r>
    <x v="9"/>
    <s v="Tommy"/>
    <n v="3"/>
    <x v="1"/>
    <s v="DK Metcalf"/>
    <n v="18.399999999999999"/>
    <n v="2024"/>
  </r>
  <r>
    <x v="9"/>
    <s v="Tommy"/>
    <n v="3"/>
    <x v="1"/>
    <s v="Xavier Worthy"/>
    <n v="4"/>
    <n v="2024"/>
  </r>
  <r>
    <x v="9"/>
    <s v="Tommy"/>
    <n v="3"/>
    <x v="2"/>
    <s v="Saquon Barkley"/>
    <n v="31.6"/>
    <n v="2024"/>
  </r>
  <r>
    <x v="9"/>
    <s v="Tommy"/>
    <n v="3"/>
    <x v="2"/>
    <s v="Kyren Williams"/>
    <n v="30.6"/>
    <n v="2024"/>
  </r>
  <r>
    <x v="9"/>
    <s v="Tommy"/>
    <n v="3"/>
    <x v="3"/>
    <s v="Mike Gesicki"/>
    <n v="6.7"/>
    <n v="2024"/>
  </r>
  <r>
    <x v="9"/>
    <s v="Tommy"/>
    <n v="3"/>
    <x v="5"/>
    <s v="Harrison Butker"/>
    <n v="12"/>
    <n v="2024"/>
  </r>
  <r>
    <x v="9"/>
    <s v="Tommy"/>
    <n v="3"/>
    <x v="4"/>
    <s v="San Francisco"/>
    <n v="4"/>
    <n v="2024"/>
  </r>
  <r>
    <x v="5"/>
    <s v="Burnett/Jasjaap"/>
    <n v="3"/>
    <x v="0"/>
    <s v="Brock Purdy"/>
    <n v="25.78"/>
    <n v="2024"/>
  </r>
  <r>
    <x v="5"/>
    <s v="Burnett/Jasjaap"/>
    <n v="3"/>
    <x v="1"/>
    <s v="CeeDee Lamb"/>
    <n v="6.7"/>
    <n v="2024"/>
  </r>
  <r>
    <x v="5"/>
    <s v="Burnett/Jasjaap"/>
    <n v="3"/>
    <x v="1"/>
    <s v="Jaylen Waddle"/>
    <n v="4.5999999999999996"/>
    <n v="2024"/>
  </r>
  <r>
    <x v="5"/>
    <s v="Burnett/Jasjaap"/>
    <n v="3"/>
    <x v="1"/>
    <s v="Rashid Shaheed"/>
    <n v="0"/>
    <n v="2024"/>
  </r>
  <r>
    <x v="5"/>
    <s v="Burnett/Jasjaap"/>
    <n v="3"/>
    <x v="2"/>
    <s v="David Montgomery"/>
    <n v="19.7"/>
    <n v="2024"/>
  </r>
  <r>
    <x v="5"/>
    <s v="Burnett/Jasjaap"/>
    <n v="3"/>
    <x v="2"/>
    <s v="Josh Jacobs"/>
    <n v="5.3"/>
    <n v="2024"/>
  </r>
  <r>
    <x v="5"/>
    <s v="Burnett/Jasjaap"/>
    <n v="3"/>
    <x v="3"/>
    <s v="Brock Bowers"/>
    <n v="5.6"/>
    <n v="2024"/>
  </r>
  <r>
    <x v="5"/>
    <s v="Burnett/Jasjaap"/>
    <n v="3"/>
    <x v="5"/>
    <s v="Jake Elliott"/>
    <n v="1"/>
    <n v="2024"/>
  </r>
  <r>
    <x v="5"/>
    <s v="Burnett/Jasjaap"/>
    <n v="3"/>
    <x v="4"/>
    <s v="Pittsburgh"/>
    <n v="12"/>
    <n v="2024"/>
  </r>
  <r>
    <x v="0"/>
    <s v="Brenton"/>
    <n v="4"/>
    <x v="0"/>
    <s v="Baker Mayfield"/>
    <n v="28.88"/>
    <n v="2024"/>
  </r>
  <r>
    <x v="0"/>
    <s v="Brenton"/>
    <n v="4"/>
    <x v="1"/>
    <s v="Jayden Reed"/>
    <n v="23.6"/>
    <n v="2024"/>
  </r>
  <r>
    <x v="0"/>
    <s v="Brenton"/>
    <n v="4"/>
    <x v="1"/>
    <s v="Courtland Sutton"/>
    <n v="13.5"/>
    <n v="2024"/>
  </r>
  <r>
    <x v="0"/>
    <s v="Brenton"/>
    <n v="4"/>
    <x v="1"/>
    <s v="Tyreek Hill"/>
    <n v="6.2"/>
    <n v="2024"/>
  </r>
  <r>
    <x v="0"/>
    <s v="Brenton"/>
    <n v="4"/>
    <x v="2"/>
    <s v="Jerome Ford"/>
    <n v="12"/>
    <n v="2024"/>
  </r>
  <r>
    <x v="0"/>
    <s v="Brenton"/>
    <n v="4"/>
    <x v="2"/>
    <s v="Cam Akers"/>
    <n v="5.3"/>
    <n v="2024"/>
  </r>
  <r>
    <x v="0"/>
    <s v="Brenton"/>
    <n v="4"/>
    <x v="3"/>
    <s v="Colby Parkinson"/>
    <n v="5.3"/>
    <n v="2024"/>
  </r>
  <r>
    <x v="0"/>
    <s v="Brenton"/>
    <n v="4"/>
    <x v="5"/>
    <s v="Tyler Bass"/>
    <n v="5"/>
    <n v="2024"/>
  </r>
  <r>
    <x v="0"/>
    <s v="Brenton"/>
    <n v="4"/>
    <x v="4"/>
    <s v="Kansas City"/>
    <n v="7"/>
    <n v="2024"/>
  </r>
  <r>
    <x v="0"/>
    <s v="Brenton"/>
    <n v="4"/>
    <x v="6"/>
    <s v="Zay Flowers"/>
    <n v="1.5"/>
    <n v="2024"/>
  </r>
  <r>
    <x v="7"/>
    <s v="Jay"/>
    <n v="4"/>
    <x v="0"/>
    <s v="Lamar Jackson"/>
    <n v="23.64"/>
    <n v="2024"/>
  </r>
  <r>
    <x v="7"/>
    <s v="Jay"/>
    <n v="4"/>
    <x v="1"/>
    <s v="Amari Cooper"/>
    <n v="5.5"/>
    <n v="2024"/>
  </r>
  <r>
    <x v="7"/>
    <s v="Jay"/>
    <n v="4"/>
    <x v="1"/>
    <s v="Stefon Diggs"/>
    <n v="16"/>
    <n v="2024"/>
  </r>
  <r>
    <x v="7"/>
    <s v="Jay"/>
    <n v="4"/>
    <x v="1"/>
    <s v="Jauan Jennings"/>
    <n v="10.3"/>
    <n v="2024"/>
  </r>
  <r>
    <x v="7"/>
    <s v="Jay"/>
    <n v="4"/>
    <x v="2"/>
    <s v="Brian Robinson"/>
    <n v="18.8"/>
    <n v="2024"/>
  </r>
  <r>
    <x v="7"/>
    <s v="Jay"/>
    <n v="4"/>
    <x v="2"/>
    <s v="Alvin Kamara"/>
    <n v="21.4"/>
    <n v="2024"/>
  </r>
  <r>
    <x v="7"/>
    <s v="Jay"/>
    <n v="4"/>
    <x v="3"/>
    <s v="Tyler Conklin"/>
    <n v="3.7"/>
    <n v="2024"/>
  </r>
  <r>
    <x v="7"/>
    <s v="Jay"/>
    <n v="4"/>
    <x v="5"/>
    <s v="Ka'imi Fairbairn"/>
    <n v="6"/>
    <n v="2024"/>
  </r>
  <r>
    <x v="7"/>
    <s v="Jay"/>
    <n v="4"/>
    <x v="4"/>
    <s v="Miami"/>
    <n v="3"/>
    <n v="2024"/>
  </r>
  <r>
    <x v="7"/>
    <s v="Jay"/>
    <n v="4"/>
    <x v="7"/>
    <s v="Jonathan Taylor"/>
    <n v="18.3"/>
    <n v="2024"/>
  </r>
  <r>
    <x v="8"/>
    <s v="Schulwolf"/>
    <n v="4"/>
    <x v="0"/>
    <s v="Jayden Daniels"/>
    <n v="24.02"/>
    <n v="2024"/>
  </r>
  <r>
    <x v="8"/>
    <s v="Schulwolf"/>
    <n v="4"/>
    <x v="1"/>
    <s v="Terry McLaurin"/>
    <n v="14.7"/>
    <n v="2024"/>
  </r>
  <r>
    <x v="8"/>
    <s v="Schulwolf"/>
    <n v="4"/>
    <x v="1"/>
    <s v="Jerry Jeudy"/>
    <n v="10.199999999999999"/>
    <n v="2024"/>
  </r>
  <r>
    <x v="8"/>
    <s v="Schulwolf"/>
    <n v="4"/>
    <x v="1"/>
    <s v="Chris Godwin"/>
    <n v="9.9"/>
    <n v="2024"/>
  </r>
  <r>
    <x v="8"/>
    <s v="Schulwolf"/>
    <n v="4"/>
    <x v="2"/>
    <s v="Jahmyr Gibbs"/>
    <n v="19.8"/>
    <n v="2024"/>
  </r>
  <r>
    <x v="8"/>
    <s v="Schulwolf"/>
    <n v="4"/>
    <x v="2"/>
    <s v="Zack Moss"/>
    <n v="15.8"/>
    <n v="2024"/>
  </r>
  <r>
    <x v="8"/>
    <s v="Schulwolf"/>
    <n v="4"/>
    <x v="3"/>
    <s v="Dalton Kincaid"/>
    <n v="7.2"/>
    <n v="2024"/>
  </r>
  <r>
    <x v="8"/>
    <s v="Schulwolf"/>
    <n v="4"/>
    <x v="5"/>
    <s v="Brandon Aubrey"/>
    <n v="11"/>
    <n v="2024"/>
  </r>
  <r>
    <x v="8"/>
    <s v="Schulwolf"/>
    <n v="4"/>
    <x v="4"/>
    <s v="Dallas"/>
    <n v="3"/>
    <n v="2024"/>
  </r>
  <r>
    <x v="8"/>
    <s v="Schulwolf"/>
    <n v="4"/>
    <x v="7"/>
    <s v="James Cook"/>
    <n v="5.3"/>
    <n v="2024"/>
  </r>
  <r>
    <x v="5"/>
    <s v="Burnett/Jasjaap"/>
    <n v="4"/>
    <x v="0"/>
    <s v="Brock Purdy"/>
    <n v="14.62"/>
    <n v="2024"/>
  </r>
  <r>
    <x v="5"/>
    <s v="Burnett/Jasjaap"/>
    <n v="4"/>
    <x v="1"/>
    <s v="CeeDee Lamb"/>
    <n v="20.100000000000001"/>
    <n v="2024"/>
  </r>
  <r>
    <x v="5"/>
    <s v="Burnett/Jasjaap"/>
    <n v="4"/>
    <x v="1"/>
    <s v="Jaylen Waddle"/>
    <n v="5.6"/>
    <n v="2024"/>
  </r>
  <r>
    <x v="5"/>
    <s v="Burnett/Jasjaap"/>
    <n v="4"/>
    <x v="1"/>
    <s v="Rashid Shaheed"/>
    <n v="11.7"/>
    <n v="2024"/>
  </r>
  <r>
    <x v="5"/>
    <s v="Burnett/Jasjaap"/>
    <n v="4"/>
    <x v="2"/>
    <s v="David Montgomery"/>
    <n v="14.5"/>
    <n v="2024"/>
  </r>
  <r>
    <x v="5"/>
    <s v="Burnett/Jasjaap"/>
    <n v="4"/>
    <x v="2"/>
    <s v="Josh Jacobs"/>
    <n v="9.8000000000000007"/>
    <n v="2024"/>
  </r>
  <r>
    <x v="5"/>
    <s v="Burnett/Jasjaap"/>
    <n v="4"/>
    <x v="3"/>
    <s v="Brock Bowers"/>
    <n v="4.0999999999999996"/>
    <n v="2024"/>
  </r>
  <r>
    <x v="5"/>
    <s v="Burnett/Jasjaap"/>
    <n v="4"/>
    <x v="5"/>
    <s v="Jake Elliott"/>
    <n v="2"/>
    <n v="2024"/>
  </r>
  <r>
    <x v="5"/>
    <s v="Burnett/Jasjaap"/>
    <n v="4"/>
    <x v="4"/>
    <s v="Pittsburgh"/>
    <n v="1"/>
    <n v="2024"/>
  </r>
  <r>
    <x v="5"/>
    <s v="Burnett/Jasjaap"/>
    <n v="4"/>
    <x v="7"/>
    <s v="Gus Edwards"/>
    <n v="1.9"/>
    <n v="2024"/>
  </r>
  <r>
    <x v="2"/>
    <s v="Mike"/>
    <n v="4"/>
    <x v="0"/>
    <s v="Patrick Mahomes"/>
    <n v="13"/>
    <n v="2024"/>
  </r>
  <r>
    <x v="2"/>
    <s v="Mike"/>
    <n v="4"/>
    <x v="1"/>
    <s v="Mike Evans"/>
    <n v="19.399999999999999"/>
    <n v="2024"/>
  </r>
  <r>
    <x v="2"/>
    <s v="Mike"/>
    <n v="4"/>
    <x v="1"/>
    <s v="Khalil Shakir"/>
    <n v="8.1999999999999993"/>
    <n v="2024"/>
  </r>
  <r>
    <x v="2"/>
    <s v="Mike"/>
    <n v="4"/>
    <x v="1"/>
    <s v="Quentin Johnston"/>
    <n v="1.8"/>
    <n v="2024"/>
  </r>
  <r>
    <x v="2"/>
    <s v="Mike"/>
    <n v="4"/>
    <x v="2"/>
    <s v="Derrick Henry"/>
    <n v="34.4"/>
    <n v="2024"/>
  </r>
  <r>
    <x v="2"/>
    <s v="Mike"/>
    <n v="4"/>
    <x v="2"/>
    <s v="Carson Steele"/>
    <n v="-0.9"/>
    <n v="2024"/>
  </r>
  <r>
    <x v="2"/>
    <s v="Mike"/>
    <n v="4"/>
    <x v="3"/>
    <s v="Jake Ferguson"/>
    <n v="8.4"/>
    <n v="2024"/>
  </r>
  <r>
    <x v="2"/>
    <s v="Mike"/>
    <n v="4"/>
    <x v="5"/>
    <s v="Younghoe Koo"/>
    <n v="20"/>
    <n v="2024"/>
  </r>
  <r>
    <x v="2"/>
    <s v="Mike"/>
    <n v="4"/>
    <x v="4"/>
    <s v="Buffalo"/>
    <n v="-5"/>
    <n v="2024"/>
  </r>
  <r>
    <x v="2"/>
    <s v="Mike"/>
    <n v="4"/>
    <x v="8"/>
    <s v="Sam LaPorta"/>
    <n v="7.3"/>
    <n v="2024"/>
  </r>
  <r>
    <x v="4"/>
    <s v="Eli"/>
    <n v="4"/>
    <x v="0"/>
    <s v="Jalen Hurts"/>
    <n v="16.32"/>
    <n v="2024"/>
  </r>
  <r>
    <x v="4"/>
    <s v="Eli"/>
    <n v="4"/>
    <x v="1"/>
    <s v="Justin Jefferson"/>
    <n v="17.5"/>
    <n v="2024"/>
  </r>
  <r>
    <x v="4"/>
    <s v="Eli"/>
    <n v="4"/>
    <x v="1"/>
    <s v="DJ Moore"/>
    <n v="9.6999999999999993"/>
    <n v="2024"/>
  </r>
  <r>
    <x v="4"/>
    <s v="Eli"/>
    <n v="4"/>
    <x v="1"/>
    <s v="Jalen Tolbert"/>
    <n v="3.9"/>
    <n v="2024"/>
  </r>
  <r>
    <x v="4"/>
    <s v="Eli"/>
    <n v="4"/>
    <x v="2"/>
    <s v="Jordan Mason"/>
    <n v="23"/>
    <n v="2024"/>
  </r>
  <r>
    <x v="4"/>
    <s v="Eli"/>
    <n v="4"/>
    <x v="2"/>
    <s v="Bijan Robinson"/>
    <n v="9.4"/>
    <n v="2024"/>
  </r>
  <r>
    <x v="4"/>
    <s v="Eli"/>
    <n v="4"/>
    <x v="3"/>
    <s v="Dalton Schultz"/>
    <n v="4.9000000000000004"/>
    <n v="2024"/>
  </r>
  <r>
    <x v="4"/>
    <s v="Eli"/>
    <n v="4"/>
    <x v="5"/>
    <s v="Jake Moody"/>
    <n v="13"/>
    <n v="2024"/>
  </r>
  <r>
    <x v="4"/>
    <s v="Eli"/>
    <n v="4"/>
    <x v="4"/>
    <s v="NYJ"/>
    <n v="9"/>
    <n v="2024"/>
  </r>
  <r>
    <x v="4"/>
    <s v="Eli"/>
    <n v="4"/>
    <x v="6"/>
    <s v="Rome Odunze"/>
    <n v="1.5"/>
    <n v="2024"/>
  </r>
  <r>
    <x v="1"/>
    <s v="Todd"/>
    <n v="4"/>
    <x v="0"/>
    <s v="Dak Prescott"/>
    <n v="16.739999999999998"/>
    <n v="2024"/>
  </r>
  <r>
    <x v="1"/>
    <s v="Todd"/>
    <n v="4"/>
    <x v="1"/>
    <s v="Brian Thomas Jr"/>
    <n v="18.899999999999999"/>
    <n v="2024"/>
  </r>
  <r>
    <x v="1"/>
    <s v="Todd"/>
    <n v="4"/>
    <x v="1"/>
    <s v="Diontae Johnson"/>
    <n v="17.8"/>
    <n v="2024"/>
  </r>
  <r>
    <x v="1"/>
    <s v="Todd"/>
    <n v="4"/>
    <x v="1"/>
    <s v="Deebo Samuel"/>
    <n v="8.6999999999999993"/>
    <n v="2024"/>
  </r>
  <r>
    <x v="1"/>
    <s v="Todd"/>
    <n v="4"/>
    <x v="2"/>
    <s v="James Conner"/>
    <n v="17.8"/>
    <n v="2024"/>
  </r>
  <r>
    <x v="1"/>
    <s v="Todd"/>
    <n v="4"/>
    <x v="2"/>
    <s v="De'Von Achane"/>
    <n v="4.4000000000000004"/>
    <n v="2024"/>
  </r>
  <r>
    <x v="1"/>
    <s v="Todd"/>
    <n v="4"/>
    <x v="3"/>
    <s v="Kyle Pitts"/>
    <n v="0"/>
    <n v="2024"/>
  </r>
  <r>
    <x v="1"/>
    <s v="Todd"/>
    <n v="4"/>
    <x v="5"/>
    <s v="Chris Boswell"/>
    <n v="8"/>
    <n v="2024"/>
  </r>
  <r>
    <x v="1"/>
    <s v="Todd"/>
    <n v="4"/>
    <x v="4"/>
    <s v="Tennessee"/>
    <n v="13"/>
    <n v="2024"/>
  </r>
  <r>
    <x v="1"/>
    <s v="Todd"/>
    <n v="4"/>
    <x v="6"/>
    <s v="Rashee Rice"/>
    <n v="0"/>
    <n v="2024"/>
  </r>
  <r>
    <x v="11"/>
    <s v="Cam"/>
    <n v="4"/>
    <x v="0"/>
    <s v="Kyler Murray"/>
    <n v="9.98"/>
    <n v="2024"/>
  </r>
  <r>
    <x v="11"/>
    <s v="Cam"/>
    <n v="4"/>
    <x v="1"/>
    <s v="Ja'Marr Chase"/>
    <n v="16"/>
    <n v="2024"/>
  </r>
  <r>
    <x v="11"/>
    <s v="Cam"/>
    <n v="4"/>
    <x v="1"/>
    <s v="Nico Collins"/>
    <n v="27.1"/>
    <n v="2024"/>
  </r>
  <r>
    <x v="11"/>
    <s v="Cam"/>
    <n v="4"/>
    <x v="1"/>
    <s v="Jakobi Meyers"/>
    <n v="7.4"/>
    <n v="2024"/>
  </r>
  <r>
    <x v="11"/>
    <s v="Cam"/>
    <n v="4"/>
    <x v="2"/>
    <s v="Aaron Jones"/>
    <n v="15.9"/>
    <n v="2024"/>
  </r>
  <r>
    <x v="11"/>
    <s v="Cam"/>
    <n v="4"/>
    <x v="2"/>
    <s v="Rhamondre Stevenson"/>
    <n v="6.2"/>
    <n v="2024"/>
  </r>
  <r>
    <x v="11"/>
    <s v="Cam"/>
    <n v="4"/>
    <x v="3"/>
    <s v="George Kittle"/>
    <n v="12.5"/>
    <n v="2024"/>
  </r>
  <r>
    <x v="11"/>
    <s v="Cam"/>
    <n v="4"/>
    <x v="5"/>
    <s v="Evan McPherson"/>
    <n v="13"/>
    <n v="2024"/>
  </r>
  <r>
    <x v="11"/>
    <s v="Cam"/>
    <n v="4"/>
    <x v="4"/>
    <s v="Chicago"/>
    <n v="7"/>
    <n v="2024"/>
  </r>
  <r>
    <x v="11"/>
    <s v="Cam"/>
    <n v="4"/>
    <x v="6"/>
    <s v="Brandon Aiyuk"/>
    <n v="5.8"/>
    <n v="2024"/>
  </r>
  <r>
    <x v="6"/>
    <s v="Will"/>
    <n v="4"/>
    <x v="0"/>
    <s v="Geno Smith"/>
    <n v="21.6"/>
    <n v="2024"/>
  </r>
  <r>
    <x v="6"/>
    <s v="Will"/>
    <n v="4"/>
    <x v="1"/>
    <s v="Amon-Ra St. Brown"/>
    <n v="17.78"/>
    <n v="2024"/>
  </r>
  <r>
    <x v="6"/>
    <s v="Will"/>
    <n v="4"/>
    <x v="1"/>
    <s v="Drake London"/>
    <n v="9.4"/>
    <n v="2024"/>
  </r>
  <r>
    <x v="6"/>
    <s v="Will"/>
    <n v="4"/>
    <x v="1"/>
    <s v="Ladd McConkey"/>
    <n v="15.2"/>
    <n v="2024"/>
  </r>
  <r>
    <x v="6"/>
    <s v="Will"/>
    <n v="4"/>
    <x v="2"/>
    <s v="Travis Etienne"/>
    <n v="6.5"/>
    <n v="2024"/>
  </r>
  <r>
    <x v="6"/>
    <s v="Will"/>
    <n v="4"/>
    <x v="2"/>
    <s v="Zach Charbonet"/>
    <n v="7.9"/>
    <n v="2024"/>
  </r>
  <r>
    <x v="6"/>
    <s v="Will"/>
    <n v="4"/>
    <x v="3"/>
    <s v="Travis Kelce"/>
    <n v="12.4"/>
    <n v="2024"/>
  </r>
  <r>
    <x v="6"/>
    <s v="Will"/>
    <n v="4"/>
    <x v="5"/>
    <s v="Jason Myers"/>
    <n v="3"/>
    <n v="2024"/>
  </r>
  <r>
    <x v="6"/>
    <s v="Will"/>
    <n v="4"/>
    <x v="4"/>
    <s v="Houston"/>
    <n v="1"/>
    <n v="2024"/>
  </r>
  <r>
    <x v="6"/>
    <s v="Will"/>
    <n v="4"/>
    <x v="6"/>
    <s v="Jaxon Smith-Njigba"/>
    <n v="9.1"/>
    <n v="2024"/>
  </r>
  <r>
    <x v="9"/>
    <s v="Tommy"/>
    <n v="4"/>
    <x v="0"/>
    <s v="Josh Allen"/>
    <n v="7.3"/>
    <n v="2024"/>
  </r>
  <r>
    <x v="9"/>
    <s v="Tommy"/>
    <n v="4"/>
    <x v="1"/>
    <s v="Malik Nabers"/>
    <n v="17.100000000000001"/>
    <n v="2024"/>
  </r>
  <r>
    <x v="9"/>
    <s v="Tommy"/>
    <n v="4"/>
    <x v="1"/>
    <s v="Xavier Worthy"/>
    <n v="14.8"/>
    <n v="2024"/>
  </r>
  <r>
    <x v="9"/>
    <s v="Tommy"/>
    <n v="4"/>
    <x v="1"/>
    <s v="DK Metcalf"/>
    <n v="11.9"/>
    <n v="2024"/>
  </r>
  <r>
    <x v="9"/>
    <s v="Tommy"/>
    <n v="4"/>
    <x v="2"/>
    <s v="Kyren Williams"/>
    <n v="18.399999999999999"/>
    <n v="2024"/>
  </r>
  <r>
    <x v="9"/>
    <s v="Tommy"/>
    <n v="4"/>
    <x v="2"/>
    <s v="Saquon Barkley"/>
    <n v="12.6"/>
    <n v="2024"/>
  </r>
  <r>
    <x v="9"/>
    <s v="Tommy"/>
    <n v="4"/>
    <x v="3"/>
    <s v="Mike Gesicki"/>
    <n v="-0.4"/>
    <n v="2024"/>
  </r>
  <r>
    <x v="9"/>
    <s v="Tommy"/>
    <n v="4"/>
    <x v="5"/>
    <s v="Harrison Butker"/>
    <n v="5"/>
    <n v="2024"/>
  </r>
  <r>
    <x v="9"/>
    <s v="Tommy"/>
    <n v="4"/>
    <x v="4"/>
    <s v="San Francisco"/>
    <n v="23"/>
    <n v="2024"/>
  </r>
  <r>
    <x v="9"/>
    <s v="Tommy"/>
    <n v="4"/>
    <x v="7"/>
    <s v="Rachaad White"/>
    <n v="9.4"/>
    <n v="2024"/>
  </r>
  <r>
    <x v="10"/>
    <s v="Brand"/>
    <n v="4"/>
    <x v="0"/>
    <s v="Anthony Richardson"/>
    <n v="5.24"/>
    <n v="2024"/>
  </r>
  <r>
    <x v="10"/>
    <s v="Brand"/>
    <n v="4"/>
    <x v="1"/>
    <s v="Michael Pittman"/>
    <n v="14.3"/>
    <n v="2024"/>
  </r>
  <r>
    <x v="10"/>
    <s v="Brand"/>
    <n v="4"/>
    <x v="1"/>
    <s v="Garrett Wilson"/>
    <n v="4.5999999999999996"/>
    <n v="2024"/>
  </r>
  <r>
    <x v="10"/>
    <s v="Brand"/>
    <n v="4"/>
    <x v="1"/>
    <s v="Jameson Williams"/>
    <n v="15"/>
    <n v="2024"/>
  </r>
  <r>
    <x v="10"/>
    <s v="Brand"/>
    <n v="4"/>
    <x v="2"/>
    <s v="Kenneth Walker"/>
    <n v="31.6"/>
    <n v="2024"/>
  </r>
  <r>
    <x v="10"/>
    <s v="Brand"/>
    <n v="4"/>
    <x v="2"/>
    <s v="Breece Hall"/>
    <n v="2.8"/>
    <n v="2024"/>
  </r>
  <r>
    <x v="10"/>
    <s v="Brand"/>
    <n v="4"/>
    <x v="3"/>
    <s v="Dallas Goedert"/>
    <n v="9.6999999999999993"/>
    <n v="2024"/>
  </r>
  <r>
    <x v="10"/>
    <s v="Brand"/>
    <n v="4"/>
    <x v="5"/>
    <s v="Cairo Santos"/>
    <n v="7"/>
    <n v="2024"/>
  </r>
  <r>
    <x v="10"/>
    <s v="Brand"/>
    <n v="4"/>
    <x v="4"/>
    <s v="Las Vegas"/>
    <n v="10"/>
    <n v="2024"/>
  </r>
  <r>
    <x v="10"/>
    <s v="Brand"/>
    <n v="4"/>
    <x v="6"/>
    <s v="Keenan Allen"/>
    <n v="3.4"/>
    <n v="2024"/>
  </r>
  <r>
    <x v="3"/>
    <s v="Kevin"/>
    <n v="4"/>
    <x v="0"/>
    <s v="CJ Stroud"/>
    <n v="23.5"/>
    <n v="2024"/>
  </r>
  <r>
    <x v="3"/>
    <s v="Kevin"/>
    <n v="4"/>
    <x v="1"/>
    <s v="Jordan Addison"/>
    <n v="21.4"/>
    <n v="2024"/>
  </r>
  <r>
    <x v="3"/>
    <s v="Kevin"/>
    <n v="4"/>
    <x v="1"/>
    <s v="Marvin Harrison Jr"/>
    <n v="13"/>
    <n v="2024"/>
  </r>
  <r>
    <x v="3"/>
    <s v="Kevin"/>
    <n v="4"/>
    <x v="1"/>
    <s v="George Pickens"/>
    <n v="12.8"/>
    <n v="2024"/>
  </r>
  <r>
    <x v="3"/>
    <s v="Kevin"/>
    <n v="4"/>
    <x v="2"/>
    <s v="Chuba Hubbard"/>
    <n v="20.100000000000001"/>
    <n v="2024"/>
  </r>
  <r>
    <x v="3"/>
    <s v="Kevin"/>
    <n v="4"/>
    <x v="2"/>
    <s v="Najee Harris"/>
    <n v="8.8000000000000007"/>
    <n v="2024"/>
  </r>
  <r>
    <x v="3"/>
    <s v="Kevin"/>
    <n v="4"/>
    <x v="3"/>
    <s v="Hunter Henry"/>
    <n v="2.2000000000000002"/>
    <n v="2024"/>
  </r>
  <r>
    <x v="3"/>
    <s v="Kevin"/>
    <n v="4"/>
    <x v="5"/>
    <s v="Justin Tucker"/>
    <n v="5"/>
    <n v="2024"/>
  </r>
  <r>
    <x v="3"/>
    <s v="Kevin"/>
    <n v="4"/>
    <x v="4"/>
    <s v="Cleveland"/>
    <n v="12"/>
    <n v="2024"/>
  </r>
  <r>
    <x v="3"/>
    <s v="Kevin"/>
    <n v="4"/>
    <x v="6"/>
    <s v="Chris Olave"/>
    <n v="12.7"/>
    <n v="2024"/>
  </r>
  <r>
    <x v="0"/>
    <s v="Brenton"/>
    <n v="5"/>
    <x v="0"/>
    <s v="Baker Mayfield"/>
    <n v="23.4"/>
    <n v="2024"/>
  </r>
  <r>
    <x v="0"/>
    <s v="Brenton"/>
    <n v="5"/>
    <x v="1"/>
    <s v="Jayden Reed"/>
    <n v="11.7"/>
    <n v="2024"/>
  </r>
  <r>
    <x v="0"/>
    <s v="Brenton"/>
    <n v="5"/>
    <x v="1"/>
    <s v="Tyreek Hill"/>
    <n v="9.9"/>
    <n v="2024"/>
  </r>
  <r>
    <x v="0"/>
    <s v="Brenton"/>
    <n v="5"/>
    <x v="1"/>
    <s v="Courtland Sutton"/>
    <n v="4.2"/>
    <n v="2024"/>
  </r>
  <r>
    <x v="0"/>
    <s v="Brenton"/>
    <n v="5"/>
    <x v="2"/>
    <s v="Javonte Williams"/>
    <n v="13.6"/>
    <n v="2024"/>
  </r>
  <r>
    <x v="0"/>
    <s v="Brenton"/>
    <n v="5"/>
    <x v="2"/>
    <s v="Jerome Ford"/>
    <n v="6.4"/>
    <n v="2024"/>
  </r>
  <r>
    <x v="0"/>
    <s v="Brenton"/>
    <n v="5"/>
    <x v="3"/>
    <s v="Trey McBride"/>
    <n v="8.3000000000000007"/>
    <n v="2024"/>
  </r>
  <r>
    <x v="0"/>
    <s v="Brenton"/>
    <n v="5"/>
    <x v="5"/>
    <s v="Tyler Bass"/>
    <n v="8"/>
    <n v="2024"/>
  </r>
  <r>
    <x v="0"/>
    <s v="Brenton"/>
    <n v="5"/>
    <x v="4"/>
    <s v="New England"/>
    <n v="9"/>
    <n v="2024"/>
  </r>
  <r>
    <x v="0"/>
    <s v="Brenton"/>
    <n v="5"/>
    <x v="6"/>
    <s v="Dontayvion Wicks"/>
    <n v="3"/>
    <n v="2024"/>
  </r>
  <r>
    <x v="4"/>
    <s v="Eli"/>
    <n v="5"/>
    <x v="0"/>
    <s v="Deshaun Watson"/>
    <n v="8.4"/>
    <n v="2024"/>
  </r>
  <r>
    <x v="4"/>
    <s v="Eli"/>
    <n v="5"/>
    <x v="1"/>
    <s v="DJ Moore"/>
    <n v="25"/>
    <n v="2024"/>
  </r>
  <r>
    <x v="4"/>
    <s v="Eli"/>
    <n v="5"/>
    <x v="1"/>
    <s v="Justin Jefferson"/>
    <n v="12.2"/>
    <n v="2024"/>
  </r>
  <r>
    <x v="4"/>
    <s v="Eli"/>
    <n v="5"/>
    <x v="1"/>
    <s v="Rome Odunze"/>
    <n v="6.5"/>
    <n v="2024"/>
  </r>
  <r>
    <x v="4"/>
    <s v="Eli"/>
    <n v="5"/>
    <x v="2"/>
    <s v="Bijan Robinson"/>
    <n v="9.1999999999999993"/>
    <n v="2024"/>
  </r>
  <r>
    <x v="4"/>
    <s v="Eli"/>
    <n v="5"/>
    <x v="2"/>
    <s v="Jordan Mason"/>
    <n v="8.3000000000000007"/>
    <n v="2024"/>
  </r>
  <r>
    <x v="4"/>
    <s v="Eli"/>
    <n v="5"/>
    <x v="3"/>
    <s v="David Njoku"/>
    <n v="1.9"/>
    <n v="2024"/>
  </r>
  <r>
    <x v="4"/>
    <s v="Eli"/>
    <n v="5"/>
    <x v="5"/>
    <s v="Jake Moody"/>
    <n v="8"/>
    <n v="2024"/>
  </r>
  <r>
    <x v="4"/>
    <s v="Eli"/>
    <n v="5"/>
    <x v="4"/>
    <s v="NYJ"/>
    <n v="10"/>
    <n v="2024"/>
  </r>
  <r>
    <x v="4"/>
    <s v="Eli"/>
    <n v="5"/>
    <x v="6"/>
    <s v="Xavier Legette"/>
    <n v="1.3"/>
    <n v="2024"/>
  </r>
  <r>
    <x v="2"/>
    <s v="Mike"/>
    <n v="5"/>
    <x v="0"/>
    <s v="Justin Fields"/>
    <n v="15.94"/>
    <n v="2024"/>
  </r>
  <r>
    <x v="2"/>
    <s v="Mike"/>
    <n v="5"/>
    <x v="1"/>
    <s v="Mike Evans"/>
    <n v="20.7"/>
    <n v="2024"/>
  </r>
  <r>
    <x v="2"/>
    <s v="Mike"/>
    <n v="5"/>
    <x v="1"/>
    <s v="Tutu Atwell"/>
    <n v="9.5"/>
    <n v="2024"/>
  </r>
  <r>
    <x v="2"/>
    <s v="Mike"/>
    <n v="5"/>
    <x v="1"/>
    <s v="Tank Dell"/>
    <n v="5.3"/>
    <n v="2024"/>
  </r>
  <r>
    <x v="2"/>
    <s v="Mike"/>
    <n v="5"/>
    <x v="2"/>
    <s v="Derrick Henry"/>
    <n v="16.100000000000001"/>
    <n v="2024"/>
  </r>
  <r>
    <x v="2"/>
    <s v="Mike"/>
    <n v="5"/>
    <x v="2"/>
    <s v="Kareem Hunt"/>
    <n v="18.2"/>
    <n v="2024"/>
  </r>
  <r>
    <x v="2"/>
    <s v="Mike"/>
    <n v="5"/>
    <x v="3"/>
    <s v="Jake Ferguson"/>
    <n v="10"/>
    <n v="2024"/>
  </r>
  <r>
    <x v="2"/>
    <s v="Mike"/>
    <n v="5"/>
    <x v="5"/>
    <s v="Younghoe Koo"/>
    <n v="16"/>
    <n v="2024"/>
  </r>
  <r>
    <x v="2"/>
    <s v="Mike"/>
    <n v="5"/>
    <x v="4"/>
    <s v="Buffalo"/>
    <n v="1"/>
    <n v="2024"/>
  </r>
  <r>
    <x v="2"/>
    <s v="Mike"/>
    <n v="5"/>
    <x v="7"/>
    <s v="Chase Brown"/>
    <n v="14.9"/>
    <n v="2024"/>
  </r>
  <r>
    <x v="11"/>
    <s v="Cam"/>
    <n v="5"/>
    <x v="0"/>
    <s v="Joe Burrow"/>
    <n v="33.78"/>
    <n v="2024"/>
  </r>
  <r>
    <x v="11"/>
    <s v="Cam"/>
    <n v="5"/>
    <x v="1"/>
    <s v="Ja'Marr Chase"/>
    <n v="36.299999999999997"/>
    <n v="2024"/>
  </r>
  <r>
    <x v="11"/>
    <s v="Cam"/>
    <n v="5"/>
    <x v="1"/>
    <s v="Brandon Aiyuk"/>
    <n v="18.7"/>
    <n v="2024"/>
  </r>
  <r>
    <x v="11"/>
    <s v="Cam"/>
    <n v="5"/>
    <x v="1"/>
    <s v="Nico Collins"/>
    <n v="14.8"/>
    <n v="2024"/>
  </r>
  <r>
    <x v="11"/>
    <s v="Cam"/>
    <n v="5"/>
    <x v="2"/>
    <s v="D'Andre Swift"/>
    <n v="19"/>
    <n v="2024"/>
  </r>
  <r>
    <x v="11"/>
    <s v="Cam"/>
    <n v="5"/>
    <x v="2"/>
    <s v="Aaron Jones"/>
    <n v="5.8"/>
    <n v="2024"/>
  </r>
  <r>
    <x v="11"/>
    <s v="Cam"/>
    <n v="5"/>
    <x v="3"/>
    <s v="George Kittle"/>
    <n v="16.399999999999999"/>
    <n v="2024"/>
  </r>
  <r>
    <x v="11"/>
    <s v="Cam"/>
    <n v="5"/>
    <x v="5"/>
    <s v="Evan McPherson"/>
    <n v="4"/>
    <n v="2024"/>
  </r>
  <r>
    <x v="11"/>
    <s v="Cam"/>
    <n v="5"/>
    <x v="4"/>
    <s v="Chicago"/>
    <n v="15"/>
    <n v="2024"/>
  </r>
  <r>
    <x v="11"/>
    <s v="Cam"/>
    <n v="5"/>
    <x v="6"/>
    <s v="Wan'Dale Robinson"/>
    <n v="13"/>
    <n v="2024"/>
  </r>
  <r>
    <x v="10"/>
    <s v="Brand"/>
    <n v="5"/>
    <x v="0"/>
    <s v="Joe Flacco"/>
    <n v="26.56"/>
    <n v="2024"/>
  </r>
  <r>
    <x v="10"/>
    <s v="Brand"/>
    <n v="5"/>
    <x v="1"/>
    <s v="Garrett Wilson"/>
    <n v="22.6"/>
    <n v="2024"/>
  </r>
  <r>
    <x v="10"/>
    <s v="Brand"/>
    <n v="5"/>
    <x v="1"/>
    <s v="Michael Pittman"/>
    <n v="12.2"/>
    <n v="2024"/>
  </r>
  <r>
    <x v="10"/>
    <s v="Brand"/>
    <n v="5"/>
    <x v="1"/>
    <s v="Keenan Allen"/>
    <n v="4.8"/>
    <n v="2024"/>
  </r>
  <r>
    <x v="10"/>
    <s v="Brand"/>
    <n v="5"/>
    <x v="2"/>
    <s v="Kenneth Walker"/>
    <n v="11.1"/>
    <n v="2024"/>
  </r>
  <r>
    <x v="10"/>
    <s v="Brand"/>
    <n v="5"/>
    <x v="2"/>
    <s v="Breece Hall"/>
    <n v="5.2"/>
    <n v="2024"/>
  </r>
  <r>
    <x v="10"/>
    <s v="Brand"/>
    <n v="5"/>
    <x v="3"/>
    <s v="Zach Ertz"/>
    <n v="2"/>
    <n v="2024"/>
  </r>
  <r>
    <x v="10"/>
    <s v="Brand"/>
    <n v="5"/>
    <x v="5"/>
    <s v="Cairo Santos"/>
    <n v="5"/>
    <n v="2024"/>
  </r>
  <r>
    <x v="10"/>
    <s v="Brand"/>
    <n v="5"/>
    <x v="4"/>
    <s v="Indianapolis"/>
    <n v="-4"/>
    <n v="2024"/>
  </r>
  <r>
    <x v="10"/>
    <s v="Brand"/>
    <n v="5"/>
    <x v="7"/>
    <s v="Bucky Irving"/>
    <n v="4.5999999999999996"/>
    <n v="2024"/>
  </r>
  <r>
    <x v="5"/>
    <s v="Burnett/Jasjaap"/>
    <n v="5"/>
    <x v="0"/>
    <s v="Brock Purdy"/>
    <n v="13.06"/>
    <n v="2024"/>
  </r>
  <r>
    <x v="5"/>
    <s v="Burnett/Jasjaap"/>
    <n v="5"/>
    <x v="1"/>
    <s v="Rashid Shaheed"/>
    <n v="16.600000000000001"/>
    <n v="2024"/>
  </r>
  <r>
    <x v="5"/>
    <s v="Burnett/Jasjaap"/>
    <n v="5"/>
    <x v="1"/>
    <s v="CeeDee Lamb"/>
    <n v="8.9"/>
    <n v="2024"/>
  </r>
  <r>
    <x v="5"/>
    <s v="Burnett/Jasjaap"/>
    <n v="5"/>
    <x v="1"/>
    <s v="Jordan Whittington"/>
    <n v="12.4"/>
    <n v="2024"/>
  </r>
  <r>
    <x v="5"/>
    <s v="Burnett/Jasjaap"/>
    <n v="5"/>
    <x v="2"/>
    <s v="Josh Jacobs"/>
    <n v="15.9"/>
    <n v="2024"/>
  </r>
  <r>
    <x v="5"/>
    <s v="Burnett/Jasjaap"/>
    <n v="5"/>
    <x v="2"/>
    <s v="Rico Dowdle"/>
    <n v="18.399999999999999"/>
    <n v="2024"/>
  </r>
  <r>
    <x v="5"/>
    <s v="Burnett/Jasjaap"/>
    <n v="5"/>
    <x v="3"/>
    <s v="Brock Bowers"/>
    <n v="19.7"/>
    <n v="2024"/>
  </r>
  <r>
    <x v="5"/>
    <s v="Burnett/Jasjaap"/>
    <n v="5"/>
    <x v="5"/>
    <s v="Austin Seibert"/>
    <n v="10"/>
    <n v="2024"/>
  </r>
  <r>
    <x v="5"/>
    <s v="Burnett/Jasjaap"/>
    <n v="5"/>
    <x v="4"/>
    <s v="Pittsburgh"/>
    <n v="7"/>
    <n v="2024"/>
  </r>
  <r>
    <x v="5"/>
    <s v="Burnett/Jasjaap"/>
    <n v="5"/>
    <x v="6"/>
    <s v="Jaylen Waddle"/>
    <n v="6.6"/>
    <n v="2024"/>
  </r>
  <r>
    <x v="6"/>
    <s v="Will"/>
    <n v="5"/>
    <x v="0"/>
    <s v="Geno Smith"/>
    <n v="22.56"/>
    <n v="2024"/>
  </r>
  <r>
    <x v="6"/>
    <s v="Will"/>
    <n v="5"/>
    <x v="1"/>
    <s v="Drake London"/>
    <n v="27.4"/>
    <n v="2024"/>
  </r>
  <r>
    <x v="6"/>
    <s v="Will"/>
    <n v="5"/>
    <x v="1"/>
    <s v="Jaxon Smith-Njigba"/>
    <n v="11.1"/>
    <n v="2024"/>
  </r>
  <r>
    <x v="6"/>
    <s v="Will"/>
    <n v="5"/>
    <x v="1"/>
    <s v="Keon Coleman"/>
    <n v="11.4"/>
    <n v="2024"/>
  </r>
  <r>
    <x v="6"/>
    <s v="Will"/>
    <n v="5"/>
    <x v="2"/>
    <s v="Travis Etienne"/>
    <n v="9"/>
    <n v="2024"/>
  </r>
  <r>
    <x v="6"/>
    <s v="Will"/>
    <n v="5"/>
    <x v="2"/>
    <s v="Austin Ekeler"/>
    <n v="10.7"/>
    <n v="2024"/>
  </r>
  <r>
    <x v="6"/>
    <s v="Will"/>
    <n v="5"/>
    <x v="3"/>
    <s v="Travis Kelce"/>
    <n v="11.5"/>
    <n v="2024"/>
  </r>
  <r>
    <x v="6"/>
    <s v="Will"/>
    <n v="5"/>
    <x v="5"/>
    <s v="Jason Myers"/>
    <n v="9"/>
    <n v="2024"/>
  </r>
  <r>
    <x v="6"/>
    <s v="Will"/>
    <n v="5"/>
    <x v="4"/>
    <s v="Houston"/>
    <n v="3"/>
    <n v="2024"/>
  </r>
  <r>
    <x v="6"/>
    <s v="Will"/>
    <n v="5"/>
    <x v="7"/>
    <s v="Zach Charbonet"/>
    <n v="4.5"/>
    <n v="2024"/>
  </r>
  <r>
    <x v="8"/>
    <s v="Schulwolf"/>
    <n v="5"/>
    <x v="0"/>
    <s v="Jayden Daniels"/>
    <n v="19.72"/>
    <n v="2024"/>
  </r>
  <r>
    <x v="8"/>
    <s v="Schulwolf"/>
    <n v="5"/>
    <x v="1"/>
    <s v="Terry McLaurin"/>
    <n v="11.4"/>
    <n v="2024"/>
  </r>
  <r>
    <x v="8"/>
    <s v="Schulwolf"/>
    <n v="5"/>
    <x v="1"/>
    <s v="Chris Godwin"/>
    <n v="9.1"/>
    <n v="2024"/>
  </r>
  <r>
    <x v="8"/>
    <s v="Schulwolf"/>
    <n v="5"/>
    <x v="1"/>
    <s v="Tyler Lockett"/>
    <n v="9.5"/>
    <n v="2024"/>
  </r>
  <r>
    <x v="8"/>
    <s v="Schulwolf"/>
    <n v="5"/>
    <x v="2"/>
    <s v="James Cook"/>
    <n v="16.899999999999999"/>
    <n v="2024"/>
  </r>
  <r>
    <x v="8"/>
    <s v="Schulwolf"/>
    <n v="5"/>
    <x v="2"/>
    <s v="Zack Moss"/>
    <n v="6.7"/>
    <n v="2024"/>
  </r>
  <r>
    <x v="8"/>
    <s v="Schulwolf"/>
    <n v="5"/>
    <x v="3"/>
    <s v="Dalton Kincaid"/>
    <n v="4.4000000000000004"/>
    <n v="2024"/>
  </r>
  <r>
    <x v="8"/>
    <s v="Schulwolf"/>
    <n v="5"/>
    <x v="5"/>
    <s v="Brandon Aubrey"/>
    <n v="9"/>
    <n v="2024"/>
  </r>
  <r>
    <x v="8"/>
    <s v="Schulwolf"/>
    <n v="5"/>
    <x v="4"/>
    <s v="Denver"/>
    <n v="15"/>
    <n v="2024"/>
  </r>
  <r>
    <x v="8"/>
    <s v="Schulwolf"/>
    <n v="5"/>
    <x v="6"/>
    <s v="Jerry Jeudy"/>
    <n v="2.1"/>
    <n v="2024"/>
  </r>
  <r>
    <x v="1"/>
    <s v="Todd"/>
    <n v="5"/>
    <x v="0"/>
    <s v="Sam Darnold"/>
    <n v="4.26"/>
    <n v="2024"/>
  </r>
  <r>
    <x v="1"/>
    <s v="Todd"/>
    <n v="5"/>
    <x v="1"/>
    <s v="Brian Thomas Jr"/>
    <n v="20.7"/>
    <n v="2024"/>
  </r>
  <r>
    <x v="1"/>
    <s v="Todd"/>
    <n v="5"/>
    <x v="1"/>
    <s v="Darnell Mooney"/>
    <n v="27"/>
    <n v="2024"/>
  </r>
  <r>
    <x v="1"/>
    <s v="Todd"/>
    <n v="5"/>
    <x v="1"/>
    <s v="Diontae Johnson"/>
    <n v="4.4000000000000004"/>
    <n v="2024"/>
  </r>
  <r>
    <x v="1"/>
    <s v="Todd"/>
    <n v="5"/>
    <x v="2"/>
    <s v="James Conner"/>
    <n v="13"/>
    <n v="2024"/>
  </r>
  <r>
    <x v="1"/>
    <s v="Todd"/>
    <n v="5"/>
    <x v="2"/>
    <s v="De'Von Achane"/>
    <n v="2.2000000000000002"/>
    <n v="2024"/>
  </r>
  <r>
    <x v="1"/>
    <s v="Todd"/>
    <n v="5"/>
    <x v="3"/>
    <s v="Tucker Kraft"/>
    <n v="22.8"/>
    <n v="2024"/>
  </r>
  <r>
    <x v="1"/>
    <s v="Todd"/>
    <n v="5"/>
    <x v="5"/>
    <s v="Chris Boswell"/>
    <n v="6"/>
    <n v="2024"/>
  </r>
  <r>
    <x v="1"/>
    <s v="Todd"/>
    <n v="5"/>
    <x v="4"/>
    <s v="Green Bay"/>
    <n v="12"/>
    <n v="2024"/>
  </r>
  <r>
    <x v="1"/>
    <s v="Todd"/>
    <n v="5"/>
    <x v="6"/>
    <s v="Deebo Samuel"/>
    <n v="2.5"/>
    <n v="2024"/>
  </r>
  <r>
    <x v="9"/>
    <s v="Tommy"/>
    <n v="5"/>
    <x v="0"/>
    <s v="Josh Allen"/>
    <n v="14.64"/>
    <n v="2024"/>
  </r>
  <r>
    <x v="9"/>
    <s v="Tommy"/>
    <n v="5"/>
    <x v="1"/>
    <s v="Xavier Worthy"/>
    <n v="10.3"/>
    <n v="2024"/>
  </r>
  <r>
    <x v="9"/>
    <s v="Tommy"/>
    <n v="5"/>
    <x v="1"/>
    <s v="Allen Lazard"/>
    <n v="11.4"/>
    <n v="2024"/>
  </r>
  <r>
    <x v="9"/>
    <s v="Tommy"/>
    <n v="5"/>
    <x v="1"/>
    <s v="Michael Wilson"/>
    <n v="10.3"/>
    <n v="2024"/>
  </r>
  <r>
    <x v="9"/>
    <s v="Tommy"/>
    <n v="5"/>
    <x v="2"/>
    <s v="Kyren Williams"/>
    <n v="15"/>
    <n v="2024"/>
  </r>
  <r>
    <x v="9"/>
    <s v="Tommy"/>
    <n v="5"/>
    <x v="2"/>
    <s v="Rachaad White"/>
    <n v="8.1"/>
    <n v="2024"/>
  </r>
  <r>
    <x v="9"/>
    <s v="Tommy"/>
    <n v="5"/>
    <x v="3"/>
    <s v="Cade Otton"/>
    <n v="5.9"/>
    <n v="2024"/>
  </r>
  <r>
    <x v="9"/>
    <s v="Tommy"/>
    <n v="5"/>
    <x v="5"/>
    <s v="Harrison Butker"/>
    <n v="14"/>
    <n v="2024"/>
  </r>
  <r>
    <x v="9"/>
    <s v="Tommy"/>
    <n v="5"/>
    <x v="4"/>
    <s v="Minnesota"/>
    <n v="17"/>
    <n v="2024"/>
  </r>
  <r>
    <x v="9"/>
    <s v="Tommy"/>
    <n v="5"/>
    <x v="6"/>
    <s v="DK Metcalf"/>
    <n v="5.5"/>
    <n v="2024"/>
  </r>
  <r>
    <x v="7"/>
    <s v="Jay"/>
    <n v="5"/>
    <x v="0"/>
    <s v="Lamar Jackson"/>
    <n v="33.42"/>
    <n v="2024"/>
  </r>
  <r>
    <x v="7"/>
    <s v="Jay"/>
    <n v="5"/>
    <x v="1"/>
    <s v="Stefon Diggs"/>
    <n v="11.2"/>
    <n v="2024"/>
  </r>
  <r>
    <x v="7"/>
    <s v="Jay"/>
    <n v="5"/>
    <x v="1"/>
    <s v="Amari Cooper"/>
    <n v="8"/>
    <n v="2024"/>
  </r>
  <r>
    <x v="7"/>
    <s v="Jay"/>
    <n v="5"/>
    <x v="1"/>
    <s v="Jauan Jennings"/>
    <n v="1.8"/>
    <n v="2024"/>
  </r>
  <r>
    <x v="7"/>
    <s v="Jay"/>
    <n v="5"/>
    <x v="2"/>
    <s v="Trey Sermon"/>
    <n v="15.3"/>
    <n v="2024"/>
  </r>
  <r>
    <x v="7"/>
    <s v="Jay"/>
    <n v="5"/>
    <x v="2"/>
    <s v="Brian Robinson"/>
    <n v="13.8"/>
    <n v="2024"/>
  </r>
  <r>
    <x v="7"/>
    <s v="Jay"/>
    <n v="5"/>
    <x v="3"/>
    <s v="Tyler Conklin"/>
    <n v="8.5"/>
    <n v="2024"/>
  </r>
  <r>
    <x v="7"/>
    <s v="Jay"/>
    <n v="5"/>
    <x v="5"/>
    <s v="Ka'imi Fairbairn"/>
    <n v="16"/>
    <n v="2024"/>
  </r>
  <r>
    <x v="7"/>
    <s v="Jay"/>
    <n v="5"/>
    <x v="4"/>
    <s v="Miami"/>
    <n v="7"/>
    <n v="2024"/>
  </r>
  <r>
    <x v="7"/>
    <s v="Jay"/>
    <n v="5"/>
    <x v="7"/>
    <s v="Alvin Kamara"/>
    <n v="9.6"/>
    <n v="2024"/>
  </r>
  <r>
    <x v="3"/>
    <s v="Kevin"/>
    <n v="5"/>
    <x v="0"/>
    <s v="CJ Stroud"/>
    <n v="15.94"/>
    <n v="2024"/>
  </r>
  <r>
    <x v="3"/>
    <s v="Kevin"/>
    <n v="5"/>
    <x v="1"/>
    <s v="Jordan Addison"/>
    <n v="5.0999999999999996"/>
    <n v="2024"/>
  </r>
  <r>
    <x v="3"/>
    <s v="Kevin"/>
    <n v="5"/>
    <x v="1"/>
    <s v="Marvin Harrison Jr"/>
    <n v="4.5999999999999996"/>
    <n v="2024"/>
  </r>
  <r>
    <x v="3"/>
    <s v="Kevin"/>
    <n v="5"/>
    <x v="1"/>
    <s v="George Pickens"/>
    <n v="4.0999999999999996"/>
    <n v="2024"/>
  </r>
  <r>
    <x v="3"/>
    <s v="Kevin"/>
    <n v="5"/>
    <x v="2"/>
    <s v="Chuba Hubbard"/>
    <n v="15.5"/>
    <n v="2024"/>
  </r>
  <r>
    <x v="3"/>
    <s v="Kevin"/>
    <n v="5"/>
    <x v="2"/>
    <s v="Najee Harris"/>
    <n v="8.6999999999999993"/>
    <n v="2024"/>
  </r>
  <r>
    <x v="3"/>
    <s v="Kevin"/>
    <n v="5"/>
    <x v="3"/>
    <s v="Hunter Henry"/>
    <n v="4.2"/>
    <n v="2024"/>
  </r>
  <r>
    <x v="3"/>
    <s v="Kevin"/>
    <n v="5"/>
    <x v="5"/>
    <s v="Justin Tucker"/>
    <n v="13"/>
    <n v="2024"/>
  </r>
  <r>
    <x v="3"/>
    <s v="Kevin"/>
    <n v="5"/>
    <x v="4"/>
    <s v="Seattle"/>
    <n v="7"/>
    <n v="2024"/>
  </r>
  <r>
    <x v="3"/>
    <s v="Kevin"/>
    <n v="5"/>
    <x v="6"/>
    <s v="Chris Olave"/>
    <n v="2"/>
    <n v="2024"/>
  </r>
  <r>
    <x v="0"/>
    <s v="Brenton"/>
    <n v="6"/>
    <x v="0"/>
    <s v="Daniel Jones"/>
    <n v="11.8"/>
    <n v="2024"/>
  </r>
  <r>
    <x v="0"/>
    <s v="Brenton"/>
    <n v="6"/>
    <x v="1"/>
    <s v="Jayden Reed"/>
    <n v="11.8"/>
    <n v="2024"/>
  </r>
  <r>
    <x v="0"/>
    <s v="Brenton"/>
    <n v="6"/>
    <x v="1"/>
    <s v="Courtland Sutton"/>
    <n v="13.3"/>
    <n v="2024"/>
  </r>
  <r>
    <x v="0"/>
    <s v="Brenton"/>
    <n v="6"/>
    <x v="1"/>
    <s v="Zay Flowers"/>
    <n v="17.899999999999999"/>
    <n v="2024"/>
  </r>
  <r>
    <x v="0"/>
    <s v="Brenton"/>
    <n v="6"/>
    <x v="2"/>
    <s v="Javonte Williams"/>
    <n v="3.1"/>
    <n v="2024"/>
  </r>
  <r>
    <x v="0"/>
    <s v="Brenton"/>
    <n v="6"/>
    <x v="2"/>
    <s v="Tank Bigsby"/>
    <n v="2.4"/>
    <n v="2024"/>
  </r>
  <r>
    <x v="0"/>
    <s v="Brenton"/>
    <n v="6"/>
    <x v="3"/>
    <s v="Trey McBride"/>
    <n v="13.6"/>
    <n v="2024"/>
  </r>
  <r>
    <x v="0"/>
    <s v="Brenton"/>
    <n v="6"/>
    <x v="5"/>
    <s v="Jake Elliott"/>
    <n v="10"/>
    <n v="2024"/>
  </r>
  <r>
    <x v="0"/>
    <s v="Brenton"/>
    <n v="6"/>
    <x v="4"/>
    <s v="Atlanta"/>
    <n v="4"/>
    <n v="2024"/>
  </r>
  <r>
    <x v="0"/>
    <s v="Brenton"/>
    <n v="6"/>
    <x v="6"/>
    <s v="Dontayvion Wicks"/>
    <n v="1.4"/>
    <n v="2024"/>
  </r>
  <r>
    <x v="11"/>
    <s v="Cam"/>
    <n v="6"/>
    <x v="0"/>
    <s v="Joe Burrow"/>
    <n v="19.82"/>
    <n v="2024"/>
  </r>
  <r>
    <x v="11"/>
    <s v="Cam"/>
    <n v="6"/>
    <x v="1"/>
    <s v="Josh Downs"/>
    <n v="16"/>
    <n v="2024"/>
  </r>
  <r>
    <x v="11"/>
    <s v="Cam"/>
    <n v="6"/>
    <x v="1"/>
    <s v="Ja'Marr Chase"/>
    <n v="9.6999999999999993"/>
    <n v="2024"/>
  </r>
  <r>
    <x v="11"/>
    <s v="Cam"/>
    <n v="6"/>
    <x v="1"/>
    <s v="Wan'Dale Robinson"/>
    <n v="7.5"/>
    <n v="2024"/>
  </r>
  <r>
    <x v="11"/>
    <s v="Cam"/>
    <n v="6"/>
    <x v="2"/>
    <s v="D'Andre Swift"/>
    <n v="19.899999999999999"/>
    <n v="2024"/>
  </r>
  <r>
    <x v="11"/>
    <s v="Cam"/>
    <n v="6"/>
    <x v="2"/>
    <s v="JK Dobbins"/>
    <n v="17.2"/>
    <n v="2024"/>
  </r>
  <r>
    <x v="11"/>
    <s v="Cam"/>
    <n v="6"/>
    <x v="3"/>
    <s v="George Kittle"/>
    <n v="20.3"/>
    <n v="2024"/>
  </r>
  <r>
    <x v="11"/>
    <s v="Cam"/>
    <n v="6"/>
    <x v="5"/>
    <s v="Evan McPherson"/>
    <n v="5"/>
    <n v="2024"/>
  </r>
  <r>
    <x v="11"/>
    <s v="Cam"/>
    <n v="6"/>
    <x v="4"/>
    <s v="Chicago"/>
    <n v="10"/>
    <n v="2024"/>
  </r>
  <r>
    <x v="11"/>
    <s v="Cam"/>
    <n v="6"/>
    <x v="6"/>
    <s v="Brandon Aiyuk"/>
    <n v="4.7"/>
    <n v="2024"/>
  </r>
  <r>
    <x v="2"/>
    <s v="Mike"/>
    <n v="6"/>
    <x v="0"/>
    <s v="Justin Fields"/>
    <n v="23.7"/>
    <n v="2024"/>
  </r>
  <r>
    <x v="2"/>
    <s v="Mike"/>
    <n v="6"/>
    <x v="1"/>
    <s v="Tank Dell"/>
    <n v="15.2"/>
    <n v="2024"/>
  </r>
  <r>
    <x v="2"/>
    <s v="Mike"/>
    <n v="6"/>
    <x v="1"/>
    <s v="Mike Evans"/>
    <n v="4.4000000000000004"/>
    <n v="2024"/>
  </r>
  <r>
    <x v="2"/>
    <s v="Mike"/>
    <n v="6"/>
    <x v="1"/>
    <s v="Ray-Ray McCloud"/>
    <n v="2.8"/>
    <n v="2024"/>
  </r>
  <r>
    <x v="2"/>
    <s v="Mike"/>
    <n v="6"/>
    <x v="2"/>
    <s v="Derrick Henry"/>
    <n v="25.2"/>
    <n v="2024"/>
  </r>
  <r>
    <x v="2"/>
    <s v="Mike"/>
    <n v="6"/>
    <x v="2"/>
    <s v="Chase Brown"/>
    <n v="13.4"/>
    <n v="2024"/>
  </r>
  <r>
    <x v="2"/>
    <s v="Mike"/>
    <n v="6"/>
    <x v="3"/>
    <s v="Sam LaPorta"/>
    <n v="11.7"/>
    <n v="2024"/>
  </r>
  <r>
    <x v="2"/>
    <s v="Mike"/>
    <n v="6"/>
    <x v="5"/>
    <s v="Younghoe Koo"/>
    <n v="12"/>
    <n v="2024"/>
  </r>
  <r>
    <x v="2"/>
    <s v="Mike"/>
    <n v="6"/>
    <x v="4"/>
    <s v="Buffalo"/>
    <n v="5"/>
    <n v="2024"/>
  </r>
  <r>
    <x v="2"/>
    <s v="Mike"/>
    <n v="6"/>
    <x v="8"/>
    <s v="Jake Ferguson"/>
    <n v="2.6"/>
    <n v="2024"/>
  </r>
  <r>
    <x v="9"/>
    <s v="Tommy"/>
    <n v="6"/>
    <x v="0"/>
    <s v="Josh Allen"/>
    <n v="24.4"/>
    <n v="2024"/>
  </r>
  <r>
    <x v="9"/>
    <s v="Tommy"/>
    <n v="6"/>
    <x v="1"/>
    <s v="Allen Lazard"/>
    <n v="20.399999999999999"/>
    <n v="2024"/>
  </r>
  <r>
    <x v="9"/>
    <s v="Tommy"/>
    <n v="6"/>
    <x v="1"/>
    <s v="Romeo Doubs"/>
    <n v="18.399999999999999"/>
    <n v="2024"/>
  </r>
  <r>
    <x v="9"/>
    <s v="Tommy"/>
    <n v="6"/>
    <x v="1"/>
    <s v="Michael Wilson"/>
    <n v="9.1"/>
    <n v="2024"/>
  </r>
  <r>
    <x v="9"/>
    <s v="Tommy"/>
    <n v="6"/>
    <x v="2"/>
    <s v="Alexander Mattison"/>
    <n v="15"/>
    <n v="2024"/>
  </r>
  <r>
    <x v="9"/>
    <s v="Tommy"/>
    <n v="6"/>
    <x v="2"/>
    <s v="Saquon Barkley"/>
    <n v="6.4"/>
    <n v="2024"/>
  </r>
  <r>
    <x v="9"/>
    <s v="Tommy"/>
    <n v="6"/>
    <x v="3"/>
    <s v="Cade Otton"/>
    <n v="8.5"/>
    <n v="2024"/>
  </r>
  <r>
    <x v="9"/>
    <s v="Tommy"/>
    <n v="6"/>
    <x v="5"/>
    <s v="Chase McLaughlin"/>
    <n v="9"/>
    <n v="2024"/>
  </r>
  <r>
    <x v="9"/>
    <s v="Tommy"/>
    <n v="6"/>
    <x v="4"/>
    <s v="San Francisco"/>
    <n v="6"/>
    <n v="2024"/>
  </r>
  <r>
    <x v="9"/>
    <s v="Tommy"/>
    <n v="6"/>
    <x v="6"/>
    <s v="DK Metcalf"/>
    <n v="6.3"/>
    <n v="2024"/>
  </r>
  <r>
    <x v="1"/>
    <s v="Todd"/>
    <n v="6"/>
    <x v="0"/>
    <s v="Dak Prescott"/>
    <n v="3.22"/>
    <n v="2024"/>
  </r>
  <r>
    <x v="1"/>
    <s v="Todd"/>
    <n v="6"/>
    <x v="1"/>
    <s v="Deebo Samuel"/>
    <n v="19.2"/>
    <n v="2024"/>
  </r>
  <r>
    <x v="1"/>
    <s v="Todd"/>
    <n v="6"/>
    <x v="1"/>
    <s v="AJ Brown"/>
    <n v="20.6"/>
    <n v="2024"/>
  </r>
  <r>
    <x v="1"/>
    <s v="Todd"/>
    <n v="6"/>
    <x v="1"/>
    <s v="Darnell Mooney"/>
    <n v="5.3"/>
    <n v="2024"/>
  </r>
  <r>
    <x v="1"/>
    <s v="Todd"/>
    <n v="6"/>
    <x v="2"/>
    <s v="James Conner"/>
    <n v="4.5999999999999996"/>
    <n v="2024"/>
  </r>
  <r>
    <x v="1"/>
    <s v="Todd"/>
    <n v="6"/>
    <x v="2"/>
    <s v="Braelon Allen"/>
    <n v="0.8"/>
    <n v="2024"/>
  </r>
  <r>
    <x v="1"/>
    <s v="Todd"/>
    <n v="6"/>
    <x v="3"/>
    <s v="Tucker Kraft"/>
    <n v="2.5"/>
    <n v="2024"/>
  </r>
  <r>
    <x v="1"/>
    <s v="Todd"/>
    <n v="6"/>
    <x v="5"/>
    <s v="Chris Boswell"/>
    <n v="17"/>
    <n v="2024"/>
  </r>
  <r>
    <x v="1"/>
    <s v="Todd"/>
    <n v="6"/>
    <x v="4"/>
    <s v="Green Bay"/>
    <n v="9"/>
    <n v="2024"/>
  </r>
  <r>
    <x v="1"/>
    <s v="Todd"/>
    <n v="6"/>
    <x v="6"/>
    <s v="Brian Thomas Jr"/>
    <n v="4.2"/>
    <n v="2024"/>
  </r>
  <r>
    <x v="8"/>
    <s v="Schulwolf"/>
    <n v="6"/>
    <x v="0"/>
    <s v="Jayden Daniels"/>
    <n v="20.96"/>
    <n v="2024"/>
  </r>
  <r>
    <x v="8"/>
    <s v="Schulwolf"/>
    <n v="6"/>
    <x v="1"/>
    <s v="Terry McLaurin"/>
    <n v="20.3"/>
    <n v="2024"/>
  </r>
  <r>
    <x v="8"/>
    <s v="Schulwolf"/>
    <n v="6"/>
    <x v="1"/>
    <s v="Chris Godwin"/>
    <n v="30"/>
    <n v="2024"/>
  </r>
  <r>
    <x v="8"/>
    <s v="Schulwolf"/>
    <n v="6"/>
    <x v="1"/>
    <s v="DeVonta Smith"/>
    <n v="13.9"/>
    <n v="2024"/>
  </r>
  <r>
    <x v="8"/>
    <s v="Schulwolf"/>
    <n v="6"/>
    <x v="2"/>
    <s v="Jahmyr Gibbs"/>
    <n v="10.6"/>
    <n v="2024"/>
  </r>
  <r>
    <x v="8"/>
    <s v="Schulwolf"/>
    <n v="6"/>
    <x v="2"/>
    <s v="Ty Johnson"/>
    <n v="3.4"/>
    <n v="2024"/>
  </r>
  <r>
    <x v="8"/>
    <s v="Schulwolf"/>
    <n v="6"/>
    <x v="3"/>
    <s v="Dalton Kincaid"/>
    <n v="8.1"/>
    <n v="2024"/>
  </r>
  <r>
    <x v="8"/>
    <s v="Schulwolf"/>
    <n v="6"/>
    <x v="5"/>
    <s v="Brandon Aubrey"/>
    <n v="12"/>
    <n v="2024"/>
  </r>
  <r>
    <x v="8"/>
    <s v="Schulwolf"/>
    <n v="6"/>
    <x v="4"/>
    <s v="Denver"/>
    <n v="2"/>
    <n v="2024"/>
  </r>
  <r>
    <x v="8"/>
    <s v="Schulwolf"/>
    <n v="6"/>
    <x v="7"/>
    <s v="Zack Moss"/>
    <n v="0"/>
    <n v="2024"/>
  </r>
  <r>
    <x v="4"/>
    <s v="Eli"/>
    <n v="6"/>
    <x v="0"/>
    <s v="Jalen Hurts"/>
    <n v="21.86"/>
    <n v="2024"/>
  </r>
  <r>
    <x v="4"/>
    <s v="Eli"/>
    <n v="6"/>
    <x v="1"/>
    <s v="Jalen Tolbert"/>
    <n v="6.3"/>
    <n v="2024"/>
  </r>
  <r>
    <x v="4"/>
    <s v="Eli"/>
    <n v="6"/>
    <x v="1"/>
    <s v="DJ Moore"/>
    <n v="4"/>
    <n v="2024"/>
  </r>
  <r>
    <x v="4"/>
    <s v="Eli"/>
    <n v="6"/>
    <x v="1"/>
    <s v="Rome Odunze"/>
    <n v="5"/>
    <n v="2024"/>
  </r>
  <r>
    <x v="4"/>
    <s v="Eli"/>
    <n v="6"/>
    <x v="2"/>
    <s v="Bijan Robinson"/>
    <n v="24"/>
    <n v="2024"/>
  </r>
  <r>
    <x v="4"/>
    <s v="Eli"/>
    <n v="6"/>
    <x v="2"/>
    <s v="Jordan Mason"/>
    <n v="8.6999999999999993"/>
    <n v="2024"/>
  </r>
  <r>
    <x v="4"/>
    <s v="Eli"/>
    <n v="6"/>
    <x v="3"/>
    <s v="Kyle Pitts"/>
    <n v="8.5"/>
    <n v="2024"/>
  </r>
  <r>
    <x v="4"/>
    <s v="Eli"/>
    <n v="6"/>
    <x v="5"/>
    <s v="Brayden Narveson"/>
    <n v="10"/>
    <n v="2024"/>
  </r>
  <r>
    <x v="4"/>
    <s v="Eli"/>
    <n v="6"/>
    <x v="4"/>
    <s v="NYJ"/>
    <n v="1"/>
    <n v="2024"/>
  </r>
  <r>
    <x v="4"/>
    <s v="Eli"/>
    <n v="6"/>
    <x v="7"/>
    <s v="Tyjae Spears"/>
    <n v="2.7"/>
    <n v="2024"/>
  </r>
  <r>
    <x v="7"/>
    <s v="Jay"/>
    <n v="6"/>
    <x v="0"/>
    <s v="Lamar Jackson"/>
    <n v="18.920000000000002"/>
    <n v="2024"/>
  </r>
  <r>
    <x v="7"/>
    <s v="Jay"/>
    <n v="6"/>
    <x v="1"/>
    <s v="Stefon Diggs"/>
    <n v="16.7"/>
    <n v="2024"/>
  </r>
  <r>
    <x v="7"/>
    <s v="Jay"/>
    <n v="6"/>
    <x v="1"/>
    <s v="Amari Cooper"/>
    <n v="6.2"/>
    <n v="2024"/>
  </r>
  <r>
    <x v="7"/>
    <s v="Jay"/>
    <n v="6"/>
    <x v="1"/>
    <s v="Jauan Jennings"/>
    <n v="4.2"/>
    <n v="2024"/>
  </r>
  <r>
    <x v="7"/>
    <s v="Jay"/>
    <n v="6"/>
    <x v="2"/>
    <s v="Tony Pollard"/>
    <n v="16.3"/>
    <n v="2024"/>
  </r>
  <r>
    <x v="7"/>
    <s v="Jay"/>
    <n v="6"/>
    <x v="2"/>
    <s v="Alvin Kamara"/>
    <n v="14.9"/>
    <n v="2024"/>
  </r>
  <r>
    <x v="7"/>
    <s v="Jay"/>
    <n v="6"/>
    <x v="3"/>
    <s v="Evan Engram"/>
    <n v="13.2"/>
    <n v="2024"/>
  </r>
  <r>
    <x v="7"/>
    <s v="Jay"/>
    <n v="6"/>
    <x v="5"/>
    <s v="Ka'imi Fairbairn"/>
    <n v="11"/>
    <n v="2024"/>
  </r>
  <r>
    <x v="7"/>
    <s v="Jay"/>
    <n v="6"/>
    <x v="4"/>
    <s v="LA Chargers"/>
    <n v="6"/>
    <n v="2024"/>
  </r>
  <r>
    <x v="7"/>
    <s v="Jay"/>
    <n v="6"/>
    <x v="7"/>
    <s v="Trey Sermon"/>
    <n v="2.9"/>
    <n v="2024"/>
  </r>
  <r>
    <x v="6"/>
    <s v="Will"/>
    <n v="6"/>
    <x v="0"/>
    <s v="Geno Smith"/>
    <n v="12.48"/>
    <n v="2024"/>
  </r>
  <r>
    <x v="6"/>
    <s v="Will"/>
    <n v="6"/>
    <x v="1"/>
    <s v="Drake London"/>
    <n v="16.399999999999999"/>
    <n v="2024"/>
  </r>
  <r>
    <x v="6"/>
    <s v="Will"/>
    <n v="6"/>
    <x v="1"/>
    <s v="Amon-Ra St. Brown"/>
    <n v="11.7"/>
    <n v="2024"/>
  </r>
  <r>
    <x v="6"/>
    <s v="Will"/>
    <n v="6"/>
    <x v="1"/>
    <s v="Jaxon Smith-Njigba"/>
    <n v="7.8"/>
    <n v="2024"/>
  </r>
  <r>
    <x v="6"/>
    <s v="Will"/>
    <n v="6"/>
    <x v="2"/>
    <s v="Austin Ekeler"/>
    <n v="8.8000000000000007"/>
    <n v="2024"/>
  </r>
  <r>
    <x v="6"/>
    <s v="Will"/>
    <n v="6"/>
    <x v="2"/>
    <s v="Travis Etienne"/>
    <n v="-0.1"/>
    <n v="2024"/>
  </r>
  <r>
    <x v="6"/>
    <s v="Will"/>
    <n v="6"/>
    <x v="3"/>
    <s v="Isaiah Likely"/>
    <n v="3.7"/>
    <n v="2024"/>
  </r>
  <r>
    <x v="6"/>
    <s v="Will"/>
    <n v="6"/>
    <x v="5"/>
    <s v="Jason Myers"/>
    <n v="6"/>
    <n v="2024"/>
  </r>
  <r>
    <x v="6"/>
    <s v="Will"/>
    <n v="6"/>
    <x v="4"/>
    <s v="Houston"/>
    <n v="13"/>
    <n v="2024"/>
  </r>
  <r>
    <x v="6"/>
    <s v="Will"/>
    <n v="6"/>
    <x v="6"/>
    <s v="Ladd McConkey"/>
    <n v="6.3"/>
    <n v="2024"/>
  </r>
  <r>
    <x v="10"/>
    <s v="Brand"/>
    <n v="6"/>
    <x v="0"/>
    <s v="Kirk Cousins"/>
    <n v="12.5"/>
    <n v="2024"/>
  </r>
  <r>
    <x v="10"/>
    <s v="Brand"/>
    <n v="6"/>
    <x v="1"/>
    <s v="Garrett Wilson"/>
    <n v="20.7"/>
    <n v="2024"/>
  </r>
  <r>
    <x v="10"/>
    <s v="Brand"/>
    <n v="6"/>
    <x v="1"/>
    <s v="Jameson Williams"/>
    <n v="16.2"/>
    <n v="2024"/>
  </r>
  <r>
    <x v="10"/>
    <s v="Brand"/>
    <n v="6"/>
    <x v="1"/>
    <s v="Michael Pittman"/>
    <n v="11"/>
    <n v="2024"/>
  </r>
  <r>
    <x v="10"/>
    <s v="Brand"/>
    <n v="6"/>
    <x v="2"/>
    <s v="Breece Hall"/>
    <n v="19.399999999999999"/>
    <n v="2024"/>
  </r>
  <r>
    <x v="10"/>
    <s v="Brand"/>
    <n v="6"/>
    <x v="2"/>
    <s v="Bucky Irving"/>
    <n v="17.5"/>
    <n v="2024"/>
  </r>
  <r>
    <x v="10"/>
    <s v="Brand"/>
    <n v="6"/>
    <x v="3"/>
    <s v="Dallas Goedert"/>
    <n v="0"/>
    <n v="2024"/>
  </r>
  <r>
    <x v="10"/>
    <s v="Brand"/>
    <n v="6"/>
    <x v="5"/>
    <s v="Cairo Santos"/>
    <n v="4"/>
    <n v="2024"/>
  </r>
  <r>
    <x v="10"/>
    <s v="Brand"/>
    <n v="6"/>
    <x v="4"/>
    <s v="Indianapolis"/>
    <n v="4"/>
    <n v="2024"/>
  </r>
  <r>
    <x v="10"/>
    <s v="Brand"/>
    <n v="6"/>
    <x v="7"/>
    <s v="Kenneth Walker"/>
    <n v="16.899999999999999"/>
    <n v="2024"/>
  </r>
  <r>
    <x v="3"/>
    <s v="Kevin"/>
    <n v="6"/>
    <x v="0"/>
    <s v="CJ Stroud"/>
    <n v="18.38"/>
    <n v="2024"/>
  </r>
  <r>
    <x v="3"/>
    <s v="Kevin"/>
    <n v="6"/>
    <x v="1"/>
    <s v="DeAndre Hopkins"/>
    <n v="7.4"/>
    <n v="2024"/>
  </r>
  <r>
    <x v="3"/>
    <s v="Kevin"/>
    <n v="6"/>
    <x v="1"/>
    <s v="George Pickens"/>
    <n v="6.8"/>
    <n v="2024"/>
  </r>
  <r>
    <x v="3"/>
    <s v="Kevin"/>
    <n v="6"/>
    <x v="1"/>
    <s v="Marvin Harrison Jr"/>
    <n v="0"/>
    <n v="2024"/>
  </r>
  <r>
    <x v="3"/>
    <s v="Kevin"/>
    <n v="6"/>
    <x v="2"/>
    <s v="Najee Harris"/>
    <n v="19.2"/>
    <n v="2024"/>
  </r>
  <r>
    <x v="3"/>
    <s v="Kevin"/>
    <n v="6"/>
    <x v="2"/>
    <s v="Chuba Hubbard"/>
    <n v="12.8"/>
    <n v="2024"/>
  </r>
  <r>
    <x v="3"/>
    <s v="Kevin"/>
    <n v="6"/>
    <x v="3"/>
    <s v="Hunter Henry"/>
    <n v="11.6"/>
    <n v="2024"/>
  </r>
  <r>
    <x v="3"/>
    <s v="Kevin"/>
    <n v="6"/>
    <x v="5"/>
    <s v="Justin Tucker"/>
    <n v="13"/>
    <n v="2024"/>
  </r>
  <r>
    <x v="3"/>
    <s v="Kevin"/>
    <n v="6"/>
    <x v="4"/>
    <s v="Tampa Bay"/>
    <n v="16"/>
    <n v="2024"/>
  </r>
  <r>
    <x v="3"/>
    <s v="Kevin"/>
    <n v="6"/>
    <x v="6"/>
    <s v="Chris Olave"/>
    <n v="-1"/>
    <n v="2024"/>
  </r>
  <r>
    <x v="5"/>
    <s v="Burnett/Jasjaap"/>
    <n v="6"/>
    <x v="0"/>
    <s v="Brock Purdy"/>
    <n v="24.1"/>
    <n v="2024"/>
  </r>
  <r>
    <x v="5"/>
    <s v="Burnett/Jasjaap"/>
    <n v="6"/>
    <x v="1"/>
    <s v="CeeDee Lamb"/>
    <n v="12.6"/>
    <n v="2024"/>
  </r>
  <r>
    <x v="5"/>
    <s v="Burnett/Jasjaap"/>
    <n v="6"/>
    <x v="1"/>
    <s v="Rashid Shaheed"/>
    <n v="7.8"/>
    <n v="2024"/>
  </r>
  <r>
    <x v="5"/>
    <s v="Burnett/Jasjaap"/>
    <n v="6"/>
    <x v="1"/>
    <s v="Alec Pierce"/>
    <n v="0"/>
    <n v="2024"/>
  </r>
  <r>
    <x v="5"/>
    <s v="Burnett/Jasjaap"/>
    <n v="6"/>
    <x v="2"/>
    <s v="Josh Jacobs"/>
    <n v="10.5"/>
    <n v="2024"/>
  </r>
  <r>
    <x v="5"/>
    <s v="Burnett/Jasjaap"/>
    <n v="6"/>
    <x v="2"/>
    <s v="David Montgomery"/>
    <n v="20.5"/>
    <n v="2024"/>
  </r>
  <r>
    <x v="5"/>
    <s v="Burnett/Jasjaap"/>
    <n v="6"/>
    <x v="3"/>
    <s v="Brock Bowers"/>
    <n v="11.6"/>
    <n v="2024"/>
  </r>
  <r>
    <x v="5"/>
    <s v="Burnett/Jasjaap"/>
    <n v="6"/>
    <x v="5"/>
    <s v="Austin Seibert"/>
    <n v="15"/>
    <n v="2024"/>
  </r>
  <r>
    <x v="5"/>
    <s v="Burnett/Jasjaap"/>
    <n v="6"/>
    <x v="4"/>
    <s v="Pittsburgh"/>
    <n v="14"/>
    <n v="2024"/>
  </r>
  <r>
    <x v="5"/>
    <s v="Burnett/Jasjaap"/>
    <n v="6"/>
    <x v="7"/>
    <s v="Rico Dowdle"/>
    <n v="8"/>
    <n v="2024"/>
  </r>
  <r>
    <x v="0"/>
    <s v="Brenton"/>
    <n v="7"/>
    <x v="0"/>
    <s v="Baker Mayfield"/>
    <n v="27"/>
    <n v="2024"/>
  </r>
  <r>
    <x v="0"/>
    <s v="Brenton"/>
    <n v="7"/>
    <x v="1"/>
    <s v="Zay Flowers"/>
    <n v="3.5"/>
    <n v="2024"/>
  </r>
  <r>
    <x v="0"/>
    <s v="Brenton"/>
    <n v="7"/>
    <x v="1"/>
    <s v="DeMario Douglas"/>
    <n v="2.4"/>
    <n v="2024"/>
  </r>
  <r>
    <x v="0"/>
    <s v="Brenton"/>
    <n v="7"/>
    <x v="1"/>
    <s v="Jayden Reed"/>
    <n v="2"/>
    <n v="2024"/>
  </r>
  <r>
    <x v="0"/>
    <s v="Brenton"/>
    <n v="7"/>
    <x v="2"/>
    <s v="Tank Bigsby"/>
    <n v="23.8"/>
    <n v="2024"/>
  </r>
  <r>
    <x v="0"/>
    <s v="Brenton"/>
    <n v="7"/>
    <x v="2"/>
    <s v="Tyrone Tracy"/>
    <n v="4.7"/>
    <n v="2024"/>
  </r>
  <r>
    <x v="0"/>
    <s v="Brenton"/>
    <n v="7"/>
    <x v="3"/>
    <s v="Trey McBride"/>
    <n v="7.6"/>
    <n v="2024"/>
  </r>
  <r>
    <x v="0"/>
    <s v="Brenton"/>
    <n v="7"/>
    <x v="5"/>
    <s v="Jake Elliott"/>
    <n v="4"/>
    <n v="2024"/>
  </r>
  <r>
    <x v="0"/>
    <s v="Brenton"/>
    <n v="7"/>
    <x v="4"/>
    <s v="Cincinnati"/>
    <n v="14"/>
    <n v="2024"/>
  </r>
  <r>
    <x v="0"/>
    <s v="Brenton"/>
    <n v="7"/>
    <x v="6"/>
    <s v="Tyreek Hill"/>
    <n v="1.8"/>
    <n v="2024"/>
  </r>
  <r>
    <x v="9"/>
    <s v="Tommy"/>
    <n v="7"/>
    <x v="0"/>
    <s v="Josh Allen"/>
    <n v="21.02"/>
    <n v="2024"/>
  </r>
  <r>
    <x v="9"/>
    <s v="Tommy"/>
    <n v="7"/>
    <x v="1"/>
    <s v="DK Metcalf"/>
    <n v="17.899999999999999"/>
    <n v="2024"/>
  </r>
  <r>
    <x v="9"/>
    <s v="Tommy"/>
    <n v="7"/>
    <x v="1"/>
    <s v="Allen Lazard"/>
    <n v="7.8"/>
    <n v="2024"/>
  </r>
  <r>
    <x v="9"/>
    <s v="Tommy"/>
    <n v="7"/>
    <x v="1"/>
    <s v="Malik Nabers"/>
    <n v="6.1"/>
    <n v="2024"/>
  </r>
  <r>
    <x v="9"/>
    <s v="Tommy"/>
    <n v="7"/>
    <x v="2"/>
    <s v="Saquon Barkley"/>
    <n v="25.7"/>
    <n v="2024"/>
  </r>
  <r>
    <x v="9"/>
    <s v="Tommy"/>
    <n v="7"/>
    <x v="2"/>
    <s v="Kyren Williams"/>
    <n v="19.600000000000001"/>
    <n v="2024"/>
  </r>
  <r>
    <x v="9"/>
    <s v="Tommy"/>
    <n v="7"/>
    <x v="3"/>
    <s v="Mark Andrews"/>
    <n v="18.100000000000001"/>
    <n v="2024"/>
  </r>
  <r>
    <x v="9"/>
    <s v="Tommy"/>
    <n v="7"/>
    <x v="5"/>
    <s v="Harrison Butker"/>
    <n v="4"/>
    <n v="2024"/>
  </r>
  <r>
    <x v="9"/>
    <s v="Tommy"/>
    <n v="7"/>
    <x v="4"/>
    <s v="Minnesota"/>
    <n v="10"/>
    <n v="2024"/>
  </r>
  <r>
    <x v="9"/>
    <s v="Tommy"/>
    <n v="7"/>
    <x v="6"/>
    <s v="Xavier Worthy"/>
    <n v="3.9"/>
    <n v="2024"/>
  </r>
  <r>
    <x v="2"/>
    <s v="Mike"/>
    <n v="7"/>
    <x v="0"/>
    <s v="Patrick Mahomes"/>
    <n v="12.06"/>
    <n v="2024"/>
  </r>
  <r>
    <x v="2"/>
    <s v="Mike"/>
    <n v="7"/>
    <x v="1"/>
    <s v="Mike Evans"/>
    <n v="9"/>
    <n v="2024"/>
  </r>
  <r>
    <x v="2"/>
    <s v="Mike"/>
    <n v="7"/>
    <x v="1"/>
    <s v="Khalil Shakir"/>
    <n v="10"/>
    <n v="2024"/>
  </r>
  <r>
    <x v="2"/>
    <s v="Mike"/>
    <n v="7"/>
    <x v="1"/>
    <s v="Davante Adams"/>
    <n v="4.5"/>
    <n v="2024"/>
  </r>
  <r>
    <x v="2"/>
    <s v="Mike"/>
    <n v="7"/>
    <x v="2"/>
    <s v="Derrick Henry"/>
    <n v="24.7"/>
    <n v="2024"/>
  </r>
  <r>
    <x v="2"/>
    <s v="Mike"/>
    <n v="7"/>
    <x v="2"/>
    <s v="Kareem Hunt"/>
    <n v="21.3"/>
    <n v="2024"/>
  </r>
  <r>
    <x v="2"/>
    <s v="Mike"/>
    <n v="7"/>
    <x v="3"/>
    <s v="Sam LaPorta"/>
    <n v="3"/>
    <n v="2024"/>
  </r>
  <r>
    <x v="2"/>
    <s v="Mike"/>
    <n v="7"/>
    <x v="5"/>
    <s v="Younghoe Koo"/>
    <n v="2"/>
    <n v="2024"/>
  </r>
  <r>
    <x v="2"/>
    <s v="Mike"/>
    <n v="7"/>
    <x v="4"/>
    <s v="Buffalo"/>
    <n v="12"/>
    <n v="2024"/>
  </r>
  <r>
    <x v="2"/>
    <s v="Mike"/>
    <n v="7"/>
    <x v="6"/>
    <s v="Tank Dell"/>
    <n v="0"/>
    <n v="2024"/>
  </r>
  <r>
    <x v="8"/>
    <s v="Schulwolf"/>
    <n v="7"/>
    <x v="0"/>
    <s v="Jayden Daniels"/>
    <n v="5.24"/>
    <n v="2024"/>
  </r>
  <r>
    <x v="8"/>
    <s v="Schulwolf"/>
    <n v="7"/>
    <x v="1"/>
    <s v="Terry McLaurin"/>
    <n v="12.8"/>
    <n v="2024"/>
  </r>
  <r>
    <x v="8"/>
    <s v="Schulwolf"/>
    <n v="7"/>
    <x v="1"/>
    <s v="Chris Godwin"/>
    <n v="10"/>
    <n v="2024"/>
  </r>
  <r>
    <x v="8"/>
    <s v="Schulwolf"/>
    <n v="7"/>
    <x v="1"/>
    <s v="Tyler Lockett"/>
    <n v="6.5"/>
    <n v="2024"/>
  </r>
  <r>
    <x v="8"/>
    <s v="Schulwolf"/>
    <n v="7"/>
    <x v="2"/>
    <s v="Jahmyr Gibbs"/>
    <n v="30"/>
    <n v="2024"/>
  </r>
  <r>
    <x v="8"/>
    <s v="Schulwolf"/>
    <n v="7"/>
    <x v="2"/>
    <s v="James Cook"/>
    <n v="9.1999999999999993"/>
    <n v="2024"/>
  </r>
  <r>
    <x v="8"/>
    <s v="Schulwolf"/>
    <n v="7"/>
    <x v="3"/>
    <s v="Dalton Kincaid"/>
    <n v="6.7"/>
    <n v="2024"/>
  </r>
  <r>
    <x v="8"/>
    <s v="Schulwolf"/>
    <n v="7"/>
    <x v="5"/>
    <s v="Brandon McManus"/>
    <n v="7"/>
    <n v="2024"/>
  </r>
  <r>
    <x v="8"/>
    <s v="Schulwolf"/>
    <n v="7"/>
    <x v="4"/>
    <s v="Denver"/>
    <n v="21"/>
    <n v="2024"/>
  </r>
  <r>
    <x v="8"/>
    <s v="Schulwolf"/>
    <n v="7"/>
    <x v="6"/>
    <s v="DeVonta Smith"/>
    <n v="0.3"/>
    <n v="2024"/>
  </r>
  <r>
    <x v="1"/>
    <s v="Todd"/>
    <n v="7"/>
    <x v="0"/>
    <s v="Sam Darnold"/>
    <n v="16.260000000000002"/>
    <n v="2024"/>
  </r>
  <r>
    <x v="1"/>
    <s v="Todd"/>
    <n v="7"/>
    <x v="1"/>
    <s v="AJ Brown"/>
    <n v="17.399999999999999"/>
    <n v="2024"/>
  </r>
  <r>
    <x v="1"/>
    <s v="Todd"/>
    <n v="7"/>
    <x v="1"/>
    <s v="Brian Thomas Jr"/>
    <n v="19.600000000000001"/>
    <n v="2024"/>
  </r>
  <r>
    <x v="1"/>
    <s v="Todd"/>
    <n v="7"/>
    <x v="1"/>
    <s v="Diontae Johnson"/>
    <n v="2.2000000000000002"/>
    <n v="2024"/>
  </r>
  <r>
    <x v="1"/>
    <s v="Todd"/>
    <n v="7"/>
    <x v="2"/>
    <s v="James Conner"/>
    <n v="16.2"/>
    <n v="2024"/>
  </r>
  <r>
    <x v="1"/>
    <s v="Todd"/>
    <n v="7"/>
    <x v="2"/>
    <s v="De'Von Achane"/>
    <n v="9.5"/>
    <n v="2024"/>
  </r>
  <r>
    <x v="1"/>
    <s v="Todd"/>
    <n v="7"/>
    <x v="3"/>
    <s v="Tucker Kraft"/>
    <n v="10.8"/>
    <n v="2024"/>
  </r>
  <r>
    <x v="1"/>
    <s v="Todd"/>
    <n v="7"/>
    <x v="5"/>
    <s v="Chris Boswell"/>
    <n v="14"/>
    <n v="2024"/>
  </r>
  <r>
    <x v="1"/>
    <s v="Todd"/>
    <n v="7"/>
    <x v="4"/>
    <s v="LA Chargers"/>
    <n v="2"/>
    <n v="2024"/>
  </r>
  <r>
    <x v="1"/>
    <s v="Todd"/>
    <n v="7"/>
    <x v="6"/>
    <s v="Deebo Samuel"/>
    <n v="0"/>
    <n v="2024"/>
  </r>
  <r>
    <x v="10"/>
    <s v="Brand"/>
    <n v="7"/>
    <x v="0"/>
    <s v="Anthony Richardson"/>
    <n v="8.76"/>
    <n v="2024"/>
  </r>
  <r>
    <x v="10"/>
    <s v="Brand"/>
    <n v="7"/>
    <x v="1"/>
    <s v="Garrett Wilson"/>
    <n v="10.6"/>
    <n v="2024"/>
  </r>
  <r>
    <x v="10"/>
    <s v="Brand"/>
    <n v="7"/>
    <x v="1"/>
    <s v="Michael Pittman"/>
    <n v="7.8"/>
    <n v="2024"/>
  </r>
  <r>
    <x v="10"/>
    <s v="Brand"/>
    <n v="7"/>
    <x v="1"/>
    <s v="Jameson Williams"/>
    <n v="0.1"/>
    <n v="2024"/>
  </r>
  <r>
    <x v="10"/>
    <s v="Brand"/>
    <n v="7"/>
    <x v="2"/>
    <s v="Breece Hall"/>
    <n v="23.1"/>
    <n v="2024"/>
  </r>
  <r>
    <x v="10"/>
    <s v="Brand"/>
    <n v="7"/>
    <x v="2"/>
    <s v="Kenneth Walker"/>
    <n v="22.3"/>
    <n v="2024"/>
  </r>
  <r>
    <x v="10"/>
    <s v="Brand"/>
    <n v="7"/>
    <x v="3"/>
    <s v="Colby Parkinson"/>
    <n v="4.2"/>
    <n v="2024"/>
  </r>
  <r>
    <x v="10"/>
    <s v="Brand"/>
    <n v="7"/>
    <x v="5"/>
    <s v="Cameron Dicker"/>
    <n v="21"/>
    <n v="2024"/>
  </r>
  <r>
    <x v="10"/>
    <s v="Brand"/>
    <n v="7"/>
    <x v="4"/>
    <s v="Indianapolis"/>
    <n v="9"/>
    <n v="2024"/>
  </r>
  <r>
    <x v="10"/>
    <s v="Brand"/>
    <n v="7"/>
    <x v="7"/>
    <s v="Bucky Irving"/>
    <n v="15.2"/>
    <n v="2024"/>
  </r>
  <r>
    <x v="4"/>
    <s v="Eli"/>
    <n v="7"/>
    <x v="0"/>
    <s v="Jalen Hurts"/>
    <n v="22.76"/>
    <n v="2024"/>
  </r>
  <r>
    <x v="4"/>
    <s v="Eli"/>
    <n v="7"/>
    <x v="1"/>
    <s v="Justin Jefferson"/>
    <n v="17.899999999999999"/>
    <n v="2024"/>
  </r>
  <r>
    <x v="4"/>
    <s v="Eli"/>
    <n v="7"/>
    <x v="1"/>
    <s v="Tre Tucker"/>
    <n v="6.2"/>
    <n v="2024"/>
  </r>
  <r>
    <x v="4"/>
    <s v="Eli"/>
    <n v="7"/>
    <x v="1"/>
    <s v="Xavier Legette"/>
    <n v="1.9"/>
    <n v="2024"/>
  </r>
  <r>
    <x v="4"/>
    <s v="Eli"/>
    <n v="7"/>
    <x v="2"/>
    <s v="Bijan Robinson"/>
    <n v="21.8"/>
    <n v="2024"/>
  </r>
  <r>
    <x v="4"/>
    <s v="Eli"/>
    <n v="7"/>
    <x v="2"/>
    <s v="Jordan Mason"/>
    <n v="7.9"/>
    <n v="2024"/>
  </r>
  <r>
    <x v="4"/>
    <s v="Eli"/>
    <n v="7"/>
    <x v="3"/>
    <s v="David Njoku"/>
    <n v="18.600000000000001"/>
    <n v="2024"/>
  </r>
  <r>
    <x v="4"/>
    <s v="Eli"/>
    <n v="7"/>
    <x v="5"/>
    <s v="Tyler Bass"/>
    <n v="10"/>
    <n v="2024"/>
  </r>
  <r>
    <x v="4"/>
    <s v="Eli"/>
    <n v="7"/>
    <x v="4"/>
    <s v="NYJ"/>
    <n v="-7"/>
    <n v="2024"/>
  </r>
  <r>
    <x v="4"/>
    <s v="Eli"/>
    <n v="7"/>
    <x v="8"/>
    <s v="Kyle Pitts"/>
    <n v="10"/>
    <n v="2024"/>
  </r>
  <r>
    <x v="3"/>
    <s v="Kevin"/>
    <n v="7"/>
    <x v="0"/>
    <s v="CJ Stroud"/>
    <n v="5.34"/>
    <n v="2024"/>
  </r>
  <r>
    <x v="3"/>
    <s v="Kevin"/>
    <n v="7"/>
    <x v="1"/>
    <s v="George Pickens"/>
    <n v="19.600000000000001"/>
    <n v="2024"/>
  </r>
  <r>
    <x v="3"/>
    <s v="Kevin"/>
    <n v="7"/>
    <x v="1"/>
    <s v="Jordan Addison"/>
    <n v="8.1"/>
    <n v="2024"/>
  </r>
  <r>
    <x v="3"/>
    <s v="Kevin"/>
    <n v="7"/>
    <x v="1"/>
    <s v="Marvin Harrison Jr"/>
    <n v="3.6"/>
    <n v="2024"/>
  </r>
  <r>
    <x v="3"/>
    <s v="Kevin"/>
    <n v="7"/>
    <x v="2"/>
    <s v="Joe Mixon"/>
    <n v="25.4"/>
    <n v="2024"/>
  </r>
  <r>
    <x v="3"/>
    <s v="Kevin"/>
    <n v="7"/>
    <x v="2"/>
    <s v="Najee Harris"/>
    <n v="16.2"/>
    <n v="2024"/>
  </r>
  <r>
    <x v="3"/>
    <s v="Kevin"/>
    <n v="7"/>
    <x v="3"/>
    <s v="Hunter Henry"/>
    <n v="13.2"/>
    <n v="2024"/>
  </r>
  <r>
    <x v="3"/>
    <s v="Kevin"/>
    <n v="7"/>
    <x v="5"/>
    <s v="Justin Tucker"/>
    <n v="13"/>
    <n v="2024"/>
  </r>
  <r>
    <x v="3"/>
    <s v="Kevin"/>
    <n v="7"/>
    <x v="4"/>
    <s v="LA Rams"/>
    <n v="16"/>
    <n v="2024"/>
  </r>
  <r>
    <x v="3"/>
    <s v="Kevin"/>
    <n v="7"/>
    <x v="7"/>
    <s v="Chuba Hubbard"/>
    <n v="11.2"/>
    <n v="2024"/>
  </r>
  <r>
    <x v="6"/>
    <s v="Will"/>
    <n v="7"/>
    <x v="0"/>
    <s v="Geno Smith"/>
    <n v="17.78"/>
    <n v="2024"/>
  </r>
  <r>
    <x v="6"/>
    <s v="Will"/>
    <n v="7"/>
    <x v="1"/>
    <s v="Drake London"/>
    <n v="15.3"/>
    <n v="2024"/>
  </r>
  <r>
    <x v="6"/>
    <s v="Will"/>
    <n v="7"/>
    <x v="1"/>
    <s v="Amon-Ra St. Brown"/>
    <n v="21.2"/>
    <n v="2024"/>
  </r>
  <r>
    <x v="6"/>
    <s v="Will"/>
    <n v="7"/>
    <x v="1"/>
    <s v="Ladd McConkey"/>
    <n v="7.1"/>
    <n v="2024"/>
  </r>
  <r>
    <x v="6"/>
    <s v="Will"/>
    <n v="7"/>
    <x v="2"/>
    <s v="Austin Ekeler"/>
    <n v="3"/>
    <n v="2024"/>
  </r>
  <r>
    <x v="6"/>
    <s v="Will"/>
    <n v="7"/>
    <x v="2"/>
    <s v="Zach Charbonet"/>
    <n v="1.4"/>
    <n v="2024"/>
  </r>
  <r>
    <x v="6"/>
    <s v="Will"/>
    <n v="7"/>
    <x v="3"/>
    <s v="Travis Kelce"/>
    <n v="3.7"/>
    <n v="2024"/>
  </r>
  <r>
    <x v="6"/>
    <s v="Will"/>
    <n v="7"/>
    <x v="5"/>
    <s v="Jason Myers"/>
    <n v="12"/>
    <n v="2024"/>
  </r>
  <r>
    <x v="6"/>
    <s v="Will"/>
    <n v="7"/>
    <x v="4"/>
    <s v="Houston"/>
    <n v="10"/>
    <n v="2024"/>
  </r>
  <r>
    <x v="6"/>
    <s v="Will"/>
    <n v="7"/>
    <x v="6"/>
    <s v="Jaxon Smith-Njigba"/>
    <n v="3.8"/>
    <n v="2024"/>
  </r>
  <r>
    <x v="5"/>
    <s v="Burnett/Jasjaap"/>
    <n v="7"/>
    <x v="0"/>
    <s v="Brock Purdy"/>
    <n v="17.18"/>
    <n v="2024"/>
  </r>
  <r>
    <x v="5"/>
    <s v="Burnett/Jasjaap"/>
    <n v="7"/>
    <x v="1"/>
    <s v="Bub Means"/>
    <n v="5.2"/>
    <n v="2024"/>
  </r>
  <r>
    <x v="5"/>
    <s v="Burnett/Jasjaap"/>
    <n v="7"/>
    <x v="1"/>
    <s v="Alec Pierce"/>
    <n v="2.5"/>
    <n v="2024"/>
  </r>
  <r>
    <x v="5"/>
    <s v="Burnett/Jasjaap"/>
    <n v="7"/>
    <x v="1"/>
    <s v="Jaylen Waddle"/>
    <n v="1.6"/>
    <n v="2024"/>
  </r>
  <r>
    <x v="5"/>
    <s v="Burnett/Jasjaap"/>
    <n v="7"/>
    <x v="2"/>
    <s v="Josh Jacobs"/>
    <n v="17.7"/>
    <n v="2024"/>
  </r>
  <r>
    <x v="5"/>
    <s v="Burnett/Jasjaap"/>
    <n v="7"/>
    <x v="2"/>
    <s v="David Montgomery"/>
    <n v="6.5"/>
    <n v="2024"/>
  </r>
  <r>
    <x v="5"/>
    <s v="Burnett/Jasjaap"/>
    <n v="7"/>
    <x v="3"/>
    <s v="Brock Bowers"/>
    <n v="14.3"/>
    <n v="2024"/>
  </r>
  <r>
    <x v="5"/>
    <s v="Burnett/Jasjaap"/>
    <n v="7"/>
    <x v="5"/>
    <s v="Austin Seibert"/>
    <n v="17"/>
    <n v="2024"/>
  </r>
  <r>
    <x v="5"/>
    <s v="Burnett/Jasjaap"/>
    <n v="7"/>
    <x v="4"/>
    <s v="Philadelphia"/>
    <n v="18"/>
    <n v="2024"/>
  </r>
  <r>
    <x v="5"/>
    <s v="Burnett/Jasjaap"/>
    <n v="7"/>
    <x v="6"/>
    <s v="Jordan Whittington"/>
    <n v="0"/>
    <n v="2024"/>
  </r>
  <r>
    <x v="7"/>
    <s v="Jay"/>
    <n v="7"/>
    <x v="0"/>
    <s v="Lamar Jackson"/>
    <n v="34.44"/>
    <n v="2024"/>
  </r>
  <r>
    <x v="7"/>
    <s v="Jay"/>
    <n v="7"/>
    <x v="1"/>
    <s v="Tee Higgins"/>
    <n v="16.2"/>
    <n v="2024"/>
  </r>
  <r>
    <x v="7"/>
    <s v="Jay"/>
    <n v="7"/>
    <x v="1"/>
    <s v="Amari Cooper"/>
    <n v="14.6"/>
    <n v="2024"/>
  </r>
  <r>
    <x v="7"/>
    <s v="Jay"/>
    <n v="7"/>
    <x v="1"/>
    <s v="Stefon Diggs"/>
    <n v="4.8"/>
    <n v="2024"/>
  </r>
  <r>
    <x v="7"/>
    <s v="Jay"/>
    <n v="7"/>
    <x v="2"/>
    <s v="Tony Pollard"/>
    <n v="7.5"/>
    <n v="2024"/>
  </r>
  <r>
    <x v="7"/>
    <s v="Jay"/>
    <n v="7"/>
    <x v="2"/>
    <s v="Alvin Kamara"/>
    <n v="5.4"/>
    <n v="2024"/>
  </r>
  <r>
    <x v="7"/>
    <s v="Jay"/>
    <n v="7"/>
    <x v="3"/>
    <s v="Evan Engram"/>
    <n v="6"/>
    <n v="2024"/>
  </r>
  <r>
    <x v="7"/>
    <s v="Jay"/>
    <n v="7"/>
    <x v="5"/>
    <s v="Ka'imi Fairbairn"/>
    <n v="12"/>
    <n v="2024"/>
  </r>
  <r>
    <x v="7"/>
    <s v="Jay"/>
    <n v="7"/>
    <x v="4"/>
    <s v="Jacksonville"/>
    <n v="10"/>
    <n v="2024"/>
  </r>
  <r>
    <x v="7"/>
    <s v="Jay"/>
    <n v="7"/>
    <x v="7"/>
    <s v="Trey Sermon"/>
    <n v="5.4"/>
    <n v="2024"/>
  </r>
  <r>
    <x v="11"/>
    <s v="Cam"/>
    <n v="7"/>
    <x v="0"/>
    <s v="Joe Burrow"/>
    <n v="14.94"/>
    <n v="2024"/>
  </r>
  <r>
    <x v="11"/>
    <s v="Cam"/>
    <n v="7"/>
    <x v="1"/>
    <s v="Ja'Marr Chase"/>
    <n v="15.1"/>
    <n v="2024"/>
  </r>
  <r>
    <x v="11"/>
    <s v="Cam"/>
    <n v="7"/>
    <x v="1"/>
    <s v="Wan'Dale Robinson"/>
    <n v="5.3"/>
    <n v="2024"/>
  </r>
  <r>
    <x v="11"/>
    <s v="Cam"/>
    <n v="7"/>
    <x v="1"/>
    <s v="Brandon Aiyuk"/>
    <n v="3.3"/>
    <n v="2024"/>
  </r>
  <r>
    <x v="11"/>
    <s v="Cam"/>
    <n v="7"/>
    <x v="2"/>
    <s v="Aaron Jones"/>
    <n v="19.100000000000001"/>
    <n v="2024"/>
  </r>
  <r>
    <x v="11"/>
    <s v="Cam"/>
    <n v="7"/>
    <x v="2"/>
    <s v="JK Dobbins"/>
    <n v="8.1"/>
    <n v="2024"/>
  </r>
  <r>
    <x v="11"/>
    <s v="Cam"/>
    <n v="7"/>
    <x v="3"/>
    <s v="George Kittle"/>
    <n v="12.2"/>
    <n v="2024"/>
  </r>
  <r>
    <x v="11"/>
    <s v="Cam"/>
    <n v="7"/>
    <x v="5"/>
    <s v="Evan McPherson"/>
    <n v="3"/>
    <n v="2024"/>
  </r>
  <r>
    <x v="11"/>
    <s v="Cam"/>
    <n v="7"/>
    <x v="4"/>
    <s v="New Orleans"/>
    <n v="1"/>
    <n v="2024"/>
  </r>
  <r>
    <x v="11"/>
    <s v="Cam"/>
    <n v="7"/>
    <x v="7"/>
    <s v="Rhamondre Stevenson"/>
    <n v="3.5"/>
    <n v="2024"/>
  </r>
  <r>
    <x v="0"/>
    <s v="Brenton"/>
    <n v="8"/>
    <x v="0"/>
    <s v="Baker Mayfield"/>
    <n v="22.3"/>
    <n v="2024"/>
  </r>
  <r>
    <x v="0"/>
    <s v="Brenton"/>
    <n v="8"/>
    <x v="1"/>
    <s v="Zay Flowers"/>
    <n v="15"/>
    <n v="2024"/>
  </r>
  <r>
    <x v="0"/>
    <s v="Brenton"/>
    <n v="8"/>
    <x v="1"/>
    <s v="Courtland Sutton"/>
    <n v="13.12"/>
    <n v="2024"/>
  </r>
  <r>
    <x v="0"/>
    <s v="Brenton"/>
    <n v="8"/>
    <x v="1"/>
    <s v="Tyreek Hill"/>
    <n v="10.199999999999999"/>
    <n v="2024"/>
  </r>
  <r>
    <x v="0"/>
    <s v="Brenton"/>
    <n v="8"/>
    <x v="2"/>
    <s v="Tank Bigsby"/>
    <n v="9.6"/>
    <n v="2024"/>
  </r>
  <r>
    <x v="0"/>
    <s v="Brenton"/>
    <n v="8"/>
    <x v="2"/>
    <s v="Javonte Williams"/>
    <n v="7.2"/>
    <n v="2024"/>
  </r>
  <r>
    <x v="0"/>
    <s v="Brenton"/>
    <n v="8"/>
    <x v="3"/>
    <s v="Trey McBride"/>
    <n v="16.899999999999999"/>
    <n v="2024"/>
  </r>
  <r>
    <x v="0"/>
    <s v="Brenton"/>
    <n v="8"/>
    <x v="5"/>
    <s v="Will Reichard"/>
    <n v="8"/>
    <n v="2024"/>
  </r>
  <r>
    <x v="0"/>
    <s v="Brenton"/>
    <n v="8"/>
    <x v="4"/>
    <s v="Detroit"/>
    <n v="12"/>
    <n v="2024"/>
  </r>
  <r>
    <x v="0"/>
    <s v="Brenton"/>
    <n v="8"/>
    <x v="6"/>
    <s v="Jayden Reed"/>
    <n v="6.5"/>
    <n v="2024"/>
  </r>
  <r>
    <x v="8"/>
    <s v="Schulwolf"/>
    <n v="8"/>
    <x v="0"/>
    <s v="Jordan Love"/>
    <n v="5.74"/>
    <n v="2024"/>
  </r>
  <r>
    <x v="8"/>
    <s v="Schulwolf"/>
    <n v="8"/>
    <x v="1"/>
    <s v="Terry McLaurin"/>
    <n v="15"/>
    <n v="2024"/>
  </r>
  <r>
    <x v="8"/>
    <s v="Schulwolf"/>
    <n v="8"/>
    <x v="1"/>
    <s v="Devonta Smith"/>
    <n v="17.5"/>
    <n v="2024"/>
  </r>
  <r>
    <x v="8"/>
    <s v="Schulwolf"/>
    <n v="8"/>
    <x v="1"/>
    <s v="Cooper Kupp"/>
    <n v="13.6"/>
    <n v="2024"/>
  </r>
  <r>
    <x v="8"/>
    <s v="Schulwolf"/>
    <n v="8"/>
    <x v="2"/>
    <s v="Jahmyr Gibbs"/>
    <n v="19.8"/>
    <n v="2024"/>
  </r>
  <r>
    <x v="8"/>
    <s v="Schulwolf"/>
    <n v="8"/>
    <x v="2"/>
    <s v="James Cook"/>
    <n v="26.8"/>
    <n v="2024"/>
  </r>
  <r>
    <x v="8"/>
    <s v="Schulwolf"/>
    <n v="8"/>
    <x v="3"/>
    <s v="Dalton Kincaid"/>
    <n v="11.1"/>
    <n v="2024"/>
  </r>
  <r>
    <x v="8"/>
    <s v="Schulwolf"/>
    <n v="8"/>
    <x v="5"/>
    <s v="Brandon Aubrey"/>
    <n v="6"/>
    <n v="2024"/>
  </r>
  <r>
    <x v="8"/>
    <s v="Schulwolf"/>
    <n v="8"/>
    <x v="4"/>
    <s v="Denver"/>
    <n v="8"/>
    <n v="2024"/>
  </r>
  <r>
    <x v="8"/>
    <s v="Schulwolf"/>
    <n v="8"/>
    <x v="6"/>
    <s v="Tyler Lockett"/>
    <n v="1.4"/>
    <n v="2024"/>
  </r>
  <r>
    <x v="2"/>
    <s v="Mike"/>
    <n v="8"/>
    <x v="0"/>
    <s v="Tua Tagovailoa"/>
    <n v="14.66"/>
    <n v="2024"/>
  </r>
  <r>
    <x v="2"/>
    <s v="Mike"/>
    <n v="8"/>
    <x v="1"/>
    <s v="Khalil Shakir"/>
    <n v="15.4"/>
    <n v="2024"/>
  </r>
  <r>
    <x v="2"/>
    <s v="Mike"/>
    <n v="8"/>
    <x v="1"/>
    <s v="Tank Dell"/>
    <n v="11.5"/>
    <n v="2024"/>
  </r>
  <r>
    <x v="2"/>
    <s v="Mike"/>
    <n v="8"/>
    <x v="1"/>
    <s v="Davante Adams"/>
    <n v="7.4"/>
    <n v="2024"/>
  </r>
  <r>
    <x v="2"/>
    <s v="Mike"/>
    <n v="8"/>
    <x v="2"/>
    <s v="Derrick Henry"/>
    <n v="14.2"/>
    <n v="2024"/>
  </r>
  <r>
    <x v="2"/>
    <s v="Mike"/>
    <n v="8"/>
    <x v="2"/>
    <s v="Kareem Hunt"/>
    <n v="12.8"/>
    <n v="2024"/>
  </r>
  <r>
    <x v="2"/>
    <s v="Mike"/>
    <n v="8"/>
    <x v="3"/>
    <s v="Jake Ferguson"/>
    <n v="5.3"/>
    <n v="2024"/>
  </r>
  <r>
    <x v="2"/>
    <s v="Mike"/>
    <n v="8"/>
    <x v="5"/>
    <s v="Younghoe Koo"/>
    <n v="6"/>
    <n v="2024"/>
  </r>
  <r>
    <x v="2"/>
    <s v="Mike"/>
    <n v="8"/>
    <x v="4"/>
    <s v="Buffalo"/>
    <n v="10"/>
    <n v="2024"/>
  </r>
  <r>
    <x v="2"/>
    <s v="Mike"/>
    <n v="8"/>
    <x v="7"/>
    <s v="Nick Chubb"/>
    <n v="5.2"/>
    <n v="2024"/>
  </r>
  <r>
    <x v="10"/>
    <s v="Brand"/>
    <n v="8"/>
    <x v="0"/>
    <s v="Anthony Richardson"/>
    <n v="11.5"/>
    <n v="2024"/>
  </r>
  <r>
    <x v="10"/>
    <s v="Brand"/>
    <n v="8"/>
    <x v="1"/>
    <s v="Garrett Wilson"/>
    <n v="13.8"/>
    <n v="2024"/>
  </r>
  <r>
    <x v="10"/>
    <s v="Brand"/>
    <n v="8"/>
    <x v="1"/>
    <s v="Keenan Allen"/>
    <n v="4.9000000000000004"/>
    <n v="2024"/>
  </r>
  <r>
    <x v="10"/>
    <s v="Brand"/>
    <n v="8"/>
    <x v="1"/>
    <s v="Michael Pittman"/>
    <n v="2.1"/>
    <n v="2024"/>
  </r>
  <r>
    <x v="10"/>
    <s v="Brand"/>
    <n v="8"/>
    <x v="2"/>
    <s v="Bucky Irving"/>
    <n v="11.9"/>
    <n v="2024"/>
  </r>
  <r>
    <x v="10"/>
    <s v="Brand"/>
    <n v="8"/>
    <x v="2"/>
    <s v="Breece Hall"/>
    <n v="9.4"/>
    <n v="2024"/>
  </r>
  <r>
    <x v="10"/>
    <s v="Brand"/>
    <n v="8"/>
    <x v="3"/>
    <s v="Taysom Hill"/>
    <n v="5.22"/>
    <n v="2024"/>
  </r>
  <r>
    <x v="10"/>
    <s v="Brand"/>
    <n v="8"/>
    <x v="5"/>
    <s v="Cameron Dicker"/>
    <n v="8"/>
    <n v="2024"/>
  </r>
  <r>
    <x v="10"/>
    <s v="Brand"/>
    <n v="8"/>
    <x v="4"/>
    <s v="San Francisco"/>
    <n v="7"/>
    <n v="2024"/>
  </r>
  <r>
    <x v="10"/>
    <s v="Brand"/>
    <n v="8"/>
    <x v="7"/>
    <s v="Kenneth Walker"/>
    <n v="6.5"/>
    <n v="2024"/>
  </r>
  <r>
    <x v="1"/>
    <s v="Todd"/>
    <n v="8"/>
    <x v="0"/>
    <s v="Sam Darnold"/>
    <n v="18.2"/>
    <n v="2024"/>
  </r>
  <r>
    <x v="1"/>
    <s v="Todd"/>
    <n v="8"/>
    <x v="1"/>
    <s v="Darnell Mooney"/>
    <n v="16.600000000000001"/>
    <n v="2024"/>
  </r>
  <r>
    <x v="1"/>
    <s v="Todd"/>
    <n v="8"/>
    <x v="1"/>
    <s v="Brian Thomas Jr"/>
    <n v="13.5"/>
    <n v="2024"/>
  </r>
  <r>
    <x v="1"/>
    <s v="Todd"/>
    <n v="8"/>
    <x v="1"/>
    <s v="AJ Brown"/>
    <n v="10.9"/>
    <n v="2024"/>
  </r>
  <r>
    <x v="1"/>
    <s v="Todd"/>
    <n v="8"/>
    <x v="2"/>
    <s v="De'Von Achane"/>
    <n v="23.7"/>
    <n v="2024"/>
  </r>
  <r>
    <x v="1"/>
    <s v="Todd"/>
    <n v="8"/>
    <x v="2"/>
    <s v="James Conner"/>
    <n v="13.9"/>
    <n v="2024"/>
  </r>
  <r>
    <x v="1"/>
    <s v="Todd"/>
    <n v="8"/>
    <x v="3"/>
    <s v="Tucker Kraft"/>
    <n v="15.3"/>
    <n v="2024"/>
  </r>
  <r>
    <x v="1"/>
    <s v="Todd"/>
    <n v="8"/>
    <x v="5"/>
    <s v="Chris Boswell"/>
    <n v="14"/>
    <n v="2024"/>
  </r>
  <r>
    <x v="1"/>
    <s v="Todd"/>
    <n v="8"/>
    <x v="4"/>
    <s v="LA Chargers"/>
    <n v="11"/>
    <n v="2024"/>
  </r>
  <r>
    <x v="1"/>
    <s v="Todd"/>
    <n v="8"/>
    <x v="6"/>
    <s v="Deebo Samuel"/>
    <n v="10.6"/>
    <n v="2024"/>
  </r>
  <r>
    <x v="5"/>
    <s v="Burnett/Jasjaap"/>
    <n v="8"/>
    <x v="0"/>
    <s v="Brock Purdy"/>
    <n v="26"/>
    <n v="2024"/>
  </r>
  <r>
    <x v="5"/>
    <s v="Burnett/Jasjaap"/>
    <n v="8"/>
    <x v="1"/>
    <s v="CeeDee Lamb"/>
    <n v="33.1"/>
    <n v="2024"/>
  </r>
  <r>
    <x v="5"/>
    <s v="Burnett/Jasjaap"/>
    <n v="8"/>
    <x v="1"/>
    <s v="Jerry Jeudy"/>
    <n v="10.4"/>
    <n v="2024"/>
  </r>
  <r>
    <x v="5"/>
    <s v="Burnett/Jasjaap"/>
    <n v="8"/>
    <x v="1"/>
    <s v="Ricky Pearsall"/>
    <n v="9.6999999999999993"/>
    <n v="2024"/>
  </r>
  <r>
    <x v="5"/>
    <s v="Burnett/Jasjaap"/>
    <n v="8"/>
    <x v="2"/>
    <s v="Josh Jacobs"/>
    <n v="25"/>
    <n v="2024"/>
  </r>
  <r>
    <x v="5"/>
    <s v="Burnett/Jasjaap"/>
    <n v="8"/>
    <x v="2"/>
    <s v="David Montgomery"/>
    <n v="14.42"/>
    <n v="2024"/>
  </r>
  <r>
    <x v="5"/>
    <s v="Burnett/Jasjaap"/>
    <n v="8"/>
    <x v="3"/>
    <s v="Brock Bowers"/>
    <n v="8.3000000000000007"/>
    <n v="2024"/>
  </r>
  <r>
    <x v="5"/>
    <s v="Burnett/Jasjaap"/>
    <n v="8"/>
    <x v="5"/>
    <s v="Austin Seibert"/>
    <n v="13"/>
    <n v="2024"/>
  </r>
  <r>
    <x v="5"/>
    <s v="Burnett/Jasjaap"/>
    <n v="8"/>
    <x v="4"/>
    <s v="Kansas City"/>
    <n v="9"/>
    <n v="2024"/>
  </r>
  <r>
    <x v="5"/>
    <s v="Burnett/Jasjaap"/>
    <n v="8"/>
    <x v="6"/>
    <s v="Jaylen Waddle"/>
    <n v="6.5"/>
    <n v="2024"/>
  </r>
  <r>
    <x v="4"/>
    <s v="Eli"/>
    <n v="8"/>
    <x v="0"/>
    <s v="Jalen Hurts"/>
    <n v="35.14"/>
    <n v="2024"/>
  </r>
  <r>
    <x v="4"/>
    <s v="Eli"/>
    <n v="8"/>
    <x v="1"/>
    <s v="Justin Jefferson"/>
    <n v="15.5"/>
    <n v="2024"/>
  </r>
  <r>
    <x v="4"/>
    <s v="Eli"/>
    <n v="8"/>
    <x v="1"/>
    <s v="Jalen McMillan"/>
    <n v="7.2"/>
    <n v="2024"/>
  </r>
  <r>
    <x v="4"/>
    <s v="Eli"/>
    <n v="8"/>
    <x v="1"/>
    <s v="DJ Moore"/>
    <n v="4.4000000000000004"/>
    <n v="2024"/>
  </r>
  <r>
    <x v="4"/>
    <s v="Eli"/>
    <n v="8"/>
    <x v="2"/>
    <s v="Bijan Robinson"/>
    <n v="20.100000000000001"/>
    <n v="2024"/>
  </r>
  <r>
    <x v="4"/>
    <s v="Eli"/>
    <n v="8"/>
    <x v="2"/>
    <s v="Jordan Mason"/>
    <n v="1.8"/>
    <n v="2024"/>
  </r>
  <r>
    <x v="4"/>
    <s v="Eli"/>
    <n v="8"/>
    <x v="3"/>
    <s v="Kyle Pitts"/>
    <n v="23.1"/>
    <n v="2024"/>
  </r>
  <r>
    <x v="4"/>
    <s v="Eli"/>
    <n v="8"/>
    <x v="5"/>
    <s v="Tyler Bass"/>
    <n v="7"/>
    <n v="2024"/>
  </r>
  <r>
    <x v="4"/>
    <s v="Eli"/>
    <n v="8"/>
    <x v="4"/>
    <s v="NYJ"/>
    <n v="3"/>
    <n v="2024"/>
  </r>
  <r>
    <x v="4"/>
    <s v="Eli"/>
    <n v="8"/>
    <x v="8"/>
    <s v="David Njoku"/>
    <n v="14.6"/>
    <n v="2024"/>
  </r>
  <r>
    <x v="11"/>
    <s v="Cam"/>
    <n v="8"/>
    <x v="0"/>
    <s v="Joe Burrow"/>
    <n v="12.86"/>
    <n v="2024"/>
  </r>
  <r>
    <x v="11"/>
    <s v="Cam"/>
    <n v="8"/>
    <x v="1"/>
    <s v="Ja'Marr Chase"/>
    <n v="15.9"/>
    <n v="2024"/>
  </r>
  <r>
    <x v="11"/>
    <s v="Cam"/>
    <n v="8"/>
    <x v="1"/>
    <s v="Jakobi Meyers"/>
    <n v="14.2"/>
    <n v="2024"/>
  </r>
  <r>
    <x v="11"/>
    <s v="Cam"/>
    <n v="8"/>
    <x v="1"/>
    <s v="Wan'Dale Robinson"/>
    <n v="5.5"/>
    <n v="2024"/>
  </r>
  <r>
    <x v="11"/>
    <s v="Cam"/>
    <n v="8"/>
    <x v="2"/>
    <s v="D'Andre Swift"/>
    <n v="18.899999999999999"/>
    <n v="2024"/>
  </r>
  <r>
    <x v="11"/>
    <s v="Cam"/>
    <n v="8"/>
    <x v="2"/>
    <s v="JK Dobbins"/>
    <n v="14.8"/>
    <n v="2024"/>
  </r>
  <r>
    <x v="11"/>
    <s v="Cam"/>
    <n v="8"/>
    <x v="3"/>
    <s v="George Kittle"/>
    <n v="21.8"/>
    <n v="2024"/>
  </r>
  <r>
    <x v="11"/>
    <s v="Cam"/>
    <n v="8"/>
    <x v="5"/>
    <s v="Evan McPherson"/>
    <n v="5"/>
    <n v="2024"/>
  </r>
  <r>
    <x v="11"/>
    <s v="Cam"/>
    <n v="8"/>
    <x v="4"/>
    <s v="Green Bay"/>
    <n v="4"/>
    <n v="2024"/>
  </r>
  <r>
    <x v="11"/>
    <s v="Cam"/>
    <n v="8"/>
    <x v="7"/>
    <s v="Aaron Jones"/>
    <n v="10.5"/>
    <n v="2024"/>
  </r>
  <r>
    <x v="6"/>
    <s v="Will"/>
    <n v="8"/>
    <x v="0"/>
    <s v="Caleb Williams"/>
    <n v="9.94"/>
    <n v="2024"/>
  </r>
  <r>
    <x v="6"/>
    <s v="Will"/>
    <n v="8"/>
    <x v="1"/>
    <s v="Ladd McConkey"/>
    <n v="26.1"/>
    <n v="2024"/>
  </r>
  <r>
    <x v="6"/>
    <s v="Will"/>
    <n v="8"/>
    <x v="1"/>
    <s v="Jaxon Smith-Njigba"/>
    <n v="9.9"/>
    <n v="2024"/>
  </r>
  <r>
    <x v="6"/>
    <s v="Will"/>
    <n v="8"/>
    <x v="1"/>
    <s v="Amon-Ra St. Brown"/>
    <n v="7.7"/>
    <n v="2024"/>
  </r>
  <r>
    <x v="6"/>
    <s v="Will"/>
    <n v="8"/>
    <x v="2"/>
    <s v="Austin Ekeler"/>
    <n v="6.8"/>
    <n v="2024"/>
  </r>
  <r>
    <x v="6"/>
    <s v="Will"/>
    <n v="8"/>
    <x v="2"/>
    <s v="D'Ernest Johnson"/>
    <n v="2.8"/>
    <n v="2024"/>
  </r>
  <r>
    <x v="6"/>
    <s v="Will"/>
    <n v="8"/>
    <x v="3"/>
    <s v="Travis Kelce"/>
    <n v="20"/>
    <n v="2024"/>
  </r>
  <r>
    <x v="6"/>
    <s v="Will"/>
    <n v="8"/>
    <x v="5"/>
    <s v="Jason Myers"/>
    <n v="4"/>
    <n v="2024"/>
  </r>
  <r>
    <x v="6"/>
    <s v="Will"/>
    <n v="8"/>
    <x v="4"/>
    <s v="Houston"/>
    <n v="9"/>
    <n v="2024"/>
  </r>
  <r>
    <x v="6"/>
    <s v="Will"/>
    <n v="8"/>
    <x v="6"/>
    <s v="Drake London"/>
    <n v="5.4"/>
    <n v="2024"/>
  </r>
  <r>
    <x v="3"/>
    <s v="Kevin"/>
    <n v="8"/>
    <x v="0"/>
    <s v="CJ Stroud"/>
    <n v="12.4"/>
    <n v="2024"/>
  </r>
  <r>
    <x v="3"/>
    <s v="Kevin"/>
    <n v="8"/>
    <x v="1"/>
    <s v="Marvin Harrison Jr"/>
    <n v="20.100000000000001"/>
    <n v="2024"/>
  </r>
  <r>
    <x v="3"/>
    <s v="Kevin"/>
    <n v="8"/>
    <x v="1"/>
    <s v="George Pickens"/>
    <n v="9.4"/>
    <n v="2024"/>
  </r>
  <r>
    <x v="3"/>
    <s v="Kevin"/>
    <n v="8"/>
    <x v="1"/>
    <s v="Jordan Addison"/>
    <n v="3.2"/>
    <n v="2024"/>
  </r>
  <r>
    <x v="3"/>
    <s v="Kevin"/>
    <n v="8"/>
    <x v="2"/>
    <s v="Joe Mixon"/>
    <n v="21.4"/>
    <n v="2024"/>
  </r>
  <r>
    <x v="3"/>
    <s v="Kevin"/>
    <n v="8"/>
    <x v="2"/>
    <s v="Najee Harris"/>
    <n v="14.6"/>
    <n v="2024"/>
  </r>
  <r>
    <x v="3"/>
    <s v="Kevin"/>
    <n v="8"/>
    <x v="3"/>
    <s v="Hunter Henry"/>
    <n v="7"/>
    <n v="2024"/>
  </r>
  <r>
    <x v="3"/>
    <s v="Kevin"/>
    <n v="8"/>
    <x v="5"/>
    <s v="Justin Tucker"/>
    <n v="7"/>
    <n v="2024"/>
  </r>
  <r>
    <x v="3"/>
    <s v="Kevin"/>
    <n v="8"/>
    <x v="4"/>
    <s v="NY Giants"/>
    <n v="2"/>
    <n v="2024"/>
  </r>
  <r>
    <x v="3"/>
    <s v="Kevin"/>
    <n v="8"/>
    <x v="7"/>
    <s v="Chuba Hubbard"/>
    <n v="8.1"/>
    <n v="2024"/>
  </r>
  <r>
    <x v="7"/>
    <s v="Jay"/>
    <n v="8"/>
    <x v="0"/>
    <s v="Lamar Jackson"/>
    <n v="24.16"/>
    <n v="2024"/>
  </r>
  <r>
    <x v="7"/>
    <s v="Jay"/>
    <n v="8"/>
    <x v="1"/>
    <s v="Stefon Diggs"/>
    <n v="10.199999999999999"/>
    <n v="2024"/>
  </r>
  <r>
    <x v="7"/>
    <s v="Jay"/>
    <n v="8"/>
    <x v="1"/>
    <s v="Christian Kirk"/>
    <n v="6.9"/>
    <n v="2024"/>
  </r>
  <r>
    <x v="7"/>
    <s v="Jay"/>
    <n v="8"/>
    <x v="1"/>
    <s v="Amari Cooper"/>
    <n v="0.8"/>
    <n v="2024"/>
  </r>
  <r>
    <x v="7"/>
    <s v="Jay"/>
    <n v="8"/>
    <x v="2"/>
    <s v="Jonathan Taylor"/>
    <n v="18.2"/>
    <n v="2024"/>
  </r>
  <r>
    <x v="7"/>
    <s v="Jay"/>
    <n v="8"/>
    <x v="2"/>
    <s v="Alvin Kamara"/>
    <n v="15.2"/>
    <n v="2024"/>
  </r>
  <r>
    <x v="7"/>
    <s v="Jay"/>
    <n v="8"/>
    <x v="3"/>
    <s v="Evan Engram"/>
    <n v="11.6"/>
    <n v="2024"/>
  </r>
  <r>
    <x v="7"/>
    <s v="Jay"/>
    <n v="8"/>
    <x v="5"/>
    <s v="Ka'imi Fairbairn"/>
    <n v="11"/>
    <n v="2024"/>
  </r>
  <r>
    <x v="7"/>
    <s v="Jay"/>
    <n v="8"/>
    <x v="4"/>
    <s v="Miami"/>
    <n v="-1"/>
    <n v="2024"/>
  </r>
  <r>
    <x v="7"/>
    <s v="Jay"/>
    <n v="8"/>
    <x v="7"/>
    <s v="Brian Robinson"/>
    <n v="8.1"/>
    <n v="2024"/>
  </r>
  <r>
    <x v="9"/>
    <s v="Tommy"/>
    <n v="8"/>
    <x v="0"/>
    <s v="Josh Allen"/>
    <n v="19.82"/>
    <n v="2024"/>
  </r>
  <r>
    <x v="9"/>
    <s v="Tommy"/>
    <n v="8"/>
    <x v="1"/>
    <s v="Malik Nabers"/>
    <n v="10.6"/>
    <n v="2024"/>
  </r>
  <r>
    <x v="9"/>
    <s v="Tommy"/>
    <n v="8"/>
    <x v="1"/>
    <s v="Xavier Worthy"/>
    <n v="11.7"/>
    <n v="2024"/>
  </r>
  <r>
    <x v="9"/>
    <s v="Tommy"/>
    <n v="8"/>
    <x v="1"/>
    <s v="Romeo Doubs"/>
    <n v="8.6999999999999993"/>
    <n v="2024"/>
  </r>
  <r>
    <x v="9"/>
    <s v="Tommy"/>
    <n v="8"/>
    <x v="2"/>
    <s v="Kyren Williams"/>
    <n v="20.100000000000001"/>
    <n v="2024"/>
  </r>
  <r>
    <x v="9"/>
    <s v="Tommy"/>
    <n v="8"/>
    <x v="2"/>
    <s v="Rachaad White"/>
    <n v="13.2"/>
    <n v="2024"/>
  </r>
  <r>
    <x v="9"/>
    <s v="Tommy"/>
    <n v="8"/>
    <x v="3"/>
    <s v="Mark Andrews"/>
    <n v="12.1"/>
    <n v="2024"/>
  </r>
  <r>
    <x v="9"/>
    <s v="Tommy"/>
    <n v="8"/>
    <x v="5"/>
    <s v="Harrison Butker"/>
    <n v="10"/>
    <n v="2024"/>
  </r>
  <r>
    <x v="9"/>
    <s v="Tommy"/>
    <n v="8"/>
    <x v="4"/>
    <s v="Minnesota"/>
    <n v="0"/>
    <n v="2024"/>
  </r>
  <r>
    <x v="9"/>
    <s v="Tommy"/>
    <n v="8"/>
    <x v="7"/>
    <s v="Saquon Barkley"/>
    <n v="11.6"/>
    <n v="202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1044">
  <r>
    <x v="0"/>
    <s v="Brenton"/>
    <n v="1"/>
    <x v="0"/>
    <s v="Trevor Lawrence"/>
    <n v="11.28"/>
    <n v="2024"/>
  </r>
  <r>
    <x v="0"/>
    <s v="Brenton"/>
    <n v="1"/>
    <x v="1"/>
    <s v="Jayden Reed"/>
    <n v="31.1"/>
    <n v="2024"/>
  </r>
  <r>
    <x v="0"/>
    <s v="Brenton"/>
    <n v="1"/>
    <x v="1"/>
    <s v="Tyreek Hill"/>
    <n v="22.5"/>
    <n v="2024"/>
  </r>
  <r>
    <x v="0"/>
    <s v="Brenton"/>
    <n v="1"/>
    <x v="1"/>
    <s v="Zay Flowers"/>
    <n v="8.1"/>
    <n v="2024"/>
  </r>
  <r>
    <x v="0"/>
    <s v="Brenton"/>
    <n v="1"/>
    <x v="2"/>
    <s v="Jerome Ford"/>
    <n v="15.9"/>
    <n v="2024"/>
  </r>
  <r>
    <x v="0"/>
    <s v="Brenton"/>
    <n v="1"/>
    <x v="2"/>
    <s v="Javonte Williams"/>
    <n v="2.8"/>
    <n v="2024"/>
  </r>
  <r>
    <x v="0"/>
    <s v="Brenton"/>
    <n v="1"/>
    <x v="3"/>
    <s v="Trey McBride"/>
    <n v="5.5"/>
    <n v="2024"/>
  </r>
  <r>
    <x v="0"/>
    <s v="Brenton"/>
    <n v="1"/>
    <x v="4"/>
    <s v="Cincinnati"/>
    <n v="3"/>
    <n v="2024"/>
  </r>
  <r>
    <x v="0"/>
    <s v="Brenton"/>
    <n v="1"/>
    <x v="5"/>
    <s v="Tyler Bass"/>
    <n v="10"/>
    <n v="2024"/>
  </r>
  <r>
    <x v="1"/>
    <s v="Todd"/>
    <n v="1"/>
    <x v="0"/>
    <s v="Dak Prescott"/>
    <n v="11.46"/>
    <n v="2024"/>
  </r>
  <r>
    <x v="1"/>
    <s v="Todd"/>
    <n v="1"/>
    <x v="1"/>
    <s v="AJ Brown"/>
    <n v="20.399999999999999"/>
    <n v="2024"/>
  </r>
  <r>
    <x v="1"/>
    <s v="Todd"/>
    <n v="1"/>
    <x v="1"/>
    <s v="Deebo Samuel"/>
    <n v="16.2"/>
    <n v="2024"/>
  </r>
  <r>
    <x v="1"/>
    <s v="Todd"/>
    <n v="1"/>
    <x v="1"/>
    <s v="Rashee Rice"/>
    <n v="13.8"/>
    <n v="2024"/>
  </r>
  <r>
    <x v="1"/>
    <s v="Todd"/>
    <n v="1"/>
    <x v="2"/>
    <s v="De'Von Achane"/>
    <n v="19.5"/>
    <n v="2024"/>
  </r>
  <r>
    <x v="1"/>
    <s v="Todd"/>
    <n v="1"/>
    <x v="2"/>
    <s v="James Conner"/>
    <n v="17.8"/>
    <n v="2024"/>
  </r>
  <r>
    <x v="1"/>
    <s v="Todd"/>
    <n v="1"/>
    <x v="3"/>
    <s v="Pat Freiermuth"/>
    <n v="4.7"/>
    <n v="2024"/>
  </r>
  <r>
    <x v="1"/>
    <s v="Todd"/>
    <n v="1"/>
    <x v="4"/>
    <s v="Seattle"/>
    <n v="10"/>
    <n v="2024"/>
  </r>
  <r>
    <x v="1"/>
    <s v="Todd"/>
    <n v="1"/>
    <x v="5"/>
    <s v="Younghoe Koo"/>
    <n v="4"/>
    <n v="2024"/>
  </r>
  <r>
    <x v="2"/>
    <s v="Mike"/>
    <n v="1"/>
    <x v="0"/>
    <s v="Patrick Mahomes"/>
    <n v="14.64"/>
    <n v="2024"/>
  </r>
  <r>
    <x v="2"/>
    <s v="Mike"/>
    <n v="1"/>
    <x v="1"/>
    <s v="Davante Adams"/>
    <n v="8.4"/>
    <n v="2024"/>
  </r>
  <r>
    <x v="2"/>
    <s v="Mike"/>
    <n v="1"/>
    <x v="1"/>
    <s v="Mike Evans"/>
    <n v="20.6"/>
    <n v="2024"/>
  </r>
  <r>
    <x v="2"/>
    <s v="Mike"/>
    <n v="1"/>
    <x v="1"/>
    <s v="Khalil Shakir"/>
    <n v="11.7"/>
    <n v="2024"/>
  </r>
  <r>
    <x v="2"/>
    <s v="Mike"/>
    <n v="1"/>
    <x v="2"/>
    <s v="Derrick Henry"/>
    <n v="10.6"/>
    <n v="2024"/>
  </r>
  <r>
    <x v="2"/>
    <s v="Mike"/>
    <n v="1"/>
    <x v="2"/>
    <s v="Tyjae Spears"/>
    <n v="5.2"/>
    <n v="2024"/>
  </r>
  <r>
    <x v="2"/>
    <s v="Mike"/>
    <n v="1"/>
    <x v="3"/>
    <s v="Sam LaPorta"/>
    <n v="6.5"/>
    <n v="2024"/>
  </r>
  <r>
    <x v="2"/>
    <s v="Mike"/>
    <n v="1"/>
    <x v="5"/>
    <s v="Jason Sanders"/>
    <n v="9"/>
    <n v="2024"/>
  </r>
  <r>
    <x v="2"/>
    <s v="Mike"/>
    <n v="1"/>
    <x v="4"/>
    <s v="Buffalo"/>
    <n v="6"/>
    <n v="2024"/>
  </r>
  <r>
    <x v="3"/>
    <s v="Kevin"/>
    <n v="1"/>
    <x v="0"/>
    <s v="CJ Stroud"/>
    <n v="18.66"/>
    <n v="2024"/>
  </r>
  <r>
    <x v="3"/>
    <s v="Kevin"/>
    <n v="1"/>
    <x v="1"/>
    <s v="George Pickens"/>
    <n v="10.5"/>
    <n v="2024"/>
  </r>
  <r>
    <x v="3"/>
    <s v="Kevin"/>
    <n v="1"/>
    <x v="1"/>
    <s v="Chris Olave"/>
    <n v="2.1"/>
    <n v="2024"/>
  </r>
  <r>
    <x v="3"/>
    <s v="Kevin"/>
    <n v="1"/>
    <x v="1"/>
    <s v="Marvin Harrison Jr"/>
    <n v="0.9"/>
    <n v="2024"/>
  </r>
  <r>
    <x v="3"/>
    <s v="Kevin"/>
    <n v="1"/>
    <x v="2"/>
    <s v="Joe Mixon"/>
    <n v="25.3"/>
    <n v="2024"/>
  </r>
  <r>
    <x v="3"/>
    <s v="Kevin"/>
    <n v="1"/>
    <x v="2"/>
    <s v="Isiah Pacheco"/>
    <n v="14.8"/>
    <n v="2024"/>
  </r>
  <r>
    <x v="3"/>
    <s v="Kevin"/>
    <n v="1"/>
    <x v="3"/>
    <s v="Hunter Henry"/>
    <n v="2.8"/>
    <n v="2024"/>
  </r>
  <r>
    <x v="3"/>
    <s v="Kevin"/>
    <n v="1"/>
    <x v="5"/>
    <s v="Justin Tucker"/>
    <n v="8"/>
    <n v="2024"/>
  </r>
  <r>
    <x v="3"/>
    <s v="Kevin"/>
    <n v="1"/>
    <x v="4"/>
    <s v="Minnesota"/>
    <n v="23"/>
    <n v="2024"/>
  </r>
  <r>
    <x v="4"/>
    <s v="Eli"/>
    <n v="1"/>
    <x v="0"/>
    <s v="Jalen Hurts"/>
    <n v="16.420000000000002"/>
    <n v="2024"/>
  </r>
  <r>
    <x v="4"/>
    <s v="Eli"/>
    <n v="1"/>
    <x v="1"/>
    <s v="Justin Jefferson"/>
    <n v="13.9"/>
    <n v="2024"/>
  </r>
  <r>
    <x v="4"/>
    <s v="Eli"/>
    <n v="1"/>
    <x v="1"/>
    <s v="DJ Moore"/>
    <n v="7.5"/>
    <n v="2024"/>
  </r>
  <r>
    <x v="4"/>
    <s v="Eli"/>
    <n v="1"/>
    <x v="1"/>
    <s v="DeMario Douglas"/>
    <n v="2.2000000000000002"/>
    <n v="2024"/>
  </r>
  <r>
    <x v="4"/>
    <s v="Eli"/>
    <n v="1"/>
    <x v="2"/>
    <s v="Bijan Robinson"/>
    <n v="13.6"/>
    <n v="2024"/>
  </r>
  <r>
    <x v="4"/>
    <s v="Eli"/>
    <n v="1"/>
    <x v="2"/>
    <s v="Jaylen Warren"/>
    <n v="3"/>
    <n v="2024"/>
  </r>
  <r>
    <x v="4"/>
    <s v="Eli"/>
    <n v="1"/>
    <x v="3"/>
    <s v="David Njoku"/>
    <n v="6.4"/>
    <n v="2024"/>
  </r>
  <r>
    <x v="4"/>
    <s v="Eli"/>
    <n v="1"/>
    <x v="5"/>
    <s v="Jake Moody"/>
    <n v="26"/>
    <n v="2024"/>
  </r>
  <r>
    <x v="4"/>
    <s v="Eli"/>
    <n v="1"/>
    <x v="4"/>
    <s v="NYJ"/>
    <n v="-2"/>
    <n v="2024"/>
  </r>
  <r>
    <x v="5"/>
    <s v="Burnett/Jasjaap"/>
    <n v="1"/>
    <x v="0"/>
    <s v="Brock Purdy"/>
    <n v="10.34"/>
    <n v="2024"/>
  </r>
  <r>
    <x v="5"/>
    <s v="Burnett/Jasjaap"/>
    <n v="1"/>
    <x v="1"/>
    <s v="CeeDee Lamb"/>
    <n v="11.1"/>
    <n v="2024"/>
  </r>
  <r>
    <x v="5"/>
    <s v="Burnett/Jasjaap"/>
    <n v="1"/>
    <x v="1"/>
    <s v="Jaylen Waddle"/>
    <n v="13.7"/>
    <n v="2024"/>
  </r>
  <r>
    <x v="5"/>
    <s v="Burnett/Jasjaap"/>
    <n v="1"/>
    <x v="1"/>
    <s v="Puka Nacua"/>
    <n v="6.2"/>
    <n v="2024"/>
  </r>
  <r>
    <x v="5"/>
    <s v="Burnett/Jasjaap"/>
    <n v="1"/>
    <x v="2"/>
    <s v="Josh Jacobs"/>
    <n v="11.4"/>
    <n v="2024"/>
  </r>
  <r>
    <x v="5"/>
    <s v="Burnett/Jasjaap"/>
    <n v="1"/>
    <x v="2"/>
    <s v="David Montgomery"/>
    <n v="15.8"/>
    <n v="2024"/>
  </r>
  <r>
    <x v="5"/>
    <s v="Burnett/Jasjaap"/>
    <n v="1"/>
    <x v="3"/>
    <s v="Brock Bowers"/>
    <n v="8.8000000000000007"/>
    <n v="2024"/>
  </r>
  <r>
    <x v="5"/>
    <s v="Burnett/Jasjaap"/>
    <n v="1"/>
    <x v="5"/>
    <s v="Jake Elliott"/>
    <n v="10"/>
    <n v="2024"/>
  </r>
  <r>
    <x v="5"/>
    <s v="Burnett/Jasjaap"/>
    <n v="1"/>
    <x v="4"/>
    <s v="Pittsburgh"/>
    <n v="13"/>
    <n v="2024"/>
  </r>
  <r>
    <x v="6"/>
    <s v="Will"/>
    <n v="1"/>
    <x v="0"/>
    <s v="Caleb Williams"/>
    <n v="7.22"/>
    <n v="2024"/>
  </r>
  <r>
    <x v="6"/>
    <s v="Will"/>
    <n v="1"/>
    <x v="1"/>
    <s v="Ladd McConkey"/>
    <n v="12.4"/>
    <n v="2024"/>
  </r>
  <r>
    <x v="6"/>
    <s v="Will"/>
    <n v="1"/>
    <x v="1"/>
    <s v="Amon-Ra St. Brown"/>
    <n v="2.8"/>
    <n v="2024"/>
  </r>
  <r>
    <x v="6"/>
    <s v="Will"/>
    <n v="1"/>
    <x v="1"/>
    <s v="Drake London"/>
    <n v="2.5"/>
    <n v="2024"/>
  </r>
  <r>
    <x v="6"/>
    <s v="Will"/>
    <n v="1"/>
    <x v="2"/>
    <s v="Travis Etienne"/>
    <n v="10.9"/>
    <n v="2024"/>
  </r>
  <r>
    <x v="6"/>
    <s v="Will"/>
    <n v="1"/>
    <x v="2"/>
    <s v="Zamir White"/>
    <n v="3.6"/>
    <n v="2024"/>
  </r>
  <r>
    <x v="6"/>
    <s v="Will"/>
    <n v="1"/>
    <x v="3"/>
    <s v="Kyle Pitts"/>
    <n v="10.1"/>
    <n v="2024"/>
  </r>
  <r>
    <x v="6"/>
    <s v="Will"/>
    <n v="1"/>
    <x v="5"/>
    <s v="Jason Myers"/>
    <n v="10"/>
    <n v="2024"/>
  </r>
  <r>
    <x v="6"/>
    <s v="Will"/>
    <n v="1"/>
    <x v="4"/>
    <s v="Houston"/>
    <n v="3"/>
    <n v="2024"/>
  </r>
  <r>
    <x v="7"/>
    <s v="Jay"/>
    <n v="1"/>
    <x v="0"/>
    <s v="Lamar Jackson"/>
    <n v="25.12"/>
    <n v="2024"/>
  </r>
  <r>
    <x v="7"/>
    <s v="Jay"/>
    <n v="1"/>
    <x v="1"/>
    <s v="Stefon Diggs"/>
    <n v="18.899999999999999"/>
    <n v="2024"/>
  </r>
  <r>
    <x v="7"/>
    <s v="Jay"/>
    <n v="1"/>
    <x v="1"/>
    <s v="Christian Kirk"/>
    <n v="3.5"/>
    <n v="2024"/>
  </r>
  <r>
    <x v="7"/>
    <s v="Jay"/>
    <n v="1"/>
    <x v="1"/>
    <s v="Amari Cooper"/>
    <n v="2.6"/>
    <n v="2024"/>
  </r>
  <r>
    <x v="7"/>
    <s v="Jay"/>
    <n v="1"/>
    <x v="2"/>
    <s v="Alvin Kamara"/>
    <n v="19.5"/>
    <n v="2024"/>
  </r>
  <r>
    <x v="7"/>
    <s v="Jay"/>
    <n v="1"/>
    <x v="2"/>
    <s v="Jonathan Taylor"/>
    <n v="10.8"/>
    <n v="2024"/>
  </r>
  <r>
    <x v="7"/>
    <s v="Jay"/>
    <n v="1"/>
    <x v="3"/>
    <s v="Mark Andrews"/>
    <n v="2.4"/>
    <n v="2024"/>
  </r>
  <r>
    <x v="7"/>
    <s v="Jay"/>
    <n v="1"/>
    <x v="5"/>
    <s v="Ka'imi Fairbairn"/>
    <n v="17"/>
    <n v="2024"/>
  </r>
  <r>
    <x v="7"/>
    <s v="Jay"/>
    <n v="1"/>
    <x v="4"/>
    <s v="LA Chargers"/>
    <n v="15"/>
    <n v="2024"/>
  </r>
  <r>
    <x v="8"/>
    <s v="Schulwolf"/>
    <n v="1"/>
    <x v="0"/>
    <s v="Jordan Love"/>
    <n v="16.399999999999999"/>
    <n v="2024"/>
  </r>
  <r>
    <x v="8"/>
    <s v="Schulwolf"/>
    <n v="1"/>
    <x v="1"/>
    <s v="Cooper Kupp"/>
    <n v="25"/>
    <n v="2024"/>
  </r>
  <r>
    <x v="8"/>
    <s v="Schulwolf"/>
    <n v="1"/>
    <x v="1"/>
    <s v="DeVonta Smith"/>
    <n v="11.9"/>
    <n v="2024"/>
  </r>
  <r>
    <x v="8"/>
    <s v="Schulwolf"/>
    <n v="1"/>
    <x v="1"/>
    <s v="Chris Godwin"/>
    <n v="18.3"/>
    <n v="2024"/>
  </r>
  <r>
    <x v="8"/>
    <s v="Schulwolf"/>
    <n v="1"/>
    <x v="2"/>
    <s v="Jahmyr Gibbs"/>
    <n v="15.4"/>
    <n v="2024"/>
  </r>
  <r>
    <x v="8"/>
    <s v="Schulwolf"/>
    <n v="1"/>
    <x v="2"/>
    <s v="James Cook"/>
    <n v="11.8"/>
    <n v="2024"/>
  </r>
  <r>
    <x v="8"/>
    <s v="Schulwolf"/>
    <n v="1"/>
    <x v="3"/>
    <s v="Dalton Kincaid"/>
    <n v="1.6"/>
    <n v="2024"/>
  </r>
  <r>
    <x v="8"/>
    <s v="Schulwolf"/>
    <n v="1"/>
    <x v="5"/>
    <s v="Brandon Aubrey"/>
    <n v="21"/>
    <n v="2024"/>
  </r>
  <r>
    <x v="8"/>
    <s v="Schulwolf"/>
    <n v="1"/>
    <x v="4"/>
    <s v="Dallas"/>
    <n v="18"/>
    <n v="2024"/>
  </r>
  <r>
    <x v="9"/>
    <s v="Tommy"/>
    <n v="1"/>
    <x v="0"/>
    <s v="Josh Allen"/>
    <n v="31.18"/>
    <n v="2024"/>
  </r>
  <r>
    <x v="9"/>
    <s v="Tommy"/>
    <n v="1"/>
    <x v="1"/>
    <s v="Malik Nabers"/>
    <n v="9.1"/>
    <n v="2024"/>
  </r>
  <r>
    <x v="9"/>
    <s v="Tommy"/>
    <n v="1"/>
    <x v="1"/>
    <s v="DK Metcalf"/>
    <n v="4.4000000000000004"/>
    <n v="2024"/>
  </r>
  <r>
    <x v="9"/>
    <s v="Tommy"/>
    <n v="1"/>
    <x v="1"/>
    <s v="Romeo Doubs"/>
    <n v="7"/>
    <n v="2024"/>
  </r>
  <r>
    <x v="9"/>
    <s v="Tommy"/>
    <n v="1"/>
    <x v="2"/>
    <s v="Saquon Barkley"/>
    <n v="32.200000000000003"/>
    <n v="2024"/>
  </r>
  <r>
    <x v="9"/>
    <s v="Tommy"/>
    <n v="1"/>
    <x v="2"/>
    <s v="Rachaad White"/>
    <n v="13.6"/>
    <n v="2024"/>
  </r>
  <r>
    <x v="9"/>
    <s v="Tommy"/>
    <n v="1"/>
    <x v="3"/>
    <s v="Evan Engram"/>
    <n v="1"/>
    <n v="2024"/>
  </r>
  <r>
    <x v="9"/>
    <s v="Tommy"/>
    <n v="1"/>
    <x v="5"/>
    <s v="Harrison Butker"/>
    <n v="9"/>
    <n v="2024"/>
  </r>
  <r>
    <x v="9"/>
    <s v="Tommy"/>
    <n v="1"/>
    <x v="4"/>
    <s v="San Francisco"/>
    <n v="7"/>
    <n v="2024"/>
  </r>
  <r>
    <x v="10"/>
    <s v="Brand"/>
    <n v="1"/>
    <x v="0"/>
    <s v="Anthony Richardson"/>
    <n v="26.08"/>
    <n v="2024"/>
  </r>
  <r>
    <x v="10"/>
    <s v="Brand"/>
    <n v="1"/>
    <x v="1"/>
    <s v="Jameson Williams"/>
    <n v="21.9"/>
    <n v="2024"/>
  </r>
  <r>
    <x v="10"/>
    <s v="Brand"/>
    <n v="1"/>
    <x v="1"/>
    <s v="Christian Watson"/>
    <n v="8.8000000000000007"/>
    <n v="2024"/>
  </r>
  <r>
    <x v="10"/>
    <s v="Brand"/>
    <n v="1"/>
    <x v="1"/>
    <s v="Garrett Wilson"/>
    <n v="9"/>
    <n v="2024"/>
  </r>
  <r>
    <x v="10"/>
    <s v="Brand"/>
    <n v="1"/>
    <x v="2"/>
    <s v="Kenneth Walker"/>
    <n v="17.899999999999999"/>
    <n v="2024"/>
  </r>
  <r>
    <x v="10"/>
    <s v="Brand"/>
    <n v="1"/>
    <x v="2"/>
    <s v="Breece Hall"/>
    <n v="15.8"/>
    <n v="2024"/>
  </r>
  <r>
    <x v="10"/>
    <s v="Brand"/>
    <n v="1"/>
    <x v="3"/>
    <s v="Dallas Goedert"/>
    <n v="5.0999999999999996"/>
    <n v="2024"/>
  </r>
  <r>
    <x v="10"/>
    <s v="Brand"/>
    <n v="1"/>
    <x v="5"/>
    <s v="Cairo Santos"/>
    <n v="13"/>
    <n v="2024"/>
  </r>
  <r>
    <x v="10"/>
    <s v="Brand"/>
    <n v="1"/>
    <x v="4"/>
    <s v="New Orleans"/>
    <n v="17"/>
    <n v="2024"/>
  </r>
  <r>
    <x v="11"/>
    <s v="Cam"/>
    <n v="1"/>
    <x v="0"/>
    <s v="Joe Burrow"/>
    <n v="8.06"/>
    <n v="2024"/>
  </r>
  <r>
    <x v="11"/>
    <s v="Cam"/>
    <n v="1"/>
    <x v="1"/>
    <s v="Ja'Marr Chase"/>
    <n v="9.1999999999999993"/>
    <n v="2024"/>
  </r>
  <r>
    <x v="11"/>
    <s v="Cam"/>
    <n v="1"/>
    <x v="1"/>
    <s v="Nico Collins"/>
    <n v="14.7"/>
    <n v="2024"/>
  </r>
  <r>
    <x v="11"/>
    <s v="Cam"/>
    <n v="1"/>
    <x v="1"/>
    <s v="Andrei Iosivas"/>
    <n v="4.0999999999999996"/>
    <n v="2024"/>
  </r>
  <r>
    <x v="11"/>
    <s v="Cam"/>
    <n v="1"/>
    <x v="2"/>
    <s v="Rhamondre Stevenson"/>
    <n v="20.100000000000001"/>
    <n v="2024"/>
  </r>
  <r>
    <x v="11"/>
    <s v="Cam"/>
    <n v="1"/>
    <x v="2"/>
    <s v="Aaron Jones"/>
    <n v="17.899999999999999"/>
    <n v="2024"/>
  </r>
  <r>
    <x v="11"/>
    <s v="Cam"/>
    <n v="1"/>
    <x v="3"/>
    <s v="George Kittle"/>
    <n v="6"/>
    <n v="2024"/>
  </r>
  <r>
    <x v="11"/>
    <s v="Cam"/>
    <n v="1"/>
    <x v="5"/>
    <s v="Evan McPherson"/>
    <n v="6"/>
    <n v="2024"/>
  </r>
  <r>
    <x v="11"/>
    <s v="Cam"/>
    <n v="1"/>
    <x v="4"/>
    <s v="Atlanta"/>
    <n v="4"/>
    <n v="2024"/>
  </r>
  <r>
    <x v="0"/>
    <s v="Brenton"/>
    <n v="2"/>
    <x v="0"/>
    <s v="Baker Mayfield"/>
    <n v="18.8"/>
    <n v="2024"/>
  </r>
  <r>
    <x v="0"/>
    <s v="Brenton"/>
    <n v="2"/>
    <x v="1"/>
    <s v="Tyreek Hill"/>
    <n v="5.0999999999999996"/>
    <n v="2024"/>
  </r>
  <r>
    <x v="0"/>
    <s v="Brenton"/>
    <n v="2"/>
    <x v="1"/>
    <s v="Zay Flowers"/>
    <n v="18.600000000000001"/>
    <n v="2024"/>
  </r>
  <r>
    <x v="0"/>
    <s v="Brenton"/>
    <n v="2"/>
    <x v="1"/>
    <s v="Jayden Reed"/>
    <n v="5.6"/>
    <n v="2024"/>
  </r>
  <r>
    <x v="0"/>
    <s v="Brenton"/>
    <n v="2"/>
    <x v="2"/>
    <s v="Ezekiel Elliott"/>
    <n v="4.2"/>
    <n v="2024"/>
  </r>
  <r>
    <x v="0"/>
    <s v="Brenton"/>
    <n v="2"/>
    <x v="2"/>
    <s v="Jerome Ford"/>
    <n v="6.9"/>
    <n v="2024"/>
  </r>
  <r>
    <x v="0"/>
    <s v="Brenton"/>
    <n v="2"/>
    <x v="3"/>
    <s v="Trey McBride"/>
    <n v="15.7"/>
    <n v="2024"/>
  </r>
  <r>
    <x v="0"/>
    <s v="Brenton"/>
    <n v="2"/>
    <x v="4"/>
    <s v="Tyler Bass"/>
    <n v="7"/>
    <n v="2024"/>
  </r>
  <r>
    <x v="0"/>
    <s v="Brenton"/>
    <n v="2"/>
    <x v="5"/>
    <s v="Jacksonville"/>
    <n v="4"/>
    <n v="2024"/>
  </r>
  <r>
    <x v="2"/>
    <s v="Mike"/>
    <n v="2"/>
    <x v="0"/>
    <s v="Patrick Mahomes"/>
    <n v="12.94"/>
    <n v="2024"/>
  </r>
  <r>
    <x v="2"/>
    <s v="Mike"/>
    <n v="2"/>
    <x v="1"/>
    <s v="Davante Adams"/>
    <n v="21.5"/>
    <n v="2024"/>
  </r>
  <r>
    <x v="2"/>
    <s v="Mike"/>
    <n v="2"/>
    <x v="1"/>
    <s v="Mike Evans"/>
    <n v="5.7"/>
    <n v="2024"/>
  </r>
  <r>
    <x v="2"/>
    <s v="Mike"/>
    <n v="2"/>
    <x v="1"/>
    <s v="Khalil Shakir"/>
    <n v="8.1"/>
    <n v="2024"/>
  </r>
  <r>
    <x v="2"/>
    <s v="Mike"/>
    <n v="2"/>
    <x v="2"/>
    <s v="Derrick Henry"/>
    <n v="16.100000000000001"/>
    <n v="2024"/>
  </r>
  <r>
    <x v="2"/>
    <s v="Mike"/>
    <n v="2"/>
    <x v="2"/>
    <s v="Tyjae Spears"/>
    <n v="4.0999999999999996"/>
    <n v="2024"/>
  </r>
  <r>
    <x v="2"/>
    <s v="Mike"/>
    <n v="2"/>
    <x v="3"/>
    <s v="Sam LaPorta"/>
    <n v="2.2999999999999998"/>
    <n v="2024"/>
  </r>
  <r>
    <x v="2"/>
    <s v="Mike"/>
    <n v="2"/>
    <x v="4"/>
    <s v="Buffalo"/>
    <n v="17"/>
    <n v="2024"/>
  </r>
  <r>
    <x v="2"/>
    <s v="Mike"/>
    <n v="2"/>
    <x v="5"/>
    <s v="Jason Sanders"/>
    <n v="4"/>
    <n v="2024"/>
  </r>
  <r>
    <x v="1"/>
    <s v="Todd"/>
    <n v="2"/>
    <x v="0"/>
    <s v="Dak Prescott"/>
    <n v="12.92"/>
    <n v="2024"/>
  </r>
  <r>
    <x v="1"/>
    <s v="Todd"/>
    <n v="2"/>
    <x v="1"/>
    <s v="Deebo Samuel"/>
    <n v="14"/>
    <n v="2024"/>
  </r>
  <r>
    <x v="1"/>
    <s v="Todd"/>
    <n v="2"/>
    <x v="1"/>
    <s v="Rashee Rice"/>
    <n v="16"/>
    <n v="2024"/>
  </r>
  <r>
    <x v="1"/>
    <s v="Todd"/>
    <n v="2"/>
    <x v="1"/>
    <s v="Calvin Ridley"/>
    <n v="22.7"/>
    <n v="2024"/>
  </r>
  <r>
    <x v="1"/>
    <s v="Todd"/>
    <n v="2"/>
    <x v="2"/>
    <s v="De'Von Achane"/>
    <n v="26"/>
    <n v="2024"/>
  </r>
  <r>
    <x v="1"/>
    <s v="Todd"/>
    <n v="2"/>
    <x v="2"/>
    <s v="James Conner"/>
    <n v="18.899999999999999"/>
    <n v="2024"/>
  </r>
  <r>
    <x v="1"/>
    <s v="Todd"/>
    <n v="2"/>
    <x v="3"/>
    <s v="Kyle Pitts"/>
    <n v="3.5"/>
    <n v="2024"/>
  </r>
  <r>
    <x v="1"/>
    <s v="Todd"/>
    <n v="2"/>
    <x v="4"/>
    <s v="Seattle"/>
    <n v="5"/>
    <n v="2024"/>
  </r>
  <r>
    <x v="1"/>
    <s v="Todd"/>
    <n v="2"/>
    <x v="5"/>
    <s v="Chris Boswell"/>
    <n v="9"/>
    <n v="2024"/>
  </r>
  <r>
    <x v="7"/>
    <s v="Jay"/>
    <n v="2"/>
    <x v="0"/>
    <s v="Lamar Jackson"/>
    <n v="16.38"/>
    <n v="2024"/>
  </r>
  <r>
    <x v="7"/>
    <s v="Jay"/>
    <n v="2"/>
    <x v="1"/>
    <s v="Stefon Diggs"/>
    <n v="5.7"/>
    <n v="2024"/>
  </r>
  <r>
    <x v="7"/>
    <s v="Jay"/>
    <n v="2"/>
    <x v="1"/>
    <s v="Amari Cooper"/>
    <n v="2.6"/>
    <n v="2024"/>
  </r>
  <r>
    <x v="7"/>
    <s v="Jay"/>
    <n v="2"/>
    <x v="1"/>
    <s v="Christian Kirk"/>
    <n v="0.4"/>
    <n v="2024"/>
  </r>
  <r>
    <x v="7"/>
    <s v="Jay"/>
    <n v="2"/>
    <x v="2"/>
    <s v="Alvin Kamara"/>
    <n v="43"/>
    <n v="2024"/>
  </r>
  <r>
    <x v="7"/>
    <s v="Jay"/>
    <n v="2"/>
    <x v="2"/>
    <s v="Jonathan Taylor"/>
    <n v="14.5"/>
    <n v="2024"/>
  </r>
  <r>
    <x v="7"/>
    <s v="Jay"/>
    <n v="2"/>
    <x v="3"/>
    <s v="Mark Andrews"/>
    <n v="7.1"/>
    <n v="2024"/>
  </r>
  <r>
    <x v="7"/>
    <s v="Jay"/>
    <n v="2"/>
    <x v="5"/>
    <s v="Ka'imi Fairbairn"/>
    <n v="20"/>
    <n v="2024"/>
  </r>
  <r>
    <x v="7"/>
    <s v="Jay"/>
    <n v="2"/>
    <x v="4"/>
    <s v="LA Chargers"/>
    <n v="14"/>
    <n v="2024"/>
  </r>
  <r>
    <x v="4"/>
    <s v="Eli"/>
    <n v="2"/>
    <x v="0"/>
    <s v="Jalen Hurts"/>
    <n v="23.82"/>
    <n v="2024"/>
  </r>
  <r>
    <x v="4"/>
    <s v="Eli"/>
    <n v="2"/>
    <x v="1"/>
    <s v="Justin Jefferson"/>
    <n v="21.3"/>
    <n v="2024"/>
  </r>
  <r>
    <x v="4"/>
    <s v="Eli"/>
    <n v="2"/>
    <x v="1"/>
    <s v="DJ Moore"/>
    <n v="8.3000000000000007"/>
    <n v="2024"/>
  </r>
  <r>
    <x v="4"/>
    <s v="Eli"/>
    <n v="2"/>
    <x v="1"/>
    <s v="Demarcus Robinson"/>
    <n v="6"/>
    <n v="2024"/>
  </r>
  <r>
    <x v="4"/>
    <s v="Eli"/>
    <n v="2"/>
    <x v="2"/>
    <s v="Bijan Robinson"/>
    <n v="14.2"/>
    <n v="2024"/>
  </r>
  <r>
    <x v="4"/>
    <s v="Eli"/>
    <n v="2"/>
    <x v="2"/>
    <s v="Jordan Mason"/>
    <n v="16.899999999999999"/>
    <n v="2024"/>
  </r>
  <r>
    <x v="4"/>
    <s v="Eli"/>
    <n v="2"/>
    <x v="3"/>
    <s v="Dalton Schultz"/>
    <n v="3.1"/>
    <n v="2024"/>
  </r>
  <r>
    <x v="4"/>
    <s v="Eli"/>
    <n v="2"/>
    <x v="5"/>
    <s v="Jake Moody"/>
    <n v="5"/>
    <n v="2024"/>
  </r>
  <r>
    <x v="4"/>
    <s v="Eli"/>
    <n v="2"/>
    <x v="4"/>
    <s v="NYJ"/>
    <n v="10"/>
    <n v="2024"/>
  </r>
  <r>
    <x v="6"/>
    <s v="Will"/>
    <n v="2"/>
    <x v="0"/>
    <s v="Geno Smith"/>
    <n v="17.88"/>
    <n v="2024"/>
  </r>
  <r>
    <x v="6"/>
    <s v="Will"/>
    <n v="2"/>
    <x v="1"/>
    <s v="Amon-Ra St. Brown"/>
    <n v="17.399999999999999"/>
    <n v="2024"/>
  </r>
  <r>
    <x v="6"/>
    <s v="Will"/>
    <n v="2"/>
    <x v="1"/>
    <s v="Drake London"/>
    <n v="14.4"/>
    <n v="2024"/>
  </r>
  <r>
    <x v="6"/>
    <s v="Will"/>
    <n v="2"/>
    <x v="1"/>
    <s v="Jaxon Smith-Njigba"/>
    <n v="17.7"/>
    <n v="2024"/>
  </r>
  <r>
    <x v="6"/>
    <s v="Will"/>
    <n v="2"/>
    <x v="2"/>
    <s v="Travis Etienne"/>
    <n v="13.3"/>
    <n v="2024"/>
  </r>
  <r>
    <x v="6"/>
    <s v="Will"/>
    <n v="2"/>
    <x v="2"/>
    <s v="Zach Charbonet"/>
    <n v="15.4"/>
    <n v="2024"/>
  </r>
  <r>
    <x v="6"/>
    <s v="Will"/>
    <n v="2"/>
    <x v="3"/>
    <s v="Travis Kelce"/>
    <n v="1.1000000000000001"/>
    <n v="2024"/>
  </r>
  <r>
    <x v="6"/>
    <s v="Will"/>
    <n v="2"/>
    <x v="5"/>
    <s v="Jason Myers"/>
    <n v="12"/>
    <n v="2024"/>
  </r>
  <r>
    <x v="6"/>
    <s v="Will"/>
    <n v="2"/>
    <x v="4"/>
    <s v="Houston"/>
    <n v="16"/>
    <n v="2024"/>
  </r>
  <r>
    <x v="8"/>
    <s v="Schulwolf"/>
    <n v="2"/>
    <x v="0"/>
    <s v="Jayden Daniels"/>
    <n v="13.44"/>
    <n v="2024"/>
  </r>
  <r>
    <x v="8"/>
    <s v="Schulwolf"/>
    <n v="2"/>
    <x v="1"/>
    <s v="Chris Godwin"/>
    <n v="21.2"/>
    <n v="2024"/>
  </r>
  <r>
    <x v="8"/>
    <s v="Schulwolf"/>
    <n v="2"/>
    <x v="1"/>
    <s v="DeVonta Smith"/>
    <n v="17.100000000000001"/>
    <n v="2024"/>
  </r>
  <r>
    <x v="8"/>
    <s v="Schulwolf"/>
    <n v="2"/>
    <x v="1"/>
    <s v="Cooper Kupp"/>
    <n v="5.7"/>
    <n v="2024"/>
  </r>
  <r>
    <x v="8"/>
    <s v="Schulwolf"/>
    <n v="2"/>
    <x v="2"/>
    <s v="James Cook"/>
    <n v="28"/>
    <n v="2024"/>
  </r>
  <r>
    <x v="8"/>
    <s v="Schulwolf"/>
    <n v="2"/>
    <x v="2"/>
    <s v="Jahmyr Gibbs"/>
    <n v="14.1"/>
    <n v="2024"/>
  </r>
  <r>
    <x v="8"/>
    <s v="Schulwolf"/>
    <n v="2"/>
    <x v="3"/>
    <s v="Dalton Kincaid"/>
    <n v="5.3"/>
    <n v="2024"/>
  </r>
  <r>
    <x v="8"/>
    <s v="Schulwolf"/>
    <n v="2"/>
    <x v="5"/>
    <s v="Brandon Aubrey"/>
    <n v="17"/>
    <n v="2024"/>
  </r>
  <r>
    <x v="8"/>
    <s v="Schulwolf"/>
    <n v="2"/>
    <x v="4"/>
    <s v="Dallas"/>
    <n v="-3"/>
    <n v="2024"/>
  </r>
  <r>
    <x v="3"/>
    <s v="Kevin"/>
    <n v="2"/>
    <x v="0"/>
    <s v="CJ Stroud"/>
    <n v="14.3"/>
    <n v="2024"/>
  </r>
  <r>
    <x v="3"/>
    <s v="Kevin"/>
    <n v="2"/>
    <x v="1"/>
    <s v="Marvin Harrison Jr"/>
    <n v="27"/>
    <n v="2024"/>
  </r>
  <r>
    <x v="3"/>
    <s v="Kevin"/>
    <n v="2"/>
    <x v="1"/>
    <s v="Chris Olave"/>
    <n v="10.8"/>
    <n v="2024"/>
  </r>
  <r>
    <x v="3"/>
    <s v="Kevin"/>
    <n v="2"/>
    <x v="1"/>
    <s v="George Pickens"/>
    <n v="3.9"/>
    <n v="2024"/>
  </r>
  <r>
    <x v="3"/>
    <s v="Kevin"/>
    <n v="2"/>
    <x v="2"/>
    <s v="Isiah Pacheco"/>
    <n v="13.6"/>
    <n v="2024"/>
  </r>
  <r>
    <x v="3"/>
    <s v="Kevin"/>
    <n v="2"/>
    <x v="2"/>
    <s v="Najee Harris"/>
    <n v="7.9"/>
    <n v="2024"/>
  </r>
  <r>
    <x v="3"/>
    <s v="Kevin"/>
    <n v="2"/>
    <x v="3"/>
    <s v="Hunter Henry"/>
    <n v="14.9"/>
    <n v="2024"/>
  </r>
  <r>
    <x v="3"/>
    <s v="Kevin"/>
    <n v="2"/>
    <x v="5"/>
    <s v="Justin Tucker"/>
    <n v="13"/>
    <n v="2024"/>
  </r>
  <r>
    <x v="3"/>
    <s v="Kevin"/>
    <n v="2"/>
    <x v="4"/>
    <s v="Cleveland"/>
    <n v="9"/>
    <n v="2024"/>
  </r>
  <r>
    <x v="10"/>
    <s v="Brand"/>
    <n v="2"/>
    <x v="0"/>
    <s v="Anthony Richardson"/>
    <n v="9.86"/>
    <n v="2024"/>
  </r>
  <r>
    <x v="10"/>
    <s v="Brand"/>
    <n v="2"/>
    <x v="1"/>
    <s v="Jameson Williams"/>
    <n v="11.9"/>
    <n v="2024"/>
  </r>
  <r>
    <x v="10"/>
    <s v="Brand"/>
    <n v="2"/>
    <x v="1"/>
    <s v="Garrett Wilson"/>
    <n v="8.1999999999999993"/>
    <n v="2024"/>
  </r>
  <r>
    <x v="10"/>
    <s v="Brand"/>
    <n v="2"/>
    <x v="1"/>
    <s v="Michael Pittman"/>
    <n v="3.6"/>
    <n v="2024"/>
  </r>
  <r>
    <x v="10"/>
    <s v="Brand"/>
    <n v="2"/>
    <x v="2"/>
    <s v="Breece Hall"/>
    <n v="20.9"/>
    <n v="2024"/>
  </r>
  <r>
    <x v="10"/>
    <s v="Brand"/>
    <n v="2"/>
    <x v="2"/>
    <s v="Bucky Irving"/>
    <n v="2.2000000000000002"/>
    <n v="2024"/>
  </r>
  <r>
    <x v="10"/>
    <s v="Brand"/>
    <n v="2"/>
    <x v="3"/>
    <s v="Dallas Goedert"/>
    <n v="5.3"/>
    <n v="2024"/>
  </r>
  <r>
    <x v="10"/>
    <s v="Brand"/>
    <n v="2"/>
    <x v="5"/>
    <s v="Cairo Santos"/>
    <n v="11"/>
    <n v="2024"/>
  </r>
  <r>
    <x v="10"/>
    <s v="Brand"/>
    <n v="2"/>
    <x v="4"/>
    <s v="Indianapolis"/>
    <n v="2"/>
    <n v="2024"/>
  </r>
  <r>
    <x v="9"/>
    <s v="Tommy"/>
    <n v="2"/>
    <x v="0"/>
    <s v="Josh Allen"/>
    <n v="9.76"/>
    <n v="2024"/>
  </r>
  <r>
    <x v="9"/>
    <s v="Tommy"/>
    <n v="2"/>
    <x v="1"/>
    <s v="DK Metcalf"/>
    <n v="23.9"/>
    <n v="2024"/>
  </r>
  <r>
    <x v="9"/>
    <s v="Tommy"/>
    <n v="2"/>
    <x v="1"/>
    <s v="Malik Nabers"/>
    <n v="23.7"/>
    <n v="2024"/>
  </r>
  <r>
    <x v="9"/>
    <s v="Tommy"/>
    <n v="2"/>
    <x v="1"/>
    <s v="Xavier Worthy"/>
    <n v="3.2"/>
    <n v="2024"/>
  </r>
  <r>
    <x v="9"/>
    <s v="Tommy"/>
    <n v="2"/>
    <x v="2"/>
    <s v="Saquon Barkley"/>
    <n v="15.6"/>
    <n v="2024"/>
  </r>
  <r>
    <x v="9"/>
    <s v="Tommy"/>
    <n v="2"/>
    <x v="2"/>
    <s v="Kyren Williams"/>
    <n v="13.2"/>
    <n v="2024"/>
  </r>
  <r>
    <x v="9"/>
    <s v="Tommy"/>
    <n v="2"/>
    <x v="3"/>
    <s v="Evan Engram"/>
    <n v="0"/>
    <n v="2024"/>
  </r>
  <r>
    <x v="9"/>
    <s v="Tommy"/>
    <n v="2"/>
    <x v="5"/>
    <s v="Harrison Butker"/>
    <n v="10"/>
    <n v="2024"/>
  </r>
  <r>
    <x v="9"/>
    <s v="Tommy"/>
    <n v="2"/>
    <x v="4"/>
    <s v="San Francisco"/>
    <n v="4"/>
    <n v="2024"/>
  </r>
  <r>
    <x v="11"/>
    <s v="Cam"/>
    <n v="2"/>
    <x v="0"/>
    <s v="Kyler Murray"/>
    <n v="28.54"/>
    <n v="2024"/>
  </r>
  <r>
    <x v="11"/>
    <s v="Cam"/>
    <n v="2"/>
    <x v="1"/>
    <s v="Nico Collins"/>
    <n v="23.5"/>
    <n v="2024"/>
  </r>
  <r>
    <x v="11"/>
    <s v="Cam"/>
    <n v="2"/>
    <x v="1"/>
    <s v="Ja'Marr Chase"/>
    <n v="5.5"/>
    <n v="2024"/>
  </r>
  <r>
    <x v="11"/>
    <s v="Cam"/>
    <n v="2"/>
    <x v="1"/>
    <s v="Brandon Aiyuk"/>
    <n v="6.3"/>
    <n v="2024"/>
  </r>
  <r>
    <x v="11"/>
    <s v="Cam"/>
    <n v="2"/>
    <x v="2"/>
    <s v="Rhamondre Stevenson"/>
    <n v="16"/>
    <n v="2024"/>
  </r>
  <r>
    <x v="11"/>
    <s v="Cam"/>
    <n v="2"/>
    <x v="2"/>
    <s v="JK Dobbins"/>
    <n v="19.600000000000001"/>
    <n v="2024"/>
  </r>
  <r>
    <x v="11"/>
    <s v="Cam"/>
    <n v="2"/>
    <x v="3"/>
    <s v="George Kittle"/>
    <n v="17.100000000000001"/>
    <n v="2024"/>
  </r>
  <r>
    <x v="11"/>
    <s v="Cam"/>
    <n v="2"/>
    <x v="5"/>
    <s v="Evan McPherson"/>
    <n v="15"/>
    <n v="2024"/>
  </r>
  <r>
    <x v="11"/>
    <s v="Cam"/>
    <n v="2"/>
    <x v="4"/>
    <s v="Baltimore"/>
    <n v="8"/>
    <n v="2024"/>
  </r>
  <r>
    <x v="5"/>
    <s v="Burnett/Jasjaap"/>
    <n v="2"/>
    <x v="0"/>
    <s v="Brock Purdy"/>
    <n v="13.96"/>
    <n v="2024"/>
  </r>
  <r>
    <x v="5"/>
    <s v="Burnett/Jasjaap"/>
    <n v="2"/>
    <x v="1"/>
    <s v="CeeDee Lamb"/>
    <n v="17"/>
    <n v="2024"/>
  </r>
  <r>
    <x v="5"/>
    <s v="Burnett/Jasjaap"/>
    <n v="2"/>
    <x v="1"/>
    <s v="Jaylen Waddle"/>
    <n v="6.5"/>
    <n v="2024"/>
  </r>
  <r>
    <x v="5"/>
    <s v="Burnett/Jasjaap"/>
    <n v="2"/>
    <x v="1"/>
    <s v="Rashid Shaheed"/>
    <n v="18.899999999999999"/>
    <n v="2024"/>
  </r>
  <r>
    <x v="5"/>
    <s v="Burnett/Jasjaap"/>
    <n v="2"/>
    <x v="2"/>
    <s v="David Montgomery"/>
    <n v="15"/>
    <n v="2024"/>
  </r>
  <r>
    <x v="5"/>
    <s v="Burnett/Jasjaap"/>
    <n v="2"/>
    <x v="2"/>
    <s v="Josh Jacobs"/>
    <n v="13.1"/>
    <n v="2024"/>
  </r>
  <r>
    <x v="5"/>
    <s v="Burnett/Jasjaap"/>
    <n v="2"/>
    <x v="3"/>
    <s v="Brock Bowers"/>
    <n v="14.3"/>
    <n v="2024"/>
  </r>
  <r>
    <x v="5"/>
    <s v="Burnett/Jasjaap"/>
    <n v="2"/>
    <x v="5"/>
    <s v="Jake Elliott"/>
    <n v="7"/>
    <n v="2024"/>
  </r>
  <r>
    <x v="5"/>
    <s v="Burnett/Jasjaap"/>
    <n v="2"/>
    <x v="4"/>
    <s v="Pittsburgh"/>
    <n v="14"/>
    <n v="2024"/>
  </r>
  <r>
    <x v="0"/>
    <s v="Brenton"/>
    <n v="3"/>
    <x v="0"/>
    <s v="Derek Carr"/>
    <n v="7.98"/>
    <n v="2024"/>
  </r>
  <r>
    <x v="0"/>
    <s v="Brenton"/>
    <n v="3"/>
    <x v="1"/>
    <s v="Tyreek Hill"/>
    <n v="5.5"/>
    <n v="2024"/>
  </r>
  <r>
    <x v="0"/>
    <s v="Brenton"/>
    <n v="3"/>
    <x v="1"/>
    <s v="Zay Flowers"/>
    <n v="3.8"/>
    <n v="2024"/>
  </r>
  <r>
    <x v="0"/>
    <s v="Brenton"/>
    <n v="3"/>
    <x v="1"/>
    <s v="Jayden Reed"/>
    <n v="8.9"/>
    <n v="2024"/>
  </r>
  <r>
    <x v="0"/>
    <s v="Brenton"/>
    <n v="3"/>
    <x v="2"/>
    <s v="Cam Akers"/>
    <n v="9.4"/>
    <n v="2024"/>
  </r>
  <r>
    <x v="0"/>
    <s v="Brenton"/>
    <n v="3"/>
    <x v="2"/>
    <s v="Jerome Ford"/>
    <n v="8.5"/>
    <n v="2024"/>
  </r>
  <r>
    <x v="0"/>
    <s v="Brenton"/>
    <n v="3"/>
    <x v="3"/>
    <s v="Trey McBride"/>
    <n v="4"/>
    <n v="2024"/>
  </r>
  <r>
    <x v="0"/>
    <s v="Brenton"/>
    <n v="3"/>
    <x v="5"/>
    <s v="Tyler Bass"/>
    <n v="11"/>
    <n v="2024"/>
  </r>
  <r>
    <x v="0"/>
    <s v="Brenton"/>
    <n v="3"/>
    <x v="4"/>
    <s v="Tampa Bay"/>
    <n v="1"/>
    <n v="2024"/>
  </r>
  <r>
    <x v="3"/>
    <s v="Kevin"/>
    <n v="3"/>
    <x v="0"/>
    <s v="CJ Stroud"/>
    <n v="9.8000000000000007"/>
    <n v="2024"/>
  </r>
  <r>
    <x v="3"/>
    <s v="Kevin"/>
    <n v="3"/>
    <x v="1"/>
    <s v="Chris Olave"/>
    <n v="17.600000000000001"/>
    <n v="2024"/>
  </r>
  <r>
    <x v="3"/>
    <s v="Kevin"/>
    <n v="3"/>
    <x v="1"/>
    <s v="Marvin Harrison Jr"/>
    <n v="14.9"/>
    <n v="2024"/>
  </r>
  <r>
    <x v="3"/>
    <s v="Kevin"/>
    <n v="3"/>
    <x v="1"/>
    <s v="George Pickens"/>
    <n v="8.1999999999999993"/>
    <n v="2024"/>
  </r>
  <r>
    <x v="3"/>
    <s v="Kevin"/>
    <n v="3"/>
    <x v="2"/>
    <s v="Najee Harris"/>
    <n v="11.1"/>
    <n v="2024"/>
  </r>
  <r>
    <x v="3"/>
    <s v="Kevin"/>
    <n v="3"/>
    <x v="2"/>
    <s v="Joe Mixon"/>
    <n v="0"/>
    <n v="2024"/>
  </r>
  <r>
    <x v="3"/>
    <s v="Kevin"/>
    <n v="3"/>
    <x v="3"/>
    <s v="Hunter Henry"/>
    <n v="1.9"/>
    <n v="2024"/>
  </r>
  <r>
    <x v="3"/>
    <s v="Kevin"/>
    <n v="3"/>
    <x v="5"/>
    <s v="Justin Tucker"/>
    <n v="3"/>
    <n v="2024"/>
  </r>
  <r>
    <x v="3"/>
    <s v="Kevin"/>
    <n v="3"/>
    <x v="4"/>
    <s v="Cleveland"/>
    <n v="5"/>
    <n v="2024"/>
  </r>
  <r>
    <x v="2"/>
    <s v="Mike"/>
    <n v="3"/>
    <x v="0"/>
    <s v="Patrick Mahomes"/>
    <n v="16.38"/>
    <n v="2024"/>
  </r>
  <r>
    <x v="2"/>
    <s v="Mike"/>
    <n v="3"/>
    <x v="1"/>
    <s v="Tank Dell"/>
    <n v="8.6999999999999993"/>
    <n v="2024"/>
  </r>
  <r>
    <x v="2"/>
    <s v="Mike"/>
    <n v="3"/>
    <x v="1"/>
    <s v="Davante Adams"/>
    <n v="6"/>
    <n v="2024"/>
  </r>
  <r>
    <x v="2"/>
    <s v="Mike"/>
    <n v="3"/>
    <x v="1"/>
    <s v="Khalil Shakir"/>
    <n v="16.2"/>
    <n v="2024"/>
  </r>
  <r>
    <x v="2"/>
    <s v="Mike"/>
    <n v="3"/>
    <x v="2"/>
    <s v="Derrick Henry"/>
    <n v="29.9"/>
    <n v="2024"/>
  </r>
  <r>
    <x v="2"/>
    <s v="Mike"/>
    <n v="3"/>
    <x v="2"/>
    <s v="Carson Steele"/>
    <n v="7.9"/>
    <n v="2024"/>
  </r>
  <r>
    <x v="2"/>
    <s v="Mike"/>
    <n v="3"/>
    <x v="3"/>
    <s v="Sam LaPorta"/>
    <n v="4.5999999999999996"/>
    <n v="2024"/>
  </r>
  <r>
    <x v="2"/>
    <s v="Mike"/>
    <n v="3"/>
    <x v="5"/>
    <s v="Younghoe Koo"/>
    <n v="7"/>
    <n v="2024"/>
  </r>
  <r>
    <x v="2"/>
    <s v="Mike"/>
    <n v="3"/>
    <x v="4"/>
    <s v="Buffalo"/>
    <n v="14"/>
    <n v="2024"/>
  </r>
  <r>
    <x v="7"/>
    <s v="Jay"/>
    <n v="3"/>
    <x v="0"/>
    <s v="Lamar Jackson"/>
    <n v="25.98"/>
    <n v="2024"/>
  </r>
  <r>
    <x v="7"/>
    <s v="Jay"/>
    <n v="3"/>
    <x v="1"/>
    <s v="Amari Cooper"/>
    <n v="24.1"/>
    <n v="2024"/>
  </r>
  <r>
    <x v="7"/>
    <s v="Jay"/>
    <n v="3"/>
    <x v="1"/>
    <s v="Stefon Diggs"/>
    <n v="14.92"/>
    <n v="2024"/>
  </r>
  <r>
    <x v="7"/>
    <s v="Jay"/>
    <n v="3"/>
    <x v="1"/>
    <s v="Tee Higgins"/>
    <n v="5.4"/>
    <n v="2024"/>
  </r>
  <r>
    <x v="7"/>
    <s v="Jay"/>
    <n v="3"/>
    <x v="2"/>
    <s v="Jonathan Taylor"/>
    <n v="26"/>
    <n v="2024"/>
  </r>
  <r>
    <x v="7"/>
    <s v="Jay"/>
    <n v="3"/>
    <x v="2"/>
    <s v="Alvin Kamara"/>
    <n v="14.2"/>
    <n v="2024"/>
  </r>
  <r>
    <x v="7"/>
    <s v="Jay"/>
    <n v="3"/>
    <x v="3"/>
    <s v="Mark Andrews"/>
    <n v="0"/>
    <n v="2024"/>
  </r>
  <r>
    <x v="7"/>
    <s v="Jay"/>
    <n v="3"/>
    <x v="5"/>
    <s v="Ka'imi Fairbairn"/>
    <n v="1"/>
    <n v="2024"/>
  </r>
  <r>
    <x v="7"/>
    <s v="Jay"/>
    <n v="3"/>
    <x v="4"/>
    <s v="Cincinnati"/>
    <n v="-3"/>
    <n v="2024"/>
  </r>
  <r>
    <x v="1"/>
    <s v="Todd"/>
    <n v="3"/>
    <x v="0"/>
    <s v="Dak Prescott"/>
    <n v="29.86"/>
    <n v="2024"/>
  </r>
  <r>
    <x v="1"/>
    <s v="Todd"/>
    <n v="3"/>
    <x v="1"/>
    <s v="Rashee Rice"/>
    <n v="23.1"/>
    <n v="2024"/>
  </r>
  <r>
    <x v="1"/>
    <s v="Todd"/>
    <n v="3"/>
    <x v="1"/>
    <s v="Brian Thomas Jr"/>
    <n v="7.3"/>
    <n v="2024"/>
  </r>
  <r>
    <x v="1"/>
    <s v="Todd"/>
    <n v="3"/>
    <x v="1"/>
    <s v="Calvin Ridley"/>
    <n v="1.4"/>
    <n v="2024"/>
  </r>
  <r>
    <x v="1"/>
    <s v="Todd"/>
    <n v="3"/>
    <x v="2"/>
    <s v="De'Von Achane"/>
    <n v="7.3"/>
    <n v="2024"/>
  </r>
  <r>
    <x v="1"/>
    <s v="Todd"/>
    <n v="3"/>
    <x v="2"/>
    <s v="D'Andre Swift"/>
    <n v="5.2"/>
    <n v="2024"/>
  </r>
  <r>
    <x v="1"/>
    <s v="Todd"/>
    <n v="3"/>
    <x v="3"/>
    <s v="Kyle Pitts"/>
    <n v="6.9"/>
    <n v="2024"/>
  </r>
  <r>
    <x v="1"/>
    <s v="Todd"/>
    <n v="3"/>
    <x v="5"/>
    <s v="Chris Boswell"/>
    <n v="8"/>
    <n v="2024"/>
  </r>
  <r>
    <x v="1"/>
    <s v="Todd"/>
    <n v="3"/>
    <x v="4"/>
    <s v="Las Vegas"/>
    <n v="-6"/>
    <n v="2024"/>
  </r>
  <r>
    <x v="4"/>
    <s v="Eli"/>
    <n v="3"/>
    <x v="0"/>
    <s v="Jalen Hurts"/>
    <n v="10.94"/>
    <n v="2024"/>
  </r>
  <r>
    <x v="4"/>
    <s v="Eli"/>
    <n v="3"/>
    <x v="1"/>
    <s v="Justin Jefferson"/>
    <n v="17.100000000000001"/>
    <n v="2024"/>
  </r>
  <r>
    <x v="4"/>
    <s v="Eli"/>
    <n v="3"/>
    <x v="1"/>
    <s v="Rome Odunze"/>
    <n v="20.399999999999999"/>
    <n v="2024"/>
  </r>
  <r>
    <x v="4"/>
    <s v="Eli"/>
    <n v="3"/>
    <x v="1"/>
    <s v="DJ Moore"/>
    <n v="11.2"/>
    <n v="2024"/>
  </r>
  <r>
    <x v="4"/>
    <s v="Eli"/>
    <n v="3"/>
    <x v="2"/>
    <s v="Bijan Robinson"/>
    <n v="12.2"/>
    <n v="2024"/>
  </r>
  <r>
    <x v="4"/>
    <s v="Eli"/>
    <n v="3"/>
    <x v="2"/>
    <s v="Jordan Mason"/>
    <n v="9.8000000000000007"/>
    <n v="2024"/>
  </r>
  <r>
    <x v="4"/>
    <s v="Eli"/>
    <n v="3"/>
    <x v="3"/>
    <s v="Dalton Schultz"/>
    <n v="2.1"/>
    <n v="2024"/>
  </r>
  <r>
    <x v="4"/>
    <s v="Eli"/>
    <n v="3"/>
    <x v="5"/>
    <s v="Jake Moody"/>
    <n v="6"/>
    <n v="2024"/>
  </r>
  <r>
    <x v="4"/>
    <s v="Eli"/>
    <n v="3"/>
    <x v="4"/>
    <s v="NYJ"/>
    <n v="19"/>
    <n v="2024"/>
  </r>
  <r>
    <x v="6"/>
    <s v="Will"/>
    <n v="3"/>
    <x v="0"/>
    <s v="Geno Smith"/>
    <n v="11.36"/>
    <n v="2024"/>
  </r>
  <r>
    <x v="6"/>
    <s v="Will"/>
    <n v="3"/>
    <x v="1"/>
    <s v="Amon-Ra St. Brown"/>
    <n v="17"/>
    <n v="2024"/>
  </r>
  <r>
    <x v="6"/>
    <s v="Will"/>
    <n v="3"/>
    <x v="1"/>
    <s v="Drake London"/>
    <n v="15.7"/>
    <n v="2024"/>
  </r>
  <r>
    <x v="6"/>
    <s v="Will"/>
    <n v="3"/>
    <x v="1"/>
    <s v="Ladd McConkey"/>
    <n v="5.9"/>
    <n v="2024"/>
  </r>
  <r>
    <x v="6"/>
    <s v="Will"/>
    <n v="3"/>
    <x v="2"/>
    <s v="Zach Charbonet"/>
    <n v="24.2"/>
    <n v="2024"/>
  </r>
  <r>
    <x v="6"/>
    <s v="Will"/>
    <n v="3"/>
    <x v="2"/>
    <s v="Travis Etienne"/>
    <n v="10.5"/>
    <n v="2024"/>
  </r>
  <r>
    <x v="6"/>
    <s v="Will"/>
    <n v="3"/>
    <x v="3"/>
    <s v="Travis Kelce"/>
    <n v="5"/>
    <n v="2024"/>
  </r>
  <r>
    <x v="6"/>
    <s v="Will"/>
    <n v="3"/>
    <x v="5"/>
    <s v="Jason Myers"/>
    <n v="8"/>
    <n v="2024"/>
  </r>
  <r>
    <x v="6"/>
    <s v="Will"/>
    <n v="3"/>
    <x v="4"/>
    <s v="Houston"/>
    <n v="4"/>
    <n v="2024"/>
  </r>
  <r>
    <x v="11"/>
    <s v="Cam"/>
    <n v="3"/>
    <x v="0"/>
    <s v="Joe Burrow"/>
    <n v="25.36"/>
    <n v="2024"/>
  </r>
  <r>
    <x v="11"/>
    <s v="Cam"/>
    <n v="3"/>
    <x v="1"/>
    <s v="Ja'Marr Chase"/>
    <n v="26.8"/>
    <n v="2024"/>
  </r>
  <r>
    <x v="11"/>
    <s v="Cam"/>
    <n v="3"/>
    <x v="1"/>
    <s v="Nico Collins"/>
    <n v="10.6"/>
    <n v="2024"/>
  </r>
  <r>
    <x v="11"/>
    <s v="Cam"/>
    <n v="3"/>
    <x v="1"/>
    <s v="Brandon Aiyuk"/>
    <n v="7.3"/>
    <n v="2024"/>
  </r>
  <r>
    <x v="11"/>
    <s v="Cam"/>
    <n v="3"/>
    <x v="2"/>
    <s v="Aaron Jones"/>
    <n v="23.3"/>
    <n v="2024"/>
  </r>
  <r>
    <x v="11"/>
    <s v="Cam"/>
    <n v="3"/>
    <x v="2"/>
    <s v="JK Dobbins"/>
    <n v="6.9"/>
    <n v="2024"/>
  </r>
  <r>
    <x v="11"/>
    <s v="Cam"/>
    <n v="3"/>
    <x v="3"/>
    <s v="Pat Freiermuth"/>
    <n v="5.3"/>
    <n v="2024"/>
  </r>
  <r>
    <x v="11"/>
    <s v="Cam"/>
    <n v="3"/>
    <x v="5"/>
    <s v="Evan McPherson"/>
    <n v="8"/>
    <n v="2024"/>
  </r>
  <r>
    <x v="11"/>
    <s v="Cam"/>
    <n v="3"/>
    <x v="4"/>
    <s v="Chicago"/>
    <n v="4"/>
    <n v="2024"/>
  </r>
  <r>
    <x v="8"/>
    <s v="Schulwolf"/>
    <n v="3"/>
    <x v="0"/>
    <s v="Jayden Daniels"/>
    <n v="28.06"/>
    <n v="2024"/>
  </r>
  <r>
    <x v="8"/>
    <s v="Schulwolf"/>
    <n v="3"/>
    <x v="1"/>
    <s v="Chris Godwin"/>
    <n v="14.3"/>
    <n v="2024"/>
  </r>
  <r>
    <x v="8"/>
    <s v="Schulwolf"/>
    <n v="3"/>
    <x v="1"/>
    <s v="DeVonta Smith"/>
    <n v="11.4"/>
    <n v="2024"/>
  </r>
  <r>
    <x v="8"/>
    <s v="Schulwolf"/>
    <n v="3"/>
    <x v="1"/>
    <s v="Jerry Jeudy"/>
    <n v="6.7"/>
    <n v="2024"/>
  </r>
  <r>
    <x v="8"/>
    <s v="Schulwolf"/>
    <n v="3"/>
    <x v="2"/>
    <s v="Zack Moss"/>
    <n v="18.2"/>
    <n v="2024"/>
  </r>
  <r>
    <x v="8"/>
    <s v="Schulwolf"/>
    <n v="3"/>
    <x v="2"/>
    <s v="James Cook"/>
    <n v="16.7"/>
    <n v="2024"/>
  </r>
  <r>
    <x v="8"/>
    <s v="Schulwolf"/>
    <n v="3"/>
    <x v="3"/>
    <s v="Dalton Kincaid"/>
    <n v="11.6"/>
    <n v="2024"/>
  </r>
  <r>
    <x v="8"/>
    <s v="Schulwolf"/>
    <n v="3"/>
    <x v="5"/>
    <s v="Brandon Aubrey"/>
    <n v="11"/>
    <n v="2024"/>
  </r>
  <r>
    <x v="8"/>
    <s v="Schulwolf"/>
    <n v="3"/>
    <x v="4"/>
    <s v="Dallas"/>
    <n v="-5"/>
    <n v="2024"/>
  </r>
  <r>
    <x v="10"/>
    <s v="Brand"/>
    <n v="3"/>
    <x v="0"/>
    <s v="Anthony Richardson"/>
    <n v="5.08"/>
    <n v="2024"/>
  </r>
  <r>
    <x v="10"/>
    <s v="Brand"/>
    <n v="3"/>
    <x v="1"/>
    <s v="Garrett Wilson"/>
    <n v="11.8"/>
    <n v="2024"/>
  </r>
  <r>
    <x v="10"/>
    <s v="Brand"/>
    <n v="3"/>
    <x v="1"/>
    <s v="Michael Pittman"/>
    <n v="5.6"/>
    <n v="2024"/>
  </r>
  <r>
    <x v="10"/>
    <s v="Brand"/>
    <n v="3"/>
    <x v="1"/>
    <s v="Brandin Cooks"/>
    <n v="2.6"/>
    <n v="2024"/>
  </r>
  <r>
    <x v="10"/>
    <s v="Brand"/>
    <n v="3"/>
    <x v="2"/>
    <s v="Breece Hall"/>
    <n v="16.3"/>
    <n v="2024"/>
  </r>
  <r>
    <x v="10"/>
    <s v="Brand"/>
    <n v="3"/>
    <x v="2"/>
    <s v="Bucky Irving"/>
    <n v="9.9"/>
    <n v="2024"/>
  </r>
  <r>
    <x v="10"/>
    <s v="Brand"/>
    <n v="3"/>
    <x v="3"/>
    <s v="Dallas Goedert"/>
    <n v="22"/>
    <n v="2024"/>
  </r>
  <r>
    <x v="10"/>
    <s v="Brand"/>
    <n v="3"/>
    <x v="5"/>
    <s v="Cairo Santos"/>
    <n v="6"/>
    <n v="2024"/>
  </r>
  <r>
    <x v="10"/>
    <s v="Brand"/>
    <n v="3"/>
    <x v="4"/>
    <s v="Indianapolis"/>
    <n v="10"/>
    <n v="2024"/>
  </r>
  <r>
    <x v="9"/>
    <s v="Tommy"/>
    <n v="3"/>
    <x v="0"/>
    <s v="Josh Allen"/>
    <n v="30.92"/>
    <n v="2024"/>
  </r>
  <r>
    <x v="9"/>
    <s v="Tommy"/>
    <n v="3"/>
    <x v="1"/>
    <s v="Malik Nabers"/>
    <n v="24.2"/>
    <n v="2024"/>
  </r>
  <r>
    <x v="9"/>
    <s v="Tommy"/>
    <n v="3"/>
    <x v="1"/>
    <s v="DK Metcalf"/>
    <n v="18.399999999999999"/>
    <n v="2024"/>
  </r>
  <r>
    <x v="9"/>
    <s v="Tommy"/>
    <n v="3"/>
    <x v="1"/>
    <s v="Xavier Worthy"/>
    <n v="4"/>
    <n v="2024"/>
  </r>
  <r>
    <x v="9"/>
    <s v="Tommy"/>
    <n v="3"/>
    <x v="2"/>
    <s v="Saquon Barkley"/>
    <n v="31.6"/>
    <n v="2024"/>
  </r>
  <r>
    <x v="9"/>
    <s v="Tommy"/>
    <n v="3"/>
    <x v="2"/>
    <s v="Kyren Williams"/>
    <n v="30.6"/>
    <n v="2024"/>
  </r>
  <r>
    <x v="9"/>
    <s v="Tommy"/>
    <n v="3"/>
    <x v="3"/>
    <s v="Mike Gesicki"/>
    <n v="6.7"/>
    <n v="2024"/>
  </r>
  <r>
    <x v="9"/>
    <s v="Tommy"/>
    <n v="3"/>
    <x v="5"/>
    <s v="Harrison Butker"/>
    <n v="12"/>
    <n v="2024"/>
  </r>
  <r>
    <x v="9"/>
    <s v="Tommy"/>
    <n v="3"/>
    <x v="4"/>
    <s v="San Francisco"/>
    <n v="4"/>
    <n v="2024"/>
  </r>
  <r>
    <x v="5"/>
    <s v="Burnett/Jasjaap"/>
    <n v="3"/>
    <x v="0"/>
    <s v="Brock Purdy"/>
    <n v="25.78"/>
    <n v="2024"/>
  </r>
  <r>
    <x v="5"/>
    <s v="Burnett/Jasjaap"/>
    <n v="3"/>
    <x v="1"/>
    <s v="CeeDee Lamb"/>
    <n v="6.7"/>
    <n v="2024"/>
  </r>
  <r>
    <x v="5"/>
    <s v="Burnett/Jasjaap"/>
    <n v="3"/>
    <x v="1"/>
    <s v="Jaylen Waddle"/>
    <n v="4.5999999999999996"/>
    <n v="2024"/>
  </r>
  <r>
    <x v="5"/>
    <s v="Burnett/Jasjaap"/>
    <n v="3"/>
    <x v="1"/>
    <s v="Rashid Shaheed"/>
    <n v="0"/>
    <n v="2024"/>
  </r>
  <r>
    <x v="5"/>
    <s v="Burnett/Jasjaap"/>
    <n v="3"/>
    <x v="2"/>
    <s v="David Montgomery"/>
    <n v="19.7"/>
    <n v="2024"/>
  </r>
  <r>
    <x v="5"/>
    <s v="Burnett/Jasjaap"/>
    <n v="3"/>
    <x v="2"/>
    <s v="Josh Jacobs"/>
    <n v="5.3"/>
    <n v="2024"/>
  </r>
  <r>
    <x v="5"/>
    <s v="Burnett/Jasjaap"/>
    <n v="3"/>
    <x v="3"/>
    <s v="Brock Bowers"/>
    <n v="5.6"/>
    <n v="2024"/>
  </r>
  <r>
    <x v="5"/>
    <s v="Burnett/Jasjaap"/>
    <n v="3"/>
    <x v="5"/>
    <s v="Jake Elliott"/>
    <n v="1"/>
    <n v="2024"/>
  </r>
  <r>
    <x v="5"/>
    <s v="Burnett/Jasjaap"/>
    <n v="3"/>
    <x v="4"/>
    <s v="Pittsburgh"/>
    <n v="12"/>
    <n v="2024"/>
  </r>
  <r>
    <x v="0"/>
    <s v="Brenton"/>
    <n v="4"/>
    <x v="0"/>
    <s v="Baker Mayfield"/>
    <n v="28.88"/>
    <n v="2024"/>
  </r>
  <r>
    <x v="0"/>
    <s v="Brenton"/>
    <n v="4"/>
    <x v="1"/>
    <s v="Jayden Reed"/>
    <n v="23.6"/>
    <n v="2024"/>
  </r>
  <r>
    <x v="0"/>
    <s v="Brenton"/>
    <n v="4"/>
    <x v="1"/>
    <s v="Courtland Sutton"/>
    <n v="13.5"/>
    <n v="2024"/>
  </r>
  <r>
    <x v="0"/>
    <s v="Brenton"/>
    <n v="4"/>
    <x v="1"/>
    <s v="Tyreek Hill"/>
    <n v="6.2"/>
    <n v="2024"/>
  </r>
  <r>
    <x v="0"/>
    <s v="Brenton"/>
    <n v="4"/>
    <x v="2"/>
    <s v="Jerome Ford"/>
    <n v="12"/>
    <n v="2024"/>
  </r>
  <r>
    <x v="0"/>
    <s v="Brenton"/>
    <n v="4"/>
    <x v="2"/>
    <s v="Cam Akers"/>
    <n v="5.3"/>
    <n v="2024"/>
  </r>
  <r>
    <x v="0"/>
    <s v="Brenton"/>
    <n v="4"/>
    <x v="3"/>
    <s v="Colby Parkinson"/>
    <n v="5.3"/>
    <n v="2024"/>
  </r>
  <r>
    <x v="0"/>
    <s v="Brenton"/>
    <n v="4"/>
    <x v="5"/>
    <s v="Tyler Bass"/>
    <n v="5"/>
    <n v="2024"/>
  </r>
  <r>
    <x v="0"/>
    <s v="Brenton"/>
    <n v="4"/>
    <x v="4"/>
    <s v="Kansas City"/>
    <n v="7"/>
    <n v="2024"/>
  </r>
  <r>
    <x v="0"/>
    <s v="Brenton"/>
    <n v="4"/>
    <x v="6"/>
    <s v="Zay Flowers"/>
    <n v="1.5"/>
    <n v="2024"/>
  </r>
  <r>
    <x v="7"/>
    <s v="Jay"/>
    <n v="4"/>
    <x v="0"/>
    <s v="Lamar Jackson"/>
    <n v="23.64"/>
    <n v="2024"/>
  </r>
  <r>
    <x v="7"/>
    <s v="Jay"/>
    <n v="4"/>
    <x v="1"/>
    <s v="Amari Cooper"/>
    <n v="5.5"/>
    <n v="2024"/>
  </r>
  <r>
    <x v="7"/>
    <s v="Jay"/>
    <n v="4"/>
    <x v="1"/>
    <s v="Stefon Diggs"/>
    <n v="16"/>
    <n v="2024"/>
  </r>
  <r>
    <x v="7"/>
    <s v="Jay"/>
    <n v="4"/>
    <x v="1"/>
    <s v="Jauan Jennings"/>
    <n v="10.3"/>
    <n v="2024"/>
  </r>
  <r>
    <x v="7"/>
    <s v="Jay"/>
    <n v="4"/>
    <x v="2"/>
    <s v="Brian Robinson"/>
    <n v="18.8"/>
    <n v="2024"/>
  </r>
  <r>
    <x v="7"/>
    <s v="Jay"/>
    <n v="4"/>
    <x v="2"/>
    <s v="Alvin Kamara"/>
    <n v="21.4"/>
    <n v="2024"/>
  </r>
  <r>
    <x v="7"/>
    <s v="Jay"/>
    <n v="4"/>
    <x v="3"/>
    <s v="Tyler Conklin"/>
    <n v="3.7"/>
    <n v="2024"/>
  </r>
  <r>
    <x v="7"/>
    <s v="Jay"/>
    <n v="4"/>
    <x v="5"/>
    <s v="Ka'imi Fairbairn"/>
    <n v="6"/>
    <n v="2024"/>
  </r>
  <r>
    <x v="7"/>
    <s v="Jay"/>
    <n v="4"/>
    <x v="4"/>
    <s v="Miami"/>
    <n v="3"/>
    <n v="2024"/>
  </r>
  <r>
    <x v="7"/>
    <s v="Jay"/>
    <n v="4"/>
    <x v="7"/>
    <s v="Jonathan Taylor"/>
    <n v="18.3"/>
    <n v="2024"/>
  </r>
  <r>
    <x v="8"/>
    <s v="Schulwolf"/>
    <n v="4"/>
    <x v="0"/>
    <s v="Jayden Daniels"/>
    <n v="24.02"/>
    <n v="2024"/>
  </r>
  <r>
    <x v="8"/>
    <s v="Schulwolf"/>
    <n v="4"/>
    <x v="1"/>
    <s v="Terry McLaurin"/>
    <n v="14.7"/>
    <n v="2024"/>
  </r>
  <r>
    <x v="8"/>
    <s v="Schulwolf"/>
    <n v="4"/>
    <x v="1"/>
    <s v="Jerry Jeudy"/>
    <n v="10.199999999999999"/>
    <n v="2024"/>
  </r>
  <r>
    <x v="8"/>
    <s v="Schulwolf"/>
    <n v="4"/>
    <x v="1"/>
    <s v="Chris Godwin"/>
    <n v="9.9"/>
    <n v="2024"/>
  </r>
  <r>
    <x v="8"/>
    <s v="Schulwolf"/>
    <n v="4"/>
    <x v="2"/>
    <s v="Jahmyr Gibbs"/>
    <n v="19.8"/>
    <n v="2024"/>
  </r>
  <r>
    <x v="8"/>
    <s v="Schulwolf"/>
    <n v="4"/>
    <x v="2"/>
    <s v="Zack Moss"/>
    <n v="15.8"/>
    <n v="2024"/>
  </r>
  <r>
    <x v="8"/>
    <s v="Schulwolf"/>
    <n v="4"/>
    <x v="3"/>
    <s v="Dalton Kincaid"/>
    <n v="7.2"/>
    <n v="2024"/>
  </r>
  <r>
    <x v="8"/>
    <s v="Schulwolf"/>
    <n v="4"/>
    <x v="5"/>
    <s v="Brandon Aubrey"/>
    <n v="11"/>
    <n v="2024"/>
  </r>
  <r>
    <x v="8"/>
    <s v="Schulwolf"/>
    <n v="4"/>
    <x v="4"/>
    <s v="Dallas"/>
    <n v="3"/>
    <n v="2024"/>
  </r>
  <r>
    <x v="8"/>
    <s v="Schulwolf"/>
    <n v="4"/>
    <x v="7"/>
    <s v="James Cook"/>
    <n v="5.3"/>
    <n v="2024"/>
  </r>
  <r>
    <x v="5"/>
    <s v="Burnett/Jasjaap"/>
    <n v="4"/>
    <x v="0"/>
    <s v="Brock Purdy"/>
    <n v="14.62"/>
    <n v="2024"/>
  </r>
  <r>
    <x v="5"/>
    <s v="Burnett/Jasjaap"/>
    <n v="4"/>
    <x v="1"/>
    <s v="CeeDee Lamb"/>
    <n v="20.100000000000001"/>
    <n v="2024"/>
  </r>
  <r>
    <x v="5"/>
    <s v="Burnett/Jasjaap"/>
    <n v="4"/>
    <x v="1"/>
    <s v="Jaylen Waddle"/>
    <n v="5.6"/>
    <n v="2024"/>
  </r>
  <r>
    <x v="5"/>
    <s v="Burnett/Jasjaap"/>
    <n v="4"/>
    <x v="1"/>
    <s v="Rashid Shaheed"/>
    <n v="11.7"/>
    <n v="2024"/>
  </r>
  <r>
    <x v="5"/>
    <s v="Burnett/Jasjaap"/>
    <n v="4"/>
    <x v="2"/>
    <s v="David Montgomery"/>
    <n v="14.5"/>
    <n v="2024"/>
  </r>
  <r>
    <x v="5"/>
    <s v="Burnett/Jasjaap"/>
    <n v="4"/>
    <x v="2"/>
    <s v="Josh Jacobs"/>
    <n v="9.8000000000000007"/>
    <n v="2024"/>
  </r>
  <r>
    <x v="5"/>
    <s v="Burnett/Jasjaap"/>
    <n v="4"/>
    <x v="3"/>
    <s v="Brock Bowers"/>
    <n v="4.0999999999999996"/>
    <n v="2024"/>
  </r>
  <r>
    <x v="5"/>
    <s v="Burnett/Jasjaap"/>
    <n v="4"/>
    <x v="5"/>
    <s v="Jake Elliott"/>
    <n v="2"/>
    <n v="2024"/>
  </r>
  <r>
    <x v="5"/>
    <s v="Burnett/Jasjaap"/>
    <n v="4"/>
    <x v="4"/>
    <s v="Pittsburgh"/>
    <n v="1"/>
    <n v="2024"/>
  </r>
  <r>
    <x v="5"/>
    <s v="Burnett/Jasjaap"/>
    <n v="4"/>
    <x v="7"/>
    <s v="Gus Edwards"/>
    <n v="1.9"/>
    <n v="2024"/>
  </r>
  <r>
    <x v="2"/>
    <s v="Mike"/>
    <n v="4"/>
    <x v="0"/>
    <s v="Patrick Mahomes"/>
    <n v="13"/>
    <n v="2024"/>
  </r>
  <r>
    <x v="2"/>
    <s v="Mike"/>
    <n v="4"/>
    <x v="1"/>
    <s v="Mike Evans"/>
    <n v="19.399999999999999"/>
    <n v="2024"/>
  </r>
  <r>
    <x v="2"/>
    <s v="Mike"/>
    <n v="4"/>
    <x v="1"/>
    <s v="Khalil Shakir"/>
    <n v="8.1999999999999993"/>
    <n v="2024"/>
  </r>
  <r>
    <x v="2"/>
    <s v="Mike"/>
    <n v="4"/>
    <x v="1"/>
    <s v="Quentin Johnston"/>
    <n v="1.8"/>
    <n v="2024"/>
  </r>
  <r>
    <x v="2"/>
    <s v="Mike"/>
    <n v="4"/>
    <x v="2"/>
    <s v="Derrick Henry"/>
    <n v="34.4"/>
    <n v="2024"/>
  </r>
  <r>
    <x v="2"/>
    <s v="Mike"/>
    <n v="4"/>
    <x v="2"/>
    <s v="Carson Steele"/>
    <n v="-0.9"/>
    <n v="2024"/>
  </r>
  <r>
    <x v="2"/>
    <s v="Mike"/>
    <n v="4"/>
    <x v="3"/>
    <s v="Jake Ferguson"/>
    <n v="8.4"/>
    <n v="2024"/>
  </r>
  <r>
    <x v="2"/>
    <s v="Mike"/>
    <n v="4"/>
    <x v="5"/>
    <s v="Younghoe Koo"/>
    <n v="20"/>
    <n v="2024"/>
  </r>
  <r>
    <x v="2"/>
    <s v="Mike"/>
    <n v="4"/>
    <x v="4"/>
    <s v="Buffalo"/>
    <n v="-5"/>
    <n v="2024"/>
  </r>
  <r>
    <x v="2"/>
    <s v="Mike"/>
    <n v="4"/>
    <x v="8"/>
    <s v="Sam LaPorta"/>
    <n v="7.3"/>
    <n v="2024"/>
  </r>
  <r>
    <x v="4"/>
    <s v="Eli"/>
    <n v="4"/>
    <x v="0"/>
    <s v="Jalen Hurts"/>
    <n v="16.32"/>
    <n v="2024"/>
  </r>
  <r>
    <x v="4"/>
    <s v="Eli"/>
    <n v="4"/>
    <x v="1"/>
    <s v="Justin Jefferson"/>
    <n v="17.5"/>
    <n v="2024"/>
  </r>
  <r>
    <x v="4"/>
    <s v="Eli"/>
    <n v="4"/>
    <x v="1"/>
    <s v="DJ Moore"/>
    <n v="9.6999999999999993"/>
    <n v="2024"/>
  </r>
  <r>
    <x v="4"/>
    <s v="Eli"/>
    <n v="4"/>
    <x v="1"/>
    <s v="Jalen Tolbert"/>
    <n v="3.9"/>
    <n v="2024"/>
  </r>
  <r>
    <x v="4"/>
    <s v="Eli"/>
    <n v="4"/>
    <x v="2"/>
    <s v="Jordan Mason"/>
    <n v="23"/>
    <n v="2024"/>
  </r>
  <r>
    <x v="4"/>
    <s v="Eli"/>
    <n v="4"/>
    <x v="2"/>
    <s v="Bijan Robinson"/>
    <n v="9.4"/>
    <n v="2024"/>
  </r>
  <r>
    <x v="4"/>
    <s v="Eli"/>
    <n v="4"/>
    <x v="3"/>
    <s v="Dalton Schultz"/>
    <n v="4.9000000000000004"/>
    <n v="2024"/>
  </r>
  <r>
    <x v="4"/>
    <s v="Eli"/>
    <n v="4"/>
    <x v="5"/>
    <s v="Jake Moody"/>
    <n v="13"/>
    <n v="2024"/>
  </r>
  <r>
    <x v="4"/>
    <s v="Eli"/>
    <n v="4"/>
    <x v="4"/>
    <s v="NYJ"/>
    <n v="9"/>
    <n v="2024"/>
  </r>
  <r>
    <x v="4"/>
    <s v="Eli"/>
    <n v="4"/>
    <x v="6"/>
    <s v="Rome Odunze"/>
    <n v="1.5"/>
    <n v="2024"/>
  </r>
  <r>
    <x v="1"/>
    <s v="Todd"/>
    <n v="4"/>
    <x v="0"/>
    <s v="Dak Prescott"/>
    <n v="16.739999999999998"/>
    <n v="2024"/>
  </r>
  <r>
    <x v="1"/>
    <s v="Todd"/>
    <n v="4"/>
    <x v="1"/>
    <s v="Brian Thomas Jr"/>
    <n v="18.899999999999999"/>
    <n v="2024"/>
  </r>
  <r>
    <x v="1"/>
    <s v="Todd"/>
    <n v="4"/>
    <x v="1"/>
    <s v="Diontae Johnson"/>
    <n v="17.8"/>
    <n v="2024"/>
  </r>
  <r>
    <x v="1"/>
    <s v="Todd"/>
    <n v="4"/>
    <x v="1"/>
    <s v="Deebo Samuel"/>
    <n v="8.6999999999999993"/>
    <n v="2024"/>
  </r>
  <r>
    <x v="1"/>
    <s v="Todd"/>
    <n v="4"/>
    <x v="2"/>
    <s v="James Conner"/>
    <n v="17.8"/>
    <n v="2024"/>
  </r>
  <r>
    <x v="1"/>
    <s v="Todd"/>
    <n v="4"/>
    <x v="2"/>
    <s v="De'Von Achane"/>
    <n v="4.4000000000000004"/>
    <n v="2024"/>
  </r>
  <r>
    <x v="1"/>
    <s v="Todd"/>
    <n v="4"/>
    <x v="3"/>
    <s v="Kyle Pitts"/>
    <n v="0"/>
    <n v="2024"/>
  </r>
  <r>
    <x v="1"/>
    <s v="Todd"/>
    <n v="4"/>
    <x v="5"/>
    <s v="Chris Boswell"/>
    <n v="8"/>
    <n v="2024"/>
  </r>
  <r>
    <x v="1"/>
    <s v="Todd"/>
    <n v="4"/>
    <x v="4"/>
    <s v="Tennessee"/>
    <n v="13"/>
    <n v="2024"/>
  </r>
  <r>
    <x v="1"/>
    <s v="Todd"/>
    <n v="4"/>
    <x v="6"/>
    <s v="Rashee Rice"/>
    <n v="0"/>
    <n v="2024"/>
  </r>
  <r>
    <x v="11"/>
    <s v="Cam"/>
    <n v="4"/>
    <x v="0"/>
    <s v="Kyler Murray"/>
    <n v="9.98"/>
    <n v="2024"/>
  </r>
  <r>
    <x v="11"/>
    <s v="Cam"/>
    <n v="4"/>
    <x v="1"/>
    <s v="Ja'Marr Chase"/>
    <n v="16"/>
    <n v="2024"/>
  </r>
  <r>
    <x v="11"/>
    <s v="Cam"/>
    <n v="4"/>
    <x v="1"/>
    <s v="Nico Collins"/>
    <n v="27.1"/>
    <n v="2024"/>
  </r>
  <r>
    <x v="11"/>
    <s v="Cam"/>
    <n v="4"/>
    <x v="1"/>
    <s v="Jakobi Meyers"/>
    <n v="7.4"/>
    <n v="2024"/>
  </r>
  <r>
    <x v="11"/>
    <s v="Cam"/>
    <n v="4"/>
    <x v="2"/>
    <s v="Aaron Jones"/>
    <n v="15.9"/>
    <n v="2024"/>
  </r>
  <r>
    <x v="11"/>
    <s v="Cam"/>
    <n v="4"/>
    <x v="2"/>
    <s v="Rhamondre Stevenson"/>
    <n v="6.2"/>
    <n v="2024"/>
  </r>
  <r>
    <x v="11"/>
    <s v="Cam"/>
    <n v="4"/>
    <x v="3"/>
    <s v="George Kittle"/>
    <n v="12.5"/>
    <n v="2024"/>
  </r>
  <r>
    <x v="11"/>
    <s v="Cam"/>
    <n v="4"/>
    <x v="5"/>
    <s v="Evan McPherson"/>
    <n v="13"/>
    <n v="2024"/>
  </r>
  <r>
    <x v="11"/>
    <s v="Cam"/>
    <n v="4"/>
    <x v="4"/>
    <s v="Chicago"/>
    <n v="7"/>
    <n v="2024"/>
  </r>
  <r>
    <x v="11"/>
    <s v="Cam"/>
    <n v="4"/>
    <x v="6"/>
    <s v="Brandon Aiyuk"/>
    <n v="5.8"/>
    <n v="2024"/>
  </r>
  <r>
    <x v="6"/>
    <s v="Will"/>
    <n v="4"/>
    <x v="0"/>
    <s v="Geno Smith"/>
    <n v="21.6"/>
    <n v="2024"/>
  </r>
  <r>
    <x v="6"/>
    <s v="Will"/>
    <n v="4"/>
    <x v="1"/>
    <s v="Amon-Ra St. Brown"/>
    <n v="17.78"/>
    <n v="2024"/>
  </r>
  <r>
    <x v="6"/>
    <s v="Will"/>
    <n v="4"/>
    <x v="1"/>
    <s v="Drake London"/>
    <n v="9.4"/>
    <n v="2024"/>
  </r>
  <r>
    <x v="6"/>
    <s v="Will"/>
    <n v="4"/>
    <x v="1"/>
    <s v="Ladd McConkey"/>
    <n v="15.2"/>
    <n v="2024"/>
  </r>
  <r>
    <x v="6"/>
    <s v="Will"/>
    <n v="4"/>
    <x v="2"/>
    <s v="Travis Etienne"/>
    <n v="6.5"/>
    <n v="2024"/>
  </r>
  <r>
    <x v="6"/>
    <s v="Will"/>
    <n v="4"/>
    <x v="2"/>
    <s v="Zach Charbonet"/>
    <n v="7.9"/>
    <n v="2024"/>
  </r>
  <r>
    <x v="6"/>
    <s v="Will"/>
    <n v="4"/>
    <x v="3"/>
    <s v="Travis Kelce"/>
    <n v="12.4"/>
    <n v="2024"/>
  </r>
  <r>
    <x v="6"/>
    <s v="Will"/>
    <n v="4"/>
    <x v="5"/>
    <s v="Jason Myers"/>
    <n v="3"/>
    <n v="2024"/>
  </r>
  <r>
    <x v="6"/>
    <s v="Will"/>
    <n v="4"/>
    <x v="4"/>
    <s v="Houston"/>
    <n v="1"/>
    <n v="2024"/>
  </r>
  <r>
    <x v="6"/>
    <s v="Will"/>
    <n v="4"/>
    <x v="6"/>
    <s v="Jaxon Smith-Njigba"/>
    <n v="9.1"/>
    <n v="2024"/>
  </r>
  <r>
    <x v="9"/>
    <s v="Tommy"/>
    <n v="4"/>
    <x v="0"/>
    <s v="Josh Allen"/>
    <n v="7.3"/>
    <n v="2024"/>
  </r>
  <r>
    <x v="9"/>
    <s v="Tommy"/>
    <n v="4"/>
    <x v="1"/>
    <s v="Malik Nabers"/>
    <n v="17.100000000000001"/>
    <n v="2024"/>
  </r>
  <r>
    <x v="9"/>
    <s v="Tommy"/>
    <n v="4"/>
    <x v="1"/>
    <s v="Xavier Worthy"/>
    <n v="14.8"/>
    <n v="2024"/>
  </r>
  <r>
    <x v="9"/>
    <s v="Tommy"/>
    <n v="4"/>
    <x v="1"/>
    <s v="DK Metcalf"/>
    <n v="11.9"/>
    <n v="2024"/>
  </r>
  <r>
    <x v="9"/>
    <s v="Tommy"/>
    <n v="4"/>
    <x v="2"/>
    <s v="Kyren Williams"/>
    <n v="18.399999999999999"/>
    <n v="2024"/>
  </r>
  <r>
    <x v="9"/>
    <s v="Tommy"/>
    <n v="4"/>
    <x v="2"/>
    <s v="Saquon Barkley"/>
    <n v="12.6"/>
    <n v="2024"/>
  </r>
  <r>
    <x v="9"/>
    <s v="Tommy"/>
    <n v="4"/>
    <x v="3"/>
    <s v="Mike Gesicki"/>
    <n v="-0.4"/>
    <n v="2024"/>
  </r>
  <r>
    <x v="9"/>
    <s v="Tommy"/>
    <n v="4"/>
    <x v="5"/>
    <s v="Harrison Butker"/>
    <n v="5"/>
    <n v="2024"/>
  </r>
  <r>
    <x v="9"/>
    <s v="Tommy"/>
    <n v="4"/>
    <x v="4"/>
    <s v="San Francisco"/>
    <n v="23"/>
    <n v="2024"/>
  </r>
  <r>
    <x v="9"/>
    <s v="Tommy"/>
    <n v="4"/>
    <x v="7"/>
    <s v="Rachaad White"/>
    <n v="9.4"/>
    <n v="2024"/>
  </r>
  <r>
    <x v="10"/>
    <s v="Brand"/>
    <n v="4"/>
    <x v="0"/>
    <s v="Anthony Richardson"/>
    <n v="5.24"/>
    <n v="2024"/>
  </r>
  <r>
    <x v="10"/>
    <s v="Brand"/>
    <n v="4"/>
    <x v="1"/>
    <s v="Michael Pittman"/>
    <n v="14.3"/>
    <n v="2024"/>
  </r>
  <r>
    <x v="10"/>
    <s v="Brand"/>
    <n v="4"/>
    <x v="1"/>
    <s v="Garrett Wilson"/>
    <n v="4.5999999999999996"/>
    <n v="2024"/>
  </r>
  <r>
    <x v="10"/>
    <s v="Brand"/>
    <n v="4"/>
    <x v="1"/>
    <s v="Jameson Williams"/>
    <n v="15"/>
    <n v="2024"/>
  </r>
  <r>
    <x v="10"/>
    <s v="Brand"/>
    <n v="4"/>
    <x v="2"/>
    <s v="Kenneth Walker"/>
    <n v="31.6"/>
    <n v="2024"/>
  </r>
  <r>
    <x v="10"/>
    <s v="Brand"/>
    <n v="4"/>
    <x v="2"/>
    <s v="Breece Hall"/>
    <n v="2.8"/>
    <n v="2024"/>
  </r>
  <r>
    <x v="10"/>
    <s v="Brand"/>
    <n v="4"/>
    <x v="3"/>
    <s v="Dallas Goedert"/>
    <n v="9.6999999999999993"/>
    <n v="2024"/>
  </r>
  <r>
    <x v="10"/>
    <s v="Brand"/>
    <n v="4"/>
    <x v="5"/>
    <s v="Cairo Santos"/>
    <n v="7"/>
    <n v="2024"/>
  </r>
  <r>
    <x v="10"/>
    <s v="Brand"/>
    <n v="4"/>
    <x v="4"/>
    <s v="Las Vegas"/>
    <n v="10"/>
    <n v="2024"/>
  </r>
  <r>
    <x v="10"/>
    <s v="Brand"/>
    <n v="4"/>
    <x v="6"/>
    <s v="Keenan Allen"/>
    <n v="3.4"/>
    <n v="2024"/>
  </r>
  <r>
    <x v="3"/>
    <s v="Kevin"/>
    <n v="4"/>
    <x v="0"/>
    <s v="CJ Stroud"/>
    <n v="23.5"/>
    <n v="2024"/>
  </r>
  <r>
    <x v="3"/>
    <s v="Kevin"/>
    <n v="4"/>
    <x v="1"/>
    <s v="Jordan Addison"/>
    <n v="21.4"/>
    <n v="2024"/>
  </r>
  <r>
    <x v="3"/>
    <s v="Kevin"/>
    <n v="4"/>
    <x v="1"/>
    <s v="Marvin Harrison Jr"/>
    <n v="13"/>
    <n v="2024"/>
  </r>
  <r>
    <x v="3"/>
    <s v="Kevin"/>
    <n v="4"/>
    <x v="1"/>
    <s v="George Pickens"/>
    <n v="12.8"/>
    <n v="2024"/>
  </r>
  <r>
    <x v="3"/>
    <s v="Kevin"/>
    <n v="4"/>
    <x v="2"/>
    <s v="Chuba Hubbard"/>
    <n v="20.100000000000001"/>
    <n v="2024"/>
  </r>
  <r>
    <x v="3"/>
    <s v="Kevin"/>
    <n v="4"/>
    <x v="2"/>
    <s v="Najee Harris"/>
    <n v="8.8000000000000007"/>
    <n v="2024"/>
  </r>
  <r>
    <x v="3"/>
    <s v="Kevin"/>
    <n v="4"/>
    <x v="3"/>
    <s v="Hunter Henry"/>
    <n v="2.2000000000000002"/>
    <n v="2024"/>
  </r>
  <r>
    <x v="3"/>
    <s v="Kevin"/>
    <n v="4"/>
    <x v="5"/>
    <s v="Justin Tucker"/>
    <n v="5"/>
    <n v="2024"/>
  </r>
  <r>
    <x v="3"/>
    <s v="Kevin"/>
    <n v="4"/>
    <x v="4"/>
    <s v="Cleveland"/>
    <n v="12"/>
    <n v="2024"/>
  </r>
  <r>
    <x v="3"/>
    <s v="Kevin"/>
    <n v="4"/>
    <x v="6"/>
    <s v="Chris Olave"/>
    <n v="12.7"/>
    <n v="2024"/>
  </r>
  <r>
    <x v="0"/>
    <s v="Brenton"/>
    <n v="5"/>
    <x v="0"/>
    <s v="Baker Mayfield"/>
    <n v="23.4"/>
    <n v="2024"/>
  </r>
  <r>
    <x v="0"/>
    <s v="Brenton"/>
    <n v="5"/>
    <x v="1"/>
    <s v="Jayden Reed"/>
    <n v="11.7"/>
    <n v="2024"/>
  </r>
  <r>
    <x v="0"/>
    <s v="Brenton"/>
    <n v="5"/>
    <x v="1"/>
    <s v="Tyreek Hill"/>
    <n v="9.9"/>
    <n v="2024"/>
  </r>
  <r>
    <x v="0"/>
    <s v="Brenton"/>
    <n v="5"/>
    <x v="1"/>
    <s v="Courtland Sutton"/>
    <n v="4.2"/>
    <n v="2024"/>
  </r>
  <r>
    <x v="0"/>
    <s v="Brenton"/>
    <n v="5"/>
    <x v="2"/>
    <s v="Javonte Williams"/>
    <n v="13.6"/>
    <n v="2024"/>
  </r>
  <r>
    <x v="0"/>
    <s v="Brenton"/>
    <n v="5"/>
    <x v="2"/>
    <s v="Jerome Ford"/>
    <n v="6.4"/>
    <n v="2024"/>
  </r>
  <r>
    <x v="0"/>
    <s v="Brenton"/>
    <n v="5"/>
    <x v="3"/>
    <s v="Trey McBride"/>
    <n v="8.3000000000000007"/>
    <n v="2024"/>
  </r>
  <r>
    <x v="0"/>
    <s v="Brenton"/>
    <n v="5"/>
    <x v="5"/>
    <s v="Tyler Bass"/>
    <n v="8"/>
    <n v="2024"/>
  </r>
  <r>
    <x v="0"/>
    <s v="Brenton"/>
    <n v="5"/>
    <x v="4"/>
    <s v="New England"/>
    <n v="9"/>
    <n v="2024"/>
  </r>
  <r>
    <x v="0"/>
    <s v="Brenton"/>
    <n v="5"/>
    <x v="6"/>
    <s v="Dontayvion Wicks"/>
    <n v="3"/>
    <n v="2024"/>
  </r>
  <r>
    <x v="4"/>
    <s v="Eli"/>
    <n v="5"/>
    <x v="0"/>
    <s v="Deshaun Watson"/>
    <n v="8.4"/>
    <n v="2024"/>
  </r>
  <r>
    <x v="4"/>
    <s v="Eli"/>
    <n v="5"/>
    <x v="1"/>
    <s v="DJ Moore"/>
    <n v="25"/>
    <n v="2024"/>
  </r>
  <r>
    <x v="4"/>
    <s v="Eli"/>
    <n v="5"/>
    <x v="1"/>
    <s v="Justin Jefferson"/>
    <n v="12.2"/>
    <n v="2024"/>
  </r>
  <r>
    <x v="4"/>
    <s v="Eli"/>
    <n v="5"/>
    <x v="1"/>
    <s v="Rome Odunze"/>
    <n v="6.5"/>
    <n v="2024"/>
  </r>
  <r>
    <x v="4"/>
    <s v="Eli"/>
    <n v="5"/>
    <x v="2"/>
    <s v="Bijan Robinson"/>
    <n v="9.1999999999999993"/>
    <n v="2024"/>
  </r>
  <r>
    <x v="4"/>
    <s v="Eli"/>
    <n v="5"/>
    <x v="2"/>
    <s v="Jordan Mason"/>
    <n v="8.3000000000000007"/>
    <n v="2024"/>
  </r>
  <r>
    <x v="4"/>
    <s v="Eli"/>
    <n v="5"/>
    <x v="3"/>
    <s v="David Njoku"/>
    <n v="1.9"/>
    <n v="2024"/>
  </r>
  <r>
    <x v="4"/>
    <s v="Eli"/>
    <n v="5"/>
    <x v="5"/>
    <s v="Jake Moody"/>
    <n v="8"/>
    <n v="2024"/>
  </r>
  <r>
    <x v="4"/>
    <s v="Eli"/>
    <n v="5"/>
    <x v="4"/>
    <s v="NYJ"/>
    <n v="10"/>
    <n v="2024"/>
  </r>
  <r>
    <x v="4"/>
    <s v="Eli"/>
    <n v="5"/>
    <x v="6"/>
    <s v="Xavier Legette"/>
    <n v="1.3"/>
    <n v="2024"/>
  </r>
  <r>
    <x v="2"/>
    <s v="Mike"/>
    <n v="5"/>
    <x v="0"/>
    <s v="Justin Fields"/>
    <n v="15.94"/>
    <n v="2024"/>
  </r>
  <r>
    <x v="2"/>
    <s v="Mike"/>
    <n v="5"/>
    <x v="1"/>
    <s v="Mike Evans"/>
    <n v="20.7"/>
    <n v="2024"/>
  </r>
  <r>
    <x v="2"/>
    <s v="Mike"/>
    <n v="5"/>
    <x v="1"/>
    <s v="Tutu Atwell"/>
    <n v="9.5"/>
    <n v="2024"/>
  </r>
  <r>
    <x v="2"/>
    <s v="Mike"/>
    <n v="5"/>
    <x v="1"/>
    <s v="Tank Dell"/>
    <n v="5.3"/>
    <n v="2024"/>
  </r>
  <r>
    <x v="2"/>
    <s v="Mike"/>
    <n v="5"/>
    <x v="2"/>
    <s v="Derrick Henry"/>
    <n v="16.100000000000001"/>
    <n v="2024"/>
  </r>
  <r>
    <x v="2"/>
    <s v="Mike"/>
    <n v="5"/>
    <x v="2"/>
    <s v="Kareem Hunt"/>
    <n v="18.2"/>
    <n v="2024"/>
  </r>
  <r>
    <x v="2"/>
    <s v="Mike"/>
    <n v="5"/>
    <x v="3"/>
    <s v="Jake Ferguson"/>
    <n v="10"/>
    <n v="2024"/>
  </r>
  <r>
    <x v="2"/>
    <s v="Mike"/>
    <n v="5"/>
    <x v="5"/>
    <s v="Younghoe Koo"/>
    <n v="16"/>
    <n v="2024"/>
  </r>
  <r>
    <x v="2"/>
    <s v="Mike"/>
    <n v="5"/>
    <x v="4"/>
    <s v="Buffalo"/>
    <n v="1"/>
    <n v="2024"/>
  </r>
  <r>
    <x v="2"/>
    <s v="Mike"/>
    <n v="5"/>
    <x v="7"/>
    <s v="Chase Brown"/>
    <n v="14.9"/>
    <n v="2024"/>
  </r>
  <r>
    <x v="11"/>
    <s v="Cam"/>
    <n v="5"/>
    <x v="0"/>
    <s v="Joe Burrow"/>
    <n v="33.78"/>
    <n v="2024"/>
  </r>
  <r>
    <x v="11"/>
    <s v="Cam"/>
    <n v="5"/>
    <x v="1"/>
    <s v="Ja'Marr Chase"/>
    <n v="36.299999999999997"/>
    <n v="2024"/>
  </r>
  <r>
    <x v="11"/>
    <s v="Cam"/>
    <n v="5"/>
    <x v="1"/>
    <s v="Brandon Aiyuk"/>
    <n v="18.7"/>
    <n v="2024"/>
  </r>
  <r>
    <x v="11"/>
    <s v="Cam"/>
    <n v="5"/>
    <x v="1"/>
    <s v="Nico Collins"/>
    <n v="14.8"/>
    <n v="2024"/>
  </r>
  <r>
    <x v="11"/>
    <s v="Cam"/>
    <n v="5"/>
    <x v="2"/>
    <s v="D'Andre Swift"/>
    <n v="19"/>
    <n v="2024"/>
  </r>
  <r>
    <x v="11"/>
    <s v="Cam"/>
    <n v="5"/>
    <x v="2"/>
    <s v="Aaron Jones"/>
    <n v="5.8"/>
    <n v="2024"/>
  </r>
  <r>
    <x v="11"/>
    <s v="Cam"/>
    <n v="5"/>
    <x v="3"/>
    <s v="George Kittle"/>
    <n v="16.399999999999999"/>
    <n v="2024"/>
  </r>
  <r>
    <x v="11"/>
    <s v="Cam"/>
    <n v="5"/>
    <x v="5"/>
    <s v="Evan McPherson"/>
    <n v="4"/>
    <n v="2024"/>
  </r>
  <r>
    <x v="11"/>
    <s v="Cam"/>
    <n v="5"/>
    <x v="4"/>
    <s v="Chicago"/>
    <n v="15"/>
    <n v="2024"/>
  </r>
  <r>
    <x v="11"/>
    <s v="Cam"/>
    <n v="5"/>
    <x v="6"/>
    <s v="Wan'Dale Robinson"/>
    <n v="13"/>
    <n v="2024"/>
  </r>
  <r>
    <x v="10"/>
    <s v="Brand"/>
    <n v="5"/>
    <x v="0"/>
    <s v="Joe Flacco"/>
    <n v="26.56"/>
    <n v="2024"/>
  </r>
  <r>
    <x v="10"/>
    <s v="Brand"/>
    <n v="5"/>
    <x v="1"/>
    <s v="Garrett Wilson"/>
    <n v="22.6"/>
    <n v="2024"/>
  </r>
  <r>
    <x v="10"/>
    <s v="Brand"/>
    <n v="5"/>
    <x v="1"/>
    <s v="Michael Pittman"/>
    <n v="12.2"/>
    <n v="2024"/>
  </r>
  <r>
    <x v="10"/>
    <s v="Brand"/>
    <n v="5"/>
    <x v="1"/>
    <s v="Keenan Allen"/>
    <n v="4.8"/>
    <n v="2024"/>
  </r>
  <r>
    <x v="10"/>
    <s v="Brand"/>
    <n v="5"/>
    <x v="2"/>
    <s v="Kenneth Walker"/>
    <n v="11.1"/>
    <n v="2024"/>
  </r>
  <r>
    <x v="10"/>
    <s v="Brand"/>
    <n v="5"/>
    <x v="2"/>
    <s v="Breece Hall"/>
    <n v="5.2"/>
    <n v="2024"/>
  </r>
  <r>
    <x v="10"/>
    <s v="Brand"/>
    <n v="5"/>
    <x v="3"/>
    <s v="Zach Ertz"/>
    <n v="2"/>
    <n v="2024"/>
  </r>
  <r>
    <x v="10"/>
    <s v="Brand"/>
    <n v="5"/>
    <x v="5"/>
    <s v="Cairo Santos"/>
    <n v="5"/>
    <n v="2024"/>
  </r>
  <r>
    <x v="10"/>
    <s v="Brand"/>
    <n v="5"/>
    <x v="4"/>
    <s v="Indianapolis"/>
    <n v="-4"/>
    <n v="2024"/>
  </r>
  <r>
    <x v="10"/>
    <s v="Brand"/>
    <n v="5"/>
    <x v="7"/>
    <s v="Bucky Irving"/>
    <n v="4.5999999999999996"/>
    <n v="2024"/>
  </r>
  <r>
    <x v="5"/>
    <s v="Burnett/Jasjaap"/>
    <n v="5"/>
    <x v="0"/>
    <s v="Brock Purdy"/>
    <n v="13.06"/>
    <n v="2024"/>
  </r>
  <r>
    <x v="5"/>
    <s v="Burnett/Jasjaap"/>
    <n v="5"/>
    <x v="1"/>
    <s v="Rashid Shaheed"/>
    <n v="16.600000000000001"/>
    <n v="2024"/>
  </r>
  <r>
    <x v="5"/>
    <s v="Burnett/Jasjaap"/>
    <n v="5"/>
    <x v="1"/>
    <s v="CeeDee Lamb"/>
    <n v="8.9"/>
    <n v="2024"/>
  </r>
  <r>
    <x v="5"/>
    <s v="Burnett/Jasjaap"/>
    <n v="5"/>
    <x v="1"/>
    <s v="Jordan Whittington"/>
    <n v="12.4"/>
    <n v="2024"/>
  </r>
  <r>
    <x v="5"/>
    <s v="Burnett/Jasjaap"/>
    <n v="5"/>
    <x v="2"/>
    <s v="Josh Jacobs"/>
    <n v="15.9"/>
    <n v="2024"/>
  </r>
  <r>
    <x v="5"/>
    <s v="Burnett/Jasjaap"/>
    <n v="5"/>
    <x v="2"/>
    <s v="Rico Dowdle"/>
    <n v="18.399999999999999"/>
    <n v="2024"/>
  </r>
  <r>
    <x v="5"/>
    <s v="Burnett/Jasjaap"/>
    <n v="5"/>
    <x v="3"/>
    <s v="Brock Bowers"/>
    <n v="19.7"/>
    <n v="2024"/>
  </r>
  <r>
    <x v="5"/>
    <s v="Burnett/Jasjaap"/>
    <n v="5"/>
    <x v="5"/>
    <s v="Austin Seibert"/>
    <n v="10"/>
    <n v="2024"/>
  </r>
  <r>
    <x v="5"/>
    <s v="Burnett/Jasjaap"/>
    <n v="5"/>
    <x v="4"/>
    <s v="Pittsburgh"/>
    <n v="7"/>
    <n v="2024"/>
  </r>
  <r>
    <x v="5"/>
    <s v="Burnett/Jasjaap"/>
    <n v="5"/>
    <x v="6"/>
    <s v="Jaylen Waddle"/>
    <n v="6.6"/>
    <n v="2024"/>
  </r>
  <r>
    <x v="6"/>
    <s v="Will"/>
    <n v="5"/>
    <x v="0"/>
    <s v="Geno Smith"/>
    <n v="22.56"/>
    <n v="2024"/>
  </r>
  <r>
    <x v="6"/>
    <s v="Will"/>
    <n v="5"/>
    <x v="1"/>
    <s v="Drake London"/>
    <n v="27.4"/>
    <n v="2024"/>
  </r>
  <r>
    <x v="6"/>
    <s v="Will"/>
    <n v="5"/>
    <x v="1"/>
    <s v="Jaxon Smith-Njigba"/>
    <n v="11.1"/>
    <n v="2024"/>
  </r>
  <r>
    <x v="6"/>
    <s v="Will"/>
    <n v="5"/>
    <x v="1"/>
    <s v="Keon Coleman"/>
    <n v="11.4"/>
    <n v="2024"/>
  </r>
  <r>
    <x v="6"/>
    <s v="Will"/>
    <n v="5"/>
    <x v="2"/>
    <s v="Travis Etienne"/>
    <n v="9"/>
    <n v="2024"/>
  </r>
  <r>
    <x v="6"/>
    <s v="Will"/>
    <n v="5"/>
    <x v="2"/>
    <s v="Austin Ekeler"/>
    <n v="10.7"/>
    <n v="2024"/>
  </r>
  <r>
    <x v="6"/>
    <s v="Will"/>
    <n v="5"/>
    <x v="3"/>
    <s v="Travis Kelce"/>
    <n v="11.5"/>
    <n v="2024"/>
  </r>
  <r>
    <x v="6"/>
    <s v="Will"/>
    <n v="5"/>
    <x v="5"/>
    <s v="Jason Myers"/>
    <n v="9"/>
    <n v="2024"/>
  </r>
  <r>
    <x v="6"/>
    <s v="Will"/>
    <n v="5"/>
    <x v="4"/>
    <s v="Houston"/>
    <n v="3"/>
    <n v="2024"/>
  </r>
  <r>
    <x v="6"/>
    <s v="Will"/>
    <n v="5"/>
    <x v="7"/>
    <s v="Zach Charbonet"/>
    <n v="4.5"/>
    <n v="2024"/>
  </r>
  <r>
    <x v="8"/>
    <s v="Schulwolf"/>
    <n v="5"/>
    <x v="0"/>
    <s v="Jayden Daniels"/>
    <n v="19.72"/>
    <n v="2024"/>
  </r>
  <r>
    <x v="8"/>
    <s v="Schulwolf"/>
    <n v="5"/>
    <x v="1"/>
    <s v="Terry McLaurin"/>
    <n v="11.4"/>
    <n v="2024"/>
  </r>
  <r>
    <x v="8"/>
    <s v="Schulwolf"/>
    <n v="5"/>
    <x v="1"/>
    <s v="Chris Godwin"/>
    <n v="9.1"/>
    <n v="2024"/>
  </r>
  <r>
    <x v="8"/>
    <s v="Schulwolf"/>
    <n v="5"/>
    <x v="1"/>
    <s v="Tyler Lockett"/>
    <n v="9.5"/>
    <n v="2024"/>
  </r>
  <r>
    <x v="8"/>
    <s v="Schulwolf"/>
    <n v="5"/>
    <x v="2"/>
    <s v="James Cook"/>
    <n v="16.899999999999999"/>
    <n v="2024"/>
  </r>
  <r>
    <x v="8"/>
    <s v="Schulwolf"/>
    <n v="5"/>
    <x v="2"/>
    <s v="Zack Moss"/>
    <n v="6.7"/>
    <n v="2024"/>
  </r>
  <r>
    <x v="8"/>
    <s v="Schulwolf"/>
    <n v="5"/>
    <x v="3"/>
    <s v="Dalton Kincaid"/>
    <n v="4.4000000000000004"/>
    <n v="2024"/>
  </r>
  <r>
    <x v="8"/>
    <s v="Schulwolf"/>
    <n v="5"/>
    <x v="5"/>
    <s v="Brandon Aubrey"/>
    <n v="9"/>
    <n v="2024"/>
  </r>
  <r>
    <x v="8"/>
    <s v="Schulwolf"/>
    <n v="5"/>
    <x v="4"/>
    <s v="Denver"/>
    <n v="15"/>
    <n v="2024"/>
  </r>
  <r>
    <x v="8"/>
    <s v="Schulwolf"/>
    <n v="5"/>
    <x v="6"/>
    <s v="Jerry Jeudy"/>
    <n v="2.1"/>
    <n v="2024"/>
  </r>
  <r>
    <x v="1"/>
    <s v="Todd"/>
    <n v="5"/>
    <x v="0"/>
    <s v="Sam Darnold"/>
    <n v="4.26"/>
    <n v="2024"/>
  </r>
  <r>
    <x v="1"/>
    <s v="Todd"/>
    <n v="5"/>
    <x v="1"/>
    <s v="Brian Thomas Jr"/>
    <n v="20.7"/>
    <n v="2024"/>
  </r>
  <r>
    <x v="1"/>
    <s v="Todd"/>
    <n v="5"/>
    <x v="1"/>
    <s v="Darnell Mooney"/>
    <n v="27"/>
    <n v="2024"/>
  </r>
  <r>
    <x v="1"/>
    <s v="Todd"/>
    <n v="5"/>
    <x v="1"/>
    <s v="Diontae Johnson"/>
    <n v="4.4000000000000004"/>
    <n v="2024"/>
  </r>
  <r>
    <x v="1"/>
    <s v="Todd"/>
    <n v="5"/>
    <x v="2"/>
    <s v="James Conner"/>
    <n v="13"/>
    <n v="2024"/>
  </r>
  <r>
    <x v="1"/>
    <s v="Todd"/>
    <n v="5"/>
    <x v="2"/>
    <s v="De'Von Achane"/>
    <n v="2.2000000000000002"/>
    <n v="2024"/>
  </r>
  <r>
    <x v="1"/>
    <s v="Todd"/>
    <n v="5"/>
    <x v="3"/>
    <s v="Tucker Kraft"/>
    <n v="22.8"/>
    <n v="2024"/>
  </r>
  <r>
    <x v="1"/>
    <s v="Todd"/>
    <n v="5"/>
    <x v="5"/>
    <s v="Chris Boswell"/>
    <n v="6"/>
    <n v="2024"/>
  </r>
  <r>
    <x v="1"/>
    <s v="Todd"/>
    <n v="5"/>
    <x v="4"/>
    <s v="Green Bay"/>
    <n v="12"/>
    <n v="2024"/>
  </r>
  <r>
    <x v="1"/>
    <s v="Todd"/>
    <n v="5"/>
    <x v="6"/>
    <s v="Deebo Samuel"/>
    <n v="2.5"/>
    <n v="2024"/>
  </r>
  <r>
    <x v="9"/>
    <s v="Tommy"/>
    <n v="5"/>
    <x v="0"/>
    <s v="Josh Allen"/>
    <n v="14.64"/>
    <n v="2024"/>
  </r>
  <r>
    <x v="9"/>
    <s v="Tommy"/>
    <n v="5"/>
    <x v="1"/>
    <s v="Xavier Worthy"/>
    <n v="10.3"/>
    <n v="2024"/>
  </r>
  <r>
    <x v="9"/>
    <s v="Tommy"/>
    <n v="5"/>
    <x v="1"/>
    <s v="Allen Lazard"/>
    <n v="11.4"/>
    <n v="2024"/>
  </r>
  <r>
    <x v="9"/>
    <s v="Tommy"/>
    <n v="5"/>
    <x v="1"/>
    <s v="Michael Wilson"/>
    <n v="10.3"/>
    <n v="2024"/>
  </r>
  <r>
    <x v="9"/>
    <s v="Tommy"/>
    <n v="5"/>
    <x v="2"/>
    <s v="Kyren Williams"/>
    <n v="15"/>
    <n v="2024"/>
  </r>
  <r>
    <x v="9"/>
    <s v="Tommy"/>
    <n v="5"/>
    <x v="2"/>
    <s v="Rachaad White"/>
    <n v="8.1"/>
    <n v="2024"/>
  </r>
  <r>
    <x v="9"/>
    <s v="Tommy"/>
    <n v="5"/>
    <x v="3"/>
    <s v="Cade Otton"/>
    <n v="5.9"/>
    <n v="2024"/>
  </r>
  <r>
    <x v="9"/>
    <s v="Tommy"/>
    <n v="5"/>
    <x v="5"/>
    <s v="Harrison Butker"/>
    <n v="14"/>
    <n v="2024"/>
  </r>
  <r>
    <x v="9"/>
    <s v="Tommy"/>
    <n v="5"/>
    <x v="4"/>
    <s v="Minnesota"/>
    <n v="17"/>
    <n v="2024"/>
  </r>
  <r>
    <x v="9"/>
    <s v="Tommy"/>
    <n v="5"/>
    <x v="6"/>
    <s v="DK Metcalf"/>
    <n v="5.5"/>
    <n v="2024"/>
  </r>
  <r>
    <x v="7"/>
    <s v="Jay"/>
    <n v="5"/>
    <x v="0"/>
    <s v="Lamar Jackson"/>
    <n v="33.42"/>
    <n v="2024"/>
  </r>
  <r>
    <x v="7"/>
    <s v="Jay"/>
    <n v="5"/>
    <x v="1"/>
    <s v="Stefon Diggs"/>
    <n v="11.2"/>
    <n v="2024"/>
  </r>
  <r>
    <x v="7"/>
    <s v="Jay"/>
    <n v="5"/>
    <x v="1"/>
    <s v="Amari Cooper"/>
    <n v="8"/>
    <n v="2024"/>
  </r>
  <r>
    <x v="7"/>
    <s v="Jay"/>
    <n v="5"/>
    <x v="1"/>
    <s v="Jauan Jennings"/>
    <n v="1.8"/>
    <n v="2024"/>
  </r>
  <r>
    <x v="7"/>
    <s v="Jay"/>
    <n v="5"/>
    <x v="2"/>
    <s v="Trey Sermon"/>
    <n v="15.3"/>
    <n v="2024"/>
  </r>
  <r>
    <x v="7"/>
    <s v="Jay"/>
    <n v="5"/>
    <x v="2"/>
    <s v="Brian Robinson"/>
    <n v="13.8"/>
    <n v="2024"/>
  </r>
  <r>
    <x v="7"/>
    <s v="Jay"/>
    <n v="5"/>
    <x v="3"/>
    <s v="Tyler Conklin"/>
    <n v="8.5"/>
    <n v="2024"/>
  </r>
  <r>
    <x v="7"/>
    <s v="Jay"/>
    <n v="5"/>
    <x v="5"/>
    <s v="Ka'imi Fairbairn"/>
    <n v="16"/>
    <n v="2024"/>
  </r>
  <r>
    <x v="7"/>
    <s v="Jay"/>
    <n v="5"/>
    <x v="4"/>
    <s v="Miami"/>
    <n v="7"/>
    <n v="2024"/>
  </r>
  <r>
    <x v="7"/>
    <s v="Jay"/>
    <n v="5"/>
    <x v="7"/>
    <s v="Alvin Kamara"/>
    <n v="9.6"/>
    <n v="2024"/>
  </r>
  <r>
    <x v="3"/>
    <s v="Kevin"/>
    <n v="5"/>
    <x v="0"/>
    <s v="CJ Stroud"/>
    <n v="15.94"/>
    <n v="2024"/>
  </r>
  <r>
    <x v="3"/>
    <s v="Kevin"/>
    <n v="5"/>
    <x v="1"/>
    <s v="Jordan Addison"/>
    <n v="5.0999999999999996"/>
    <n v="2024"/>
  </r>
  <r>
    <x v="3"/>
    <s v="Kevin"/>
    <n v="5"/>
    <x v="1"/>
    <s v="Marvin Harrison Jr"/>
    <n v="4.5999999999999996"/>
    <n v="2024"/>
  </r>
  <r>
    <x v="3"/>
    <s v="Kevin"/>
    <n v="5"/>
    <x v="1"/>
    <s v="George Pickens"/>
    <n v="4.0999999999999996"/>
    <n v="2024"/>
  </r>
  <r>
    <x v="3"/>
    <s v="Kevin"/>
    <n v="5"/>
    <x v="2"/>
    <s v="Chuba Hubbard"/>
    <n v="15.5"/>
    <n v="2024"/>
  </r>
  <r>
    <x v="3"/>
    <s v="Kevin"/>
    <n v="5"/>
    <x v="2"/>
    <s v="Najee Harris"/>
    <n v="8.6999999999999993"/>
    <n v="2024"/>
  </r>
  <r>
    <x v="3"/>
    <s v="Kevin"/>
    <n v="5"/>
    <x v="3"/>
    <s v="Hunter Henry"/>
    <n v="4.2"/>
    <n v="2024"/>
  </r>
  <r>
    <x v="3"/>
    <s v="Kevin"/>
    <n v="5"/>
    <x v="5"/>
    <s v="Justin Tucker"/>
    <n v="13"/>
    <n v="2024"/>
  </r>
  <r>
    <x v="3"/>
    <s v="Kevin"/>
    <n v="5"/>
    <x v="4"/>
    <s v="Seattle"/>
    <n v="7"/>
    <n v="2024"/>
  </r>
  <r>
    <x v="3"/>
    <s v="Kevin"/>
    <n v="5"/>
    <x v="6"/>
    <s v="Chris Olave"/>
    <n v="2"/>
    <n v="2024"/>
  </r>
  <r>
    <x v="0"/>
    <s v="Brenton"/>
    <n v="6"/>
    <x v="0"/>
    <s v="Daniel Jones"/>
    <n v="11.8"/>
    <n v="2024"/>
  </r>
  <r>
    <x v="0"/>
    <s v="Brenton"/>
    <n v="6"/>
    <x v="1"/>
    <s v="Jayden Reed"/>
    <n v="11.8"/>
    <n v="2024"/>
  </r>
  <r>
    <x v="0"/>
    <s v="Brenton"/>
    <n v="6"/>
    <x v="1"/>
    <s v="Courtland Sutton"/>
    <n v="13.3"/>
    <n v="2024"/>
  </r>
  <r>
    <x v="0"/>
    <s v="Brenton"/>
    <n v="6"/>
    <x v="1"/>
    <s v="Zay Flowers"/>
    <n v="17.899999999999999"/>
    <n v="2024"/>
  </r>
  <r>
    <x v="0"/>
    <s v="Brenton"/>
    <n v="6"/>
    <x v="2"/>
    <s v="Javonte Williams"/>
    <n v="3.1"/>
    <n v="2024"/>
  </r>
  <r>
    <x v="0"/>
    <s v="Brenton"/>
    <n v="6"/>
    <x v="2"/>
    <s v="Tank Bigsby"/>
    <n v="2.4"/>
    <n v="2024"/>
  </r>
  <r>
    <x v="0"/>
    <s v="Brenton"/>
    <n v="6"/>
    <x v="3"/>
    <s v="Trey McBride"/>
    <n v="13.6"/>
    <n v="2024"/>
  </r>
  <r>
    <x v="0"/>
    <s v="Brenton"/>
    <n v="6"/>
    <x v="5"/>
    <s v="Jake Elliott"/>
    <n v="10"/>
    <n v="2024"/>
  </r>
  <r>
    <x v="0"/>
    <s v="Brenton"/>
    <n v="6"/>
    <x v="4"/>
    <s v="Atlanta"/>
    <n v="4"/>
    <n v="2024"/>
  </r>
  <r>
    <x v="0"/>
    <s v="Brenton"/>
    <n v="6"/>
    <x v="6"/>
    <s v="Dontayvion Wicks"/>
    <n v="1.4"/>
    <n v="2024"/>
  </r>
  <r>
    <x v="11"/>
    <s v="Cam"/>
    <n v="6"/>
    <x v="0"/>
    <s v="Joe Burrow"/>
    <n v="19.82"/>
    <n v="2024"/>
  </r>
  <r>
    <x v="11"/>
    <s v="Cam"/>
    <n v="6"/>
    <x v="1"/>
    <s v="Josh Downs"/>
    <n v="16"/>
    <n v="2024"/>
  </r>
  <r>
    <x v="11"/>
    <s v="Cam"/>
    <n v="6"/>
    <x v="1"/>
    <s v="Ja'Marr Chase"/>
    <n v="9.6999999999999993"/>
    <n v="2024"/>
  </r>
  <r>
    <x v="11"/>
    <s v="Cam"/>
    <n v="6"/>
    <x v="1"/>
    <s v="Wan'Dale Robinson"/>
    <n v="7.5"/>
    <n v="2024"/>
  </r>
  <r>
    <x v="11"/>
    <s v="Cam"/>
    <n v="6"/>
    <x v="2"/>
    <s v="D'Andre Swift"/>
    <n v="19.899999999999999"/>
    <n v="2024"/>
  </r>
  <r>
    <x v="11"/>
    <s v="Cam"/>
    <n v="6"/>
    <x v="2"/>
    <s v="JK Dobbins"/>
    <n v="17.2"/>
    <n v="2024"/>
  </r>
  <r>
    <x v="11"/>
    <s v="Cam"/>
    <n v="6"/>
    <x v="3"/>
    <s v="George Kittle"/>
    <n v="20.3"/>
    <n v="2024"/>
  </r>
  <r>
    <x v="11"/>
    <s v="Cam"/>
    <n v="6"/>
    <x v="5"/>
    <s v="Evan McPherson"/>
    <n v="5"/>
    <n v="2024"/>
  </r>
  <r>
    <x v="11"/>
    <s v="Cam"/>
    <n v="6"/>
    <x v="4"/>
    <s v="Chicago"/>
    <n v="10"/>
    <n v="2024"/>
  </r>
  <r>
    <x v="11"/>
    <s v="Cam"/>
    <n v="6"/>
    <x v="6"/>
    <s v="Brandon Aiyuk"/>
    <n v="4.7"/>
    <n v="2024"/>
  </r>
  <r>
    <x v="2"/>
    <s v="Mike"/>
    <n v="6"/>
    <x v="0"/>
    <s v="Justin Fields"/>
    <n v="23.7"/>
    <n v="2024"/>
  </r>
  <r>
    <x v="2"/>
    <s v="Mike"/>
    <n v="6"/>
    <x v="1"/>
    <s v="Tank Dell"/>
    <n v="15.2"/>
    <n v="2024"/>
  </r>
  <r>
    <x v="2"/>
    <s v="Mike"/>
    <n v="6"/>
    <x v="1"/>
    <s v="Mike Evans"/>
    <n v="4.4000000000000004"/>
    <n v="2024"/>
  </r>
  <r>
    <x v="2"/>
    <s v="Mike"/>
    <n v="6"/>
    <x v="1"/>
    <s v="Ray-Ray McCloud"/>
    <n v="2.8"/>
    <n v="2024"/>
  </r>
  <r>
    <x v="2"/>
    <s v="Mike"/>
    <n v="6"/>
    <x v="2"/>
    <s v="Derrick Henry"/>
    <n v="25.2"/>
    <n v="2024"/>
  </r>
  <r>
    <x v="2"/>
    <s v="Mike"/>
    <n v="6"/>
    <x v="2"/>
    <s v="Chase Brown"/>
    <n v="13.4"/>
    <n v="2024"/>
  </r>
  <r>
    <x v="2"/>
    <s v="Mike"/>
    <n v="6"/>
    <x v="3"/>
    <s v="Sam LaPorta"/>
    <n v="11.7"/>
    <n v="2024"/>
  </r>
  <r>
    <x v="2"/>
    <s v="Mike"/>
    <n v="6"/>
    <x v="5"/>
    <s v="Younghoe Koo"/>
    <n v="12"/>
    <n v="2024"/>
  </r>
  <r>
    <x v="2"/>
    <s v="Mike"/>
    <n v="6"/>
    <x v="4"/>
    <s v="Buffalo"/>
    <n v="5"/>
    <n v="2024"/>
  </r>
  <r>
    <x v="2"/>
    <s v="Mike"/>
    <n v="6"/>
    <x v="8"/>
    <s v="Jake Ferguson"/>
    <n v="2.6"/>
    <n v="2024"/>
  </r>
  <r>
    <x v="9"/>
    <s v="Tommy"/>
    <n v="6"/>
    <x v="0"/>
    <s v="Josh Allen"/>
    <n v="24.4"/>
    <n v="2024"/>
  </r>
  <r>
    <x v="9"/>
    <s v="Tommy"/>
    <n v="6"/>
    <x v="1"/>
    <s v="Allen Lazard"/>
    <n v="20.399999999999999"/>
    <n v="2024"/>
  </r>
  <r>
    <x v="9"/>
    <s v="Tommy"/>
    <n v="6"/>
    <x v="1"/>
    <s v="Romeo Doubs"/>
    <n v="18.399999999999999"/>
    <n v="2024"/>
  </r>
  <r>
    <x v="9"/>
    <s v="Tommy"/>
    <n v="6"/>
    <x v="1"/>
    <s v="Michael Wilson"/>
    <n v="9.1"/>
    <n v="2024"/>
  </r>
  <r>
    <x v="9"/>
    <s v="Tommy"/>
    <n v="6"/>
    <x v="2"/>
    <s v="Alexander Mattison"/>
    <n v="15"/>
    <n v="2024"/>
  </r>
  <r>
    <x v="9"/>
    <s v="Tommy"/>
    <n v="6"/>
    <x v="2"/>
    <s v="Saquon Barkley"/>
    <n v="6.4"/>
    <n v="2024"/>
  </r>
  <r>
    <x v="9"/>
    <s v="Tommy"/>
    <n v="6"/>
    <x v="3"/>
    <s v="Cade Otton"/>
    <n v="8.5"/>
    <n v="2024"/>
  </r>
  <r>
    <x v="9"/>
    <s v="Tommy"/>
    <n v="6"/>
    <x v="5"/>
    <s v="Chase McLaughlin"/>
    <n v="9"/>
    <n v="2024"/>
  </r>
  <r>
    <x v="9"/>
    <s v="Tommy"/>
    <n v="6"/>
    <x v="4"/>
    <s v="San Francisco"/>
    <n v="6"/>
    <n v="2024"/>
  </r>
  <r>
    <x v="9"/>
    <s v="Tommy"/>
    <n v="6"/>
    <x v="6"/>
    <s v="DK Metcalf"/>
    <n v="6.3"/>
    <n v="2024"/>
  </r>
  <r>
    <x v="1"/>
    <s v="Todd"/>
    <n v="6"/>
    <x v="0"/>
    <s v="Dak Prescott"/>
    <n v="3.22"/>
    <n v="2024"/>
  </r>
  <r>
    <x v="1"/>
    <s v="Todd"/>
    <n v="6"/>
    <x v="1"/>
    <s v="Deebo Samuel"/>
    <n v="19.2"/>
    <n v="2024"/>
  </r>
  <r>
    <x v="1"/>
    <s v="Todd"/>
    <n v="6"/>
    <x v="1"/>
    <s v="AJ Brown"/>
    <n v="20.6"/>
    <n v="2024"/>
  </r>
  <r>
    <x v="1"/>
    <s v="Todd"/>
    <n v="6"/>
    <x v="1"/>
    <s v="Darnell Mooney"/>
    <n v="5.3"/>
    <n v="2024"/>
  </r>
  <r>
    <x v="1"/>
    <s v="Todd"/>
    <n v="6"/>
    <x v="2"/>
    <s v="James Conner"/>
    <n v="4.5999999999999996"/>
    <n v="2024"/>
  </r>
  <r>
    <x v="1"/>
    <s v="Todd"/>
    <n v="6"/>
    <x v="2"/>
    <s v="Braelon Allen"/>
    <n v="0.8"/>
    <n v="2024"/>
  </r>
  <r>
    <x v="1"/>
    <s v="Todd"/>
    <n v="6"/>
    <x v="3"/>
    <s v="Tucker Kraft"/>
    <n v="2.5"/>
    <n v="2024"/>
  </r>
  <r>
    <x v="1"/>
    <s v="Todd"/>
    <n v="6"/>
    <x v="5"/>
    <s v="Chris Boswell"/>
    <n v="17"/>
    <n v="2024"/>
  </r>
  <r>
    <x v="1"/>
    <s v="Todd"/>
    <n v="6"/>
    <x v="4"/>
    <s v="Green Bay"/>
    <n v="9"/>
    <n v="2024"/>
  </r>
  <r>
    <x v="1"/>
    <s v="Todd"/>
    <n v="6"/>
    <x v="6"/>
    <s v="Brian Thomas Jr"/>
    <n v="4.2"/>
    <n v="2024"/>
  </r>
  <r>
    <x v="8"/>
    <s v="Schulwolf"/>
    <n v="6"/>
    <x v="0"/>
    <s v="Jayden Daniels"/>
    <n v="20.96"/>
    <n v="2024"/>
  </r>
  <r>
    <x v="8"/>
    <s v="Schulwolf"/>
    <n v="6"/>
    <x v="1"/>
    <s v="Terry McLaurin"/>
    <n v="20.3"/>
    <n v="2024"/>
  </r>
  <r>
    <x v="8"/>
    <s v="Schulwolf"/>
    <n v="6"/>
    <x v="1"/>
    <s v="Chris Godwin"/>
    <n v="30"/>
    <n v="2024"/>
  </r>
  <r>
    <x v="8"/>
    <s v="Schulwolf"/>
    <n v="6"/>
    <x v="1"/>
    <s v="DeVonta Smith"/>
    <n v="13.9"/>
    <n v="2024"/>
  </r>
  <r>
    <x v="8"/>
    <s v="Schulwolf"/>
    <n v="6"/>
    <x v="2"/>
    <s v="Jahmyr Gibbs"/>
    <n v="10.6"/>
    <n v="2024"/>
  </r>
  <r>
    <x v="8"/>
    <s v="Schulwolf"/>
    <n v="6"/>
    <x v="2"/>
    <s v="Ty Johnson"/>
    <n v="3.4"/>
    <n v="2024"/>
  </r>
  <r>
    <x v="8"/>
    <s v="Schulwolf"/>
    <n v="6"/>
    <x v="3"/>
    <s v="Dalton Kincaid"/>
    <n v="8.1"/>
    <n v="2024"/>
  </r>
  <r>
    <x v="8"/>
    <s v="Schulwolf"/>
    <n v="6"/>
    <x v="5"/>
    <s v="Brandon Aubrey"/>
    <n v="12"/>
    <n v="2024"/>
  </r>
  <r>
    <x v="8"/>
    <s v="Schulwolf"/>
    <n v="6"/>
    <x v="4"/>
    <s v="Denver"/>
    <n v="2"/>
    <n v="2024"/>
  </r>
  <r>
    <x v="8"/>
    <s v="Schulwolf"/>
    <n v="6"/>
    <x v="7"/>
    <s v="Zack Moss"/>
    <n v="0"/>
    <n v="2024"/>
  </r>
  <r>
    <x v="4"/>
    <s v="Eli"/>
    <n v="6"/>
    <x v="0"/>
    <s v="Jalen Hurts"/>
    <n v="21.86"/>
    <n v="2024"/>
  </r>
  <r>
    <x v="4"/>
    <s v="Eli"/>
    <n v="6"/>
    <x v="1"/>
    <s v="Jalen Tolbert"/>
    <n v="6.3"/>
    <n v="2024"/>
  </r>
  <r>
    <x v="4"/>
    <s v="Eli"/>
    <n v="6"/>
    <x v="1"/>
    <s v="DJ Moore"/>
    <n v="4"/>
    <n v="2024"/>
  </r>
  <r>
    <x v="4"/>
    <s v="Eli"/>
    <n v="6"/>
    <x v="1"/>
    <s v="Rome Odunze"/>
    <n v="5"/>
    <n v="2024"/>
  </r>
  <r>
    <x v="4"/>
    <s v="Eli"/>
    <n v="6"/>
    <x v="2"/>
    <s v="Bijan Robinson"/>
    <n v="24"/>
    <n v="2024"/>
  </r>
  <r>
    <x v="4"/>
    <s v="Eli"/>
    <n v="6"/>
    <x v="2"/>
    <s v="Jordan Mason"/>
    <n v="8.6999999999999993"/>
    <n v="2024"/>
  </r>
  <r>
    <x v="4"/>
    <s v="Eli"/>
    <n v="6"/>
    <x v="3"/>
    <s v="Kyle Pitts"/>
    <n v="8.5"/>
    <n v="2024"/>
  </r>
  <r>
    <x v="4"/>
    <s v="Eli"/>
    <n v="6"/>
    <x v="5"/>
    <s v="Brayden Narveson"/>
    <n v="10"/>
    <n v="2024"/>
  </r>
  <r>
    <x v="4"/>
    <s v="Eli"/>
    <n v="6"/>
    <x v="4"/>
    <s v="NYJ"/>
    <n v="1"/>
    <n v="2024"/>
  </r>
  <r>
    <x v="4"/>
    <s v="Eli"/>
    <n v="6"/>
    <x v="7"/>
    <s v="Tyjae Spears"/>
    <n v="2.7"/>
    <n v="2024"/>
  </r>
  <r>
    <x v="7"/>
    <s v="Jay"/>
    <n v="6"/>
    <x v="0"/>
    <s v="Lamar Jackson"/>
    <n v="18.920000000000002"/>
    <n v="2024"/>
  </r>
  <r>
    <x v="7"/>
    <s v="Jay"/>
    <n v="6"/>
    <x v="1"/>
    <s v="Stefon Diggs"/>
    <n v="16.7"/>
    <n v="2024"/>
  </r>
  <r>
    <x v="7"/>
    <s v="Jay"/>
    <n v="6"/>
    <x v="1"/>
    <s v="Amari Cooper"/>
    <n v="6.2"/>
    <n v="2024"/>
  </r>
  <r>
    <x v="7"/>
    <s v="Jay"/>
    <n v="6"/>
    <x v="1"/>
    <s v="Jauan Jennings"/>
    <n v="4.2"/>
    <n v="2024"/>
  </r>
  <r>
    <x v="7"/>
    <s v="Jay"/>
    <n v="6"/>
    <x v="2"/>
    <s v="Tony Pollard"/>
    <n v="16.3"/>
    <n v="2024"/>
  </r>
  <r>
    <x v="7"/>
    <s v="Jay"/>
    <n v="6"/>
    <x v="2"/>
    <s v="Alvin Kamara"/>
    <n v="14.9"/>
    <n v="2024"/>
  </r>
  <r>
    <x v="7"/>
    <s v="Jay"/>
    <n v="6"/>
    <x v="3"/>
    <s v="Evan Engram"/>
    <n v="13.2"/>
    <n v="2024"/>
  </r>
  <r>
    <x v="7"/>
    <s v="Jay"/>
    <n v="6"/>
    <x v="5"/>
    <s v="Ka'imi Fairbairn"/>
    <n v="11"/>
    <n v="2024"/>
  </r>
  <r>
    <x v="7"/>
    <s v="Jay"/>
    <n v="6"/>
    <x v="4"/>
    <s v="LA Chargers"/>
    <n v="6"/>
    <n v="2024"/>
  </r>
  <r>
    <x v="7"/>
    <s v="Jay"/>
    <n v="6"/>
    <x v="7"/>
    <s v="Trey Sermon"/>
    <n v="2.9"/>
    <n v="2024"/>
  </r>
  <r>
    <x v="6"/>
    <s v="Will"/>
    <n v="6"/>
    <x v="0"/>
    <s v="Geno Smith"/>
    <n v="12.48"/>
    <n v="2024"/>
  </r>
  <r>
    <x v="6"/>
    <s v="Will"/>
    <n v="6"/>
    <x v="1"/>
    <s v="Drake London"/>
    <n v="16.399999999999999"/>
    <n v="2024"/>
  </r>
  <r>
    <x v="6"/>
    <s v="Will"/>
    <n v="6"/>
    <x v="1"/>
    <s v="Amon-Ra St. Brown"/>
    <n v="11.7"/>
    <n v="2024"/>
  </r>
  <r>
    <x v="6"/>
    <s v="Will"/>
    <n v="6"/>
    <x v="1"/>
    <s v="Jaxon Smith-Njigba"/>
    <n v="7.8"/>
    <n v="2024"/>
  </r>
  <r>
    <x v="6"/>
    <s v="Will"/>
    <n v="6"/>
    <x v="2"/>
    <s v="Austin Ekeler"/>
    <n v="8.8000000000000007"/>
    <n v="2024"/>
  </r>
  <r>
    <x v="6"/>
    <s v="Will"/>
    <n v="6"/>
    <x v="2"/>
    <s v="Travis Etienne"/>
    <n v="-0.1"/>
    <n v="2024"/>
  </r>
  <r>
    <x v="6"/>
    <s v="Will"/>
    <n v="6"/>
    <x v="3"/>
    <s v="Isaiah Likely"/>
    <n v="3.7"/>
    <n v="2024"/>
  </r>
  <r>
    <x v="6"/>
    <s v="Will"/>
    <n v="6"/>
    <x v="5"/>
    <s v="Jason Myers"/>
    <n v="6"/>
    <n v="2024"/>
  </r>
  <r>
    <x v="6"/>
    <s v="Will"/>
    <n v="6"/>
    <x v="4"/>
    <s v="Houston"/>
    <n v="13"/>
    <n v="2024"/>
  </r>
  <r>
    <x v="6"/>
    <s v="Will"/>
    <n v="6"/>
    <x v="6"/>
    <s v="Ladd McConkey"/>
    <n v="6.3"/>
    <n v="2024"/>
  </r>
  <r>
    <x v="10"/>
    <s v="Brand"/>
    <n v="6"/>
    <x v="0"/>
    <s v="Kirk Cousins"/>
    <n v="12.5"/>
    <n v="2024"/>
  </r>
  <r>
    <x v="10"/>
    <s v="Brand"/>
    <n v="6"/>
    <x v="1"/>
    <s v="Garrett Wilson"/>
    <n v="20.7"/>
    <n v="2024"/>
  </r>
  <r>
    <x v="10"/>
    <s v="Brand"/>
    <n v="6"/>
    <x v="1"/>
    <s v="Jameson Williams"/>
    <n v="16.2"/>
    <n v="2024"/>
  </r>
  <r>
    <x v="10"/>
    <s v="Brand"/>
    <n v="6"/>
    <x v="1"/>
    <s v="Michael Pittman"/>
    <n v="11"/>
    <n v="2024"/>
  </r>
  <r>
    <x v="10"/>
    <s v="Brand"/>
    <n v="6"/>
    <x v="2"/>
    <s v="Breece Hall"/>
    <n v="19.399999999999999"/>
    <n v="2024"/>
  </r>
  <r>
    <x v="10"/>
    <s v="Brand"/>
    <n v="6"/>
    <x v="2"/>
    <s v="Bucky Irving"/>
    <n v="17.5"/>
    <n v="2024"/>
  </r>
  <r>
    <x v="10"/>
    <s v="Brand"/>
    <n v="6"/>
    <x v="3"/>
    <s v="Dallas Goedert"/>
    <n v="0"/>
    <n v="2024"/>
  </r>
  <r>
    <x v="10"/>
    <s v="Brand"/>
    <n v="6"/>
    <x v="5"/>
    <s v="Cairo Santos"/>
    <n v="4"/>
    <n v="2024"/>
  </r>
  <r>
    <x v="10"/>
    <s v="Brand"/>
    <n v="6"/>
    <x v="4"/>
    <s v="Indianapolis"/>
    <n v="4"/>
    <n v="2024"/>
  </r>
  <r>
    <x v="10"/>
    <s v="Brand"/>
    <n v="6"/>
    <x v="7"/>
    <s v="Kenneth Walker"/>
    <n v="16.899999999999999"/>
    <n v="2024"/>
  </r>
  <r>
    <x v="3"/>
    <s v="Kevin"/>
    <n v="6"/>
    <x v="0"/>
    <s v="CJ Stroud"/>
    <n v="18.38"/>
    <n v="2024"/>
  </r>
  <r>
    <x v="3"/>
    <s v="Kevin"/>
    <n v="6"/>
    <x v="1"/>
    <s v="DeAndre Hopkins"/>
    <n v="7.4"/>
    <n v="2024"/>
  </r>
  <r>
    <x v="3"/>
    <s v="Kevin"/>
    <n v="6"/>
    <x v="1"/>
    <s v="George Pickens"/>
    <n v="6.8"/>
    <n v="2024"/>
  </r>
  <r>
    <x v="3"/>
    <s v="Kevin"/>
    <n v="6"/>
    <x v="1"/>
    <s v="Marvin Harrison Jr"/>
    <n v="0"/>
    <n v="2024"/>
  </r>
  <r>
    <x v="3"/>
    <s v="Kevin"/>
    <n v="6"/>
    <x v="2"/>
    <s v="Najee Harris"/>
    <n v="19.2"/>
    <n v="2024"/>
  </r>
  <r>
    <x v="3"/>
    <s v="Kevin"/>
    <n v="6"/>
    <x v="2"/>
    <s v="Chuba Hubbard"/>
    <n v="12.8"/>
    <n v="2024"/>
  </r>
  <r>
    <x v="3"/>
    <s v="Kevin"/>
    <n v="6"/>
    <x v="3"/>
    <s v="Hunter Henry"/>
    <n v="11.6"/>
    <n v="2024"/>
  </r>
  <r>
    <x v="3"/>
    <s v="Kevin"/>
    <n v="6"/>
    <x v="5"/>
    <s v="Justin Tucker"/>
    <n v="13"/>
    <n v="2024"/>
  </r>
  <r>
    <x v="3"/>
    <s v="Kevin"/>
    <n v="6"/>
    <x v="4"/>
    <s v="Tampa Bay"/>
    <n v="16"/>
    <n v="2024"/>
  </r>
  <r>
    <x v="3"/>
    <s v="Kevin"/>
    <n v="6"/>
    <x v="6"/>
    <s v="Chris Olave"/>
    <n v="-1"/>
    <n v="2024"/>
  </r>
  <r>
    <x v="5"/>
    <s v="Burnett/Jasjaap"/>
    <n v="6"/>
    <x v="0"/>
    <s v="Brock Purdy"/>
    <n v="24.1"/>
    <n v="2024"/>
  </r>
  <r>
    <x v="5"/>
    <s v="Burnett/Jasjaap"/>
    <n v="6"/>
    <x v="1"/>
    <s v="CeeDee Lamb"/>
    <n v="12.6"/>
    <n v="2024"/>
  </r>
  <r>
    <x v="5"/>
    <s v="Burnett/Jasjaap"/>
    <n v="6"/>
    <x v="1"/>
    <s v="Rashid Shaheed"/>
    <n v="7.8"/>
    <n v="2024"/>
  </r>
  <r>
    <x v="5"/>
    <s v="Burnett/Jasjaap"/>
    <n v="6"/>
    <x v="1"/>
    <s v="Alec Pierce"/>
    <n v="0"/>
    <n v="2024"/>
  </r>
  <r>
    <x v="5"/>
    <s v="Burnett/Jasjaap"/>
    <n v="6"/>
    <x v="2"/>
    <s v="Josh Jacobs"/>
    <n v="10.5"/>
    <n v="2024"/>
  </r>
  <r>
    <x v="5"/>
    <s v="Burnett/Jasjaap"/>
    <n v="6"/>
    <x v="2"/>
    <s v="David Montgomery"/>
    <n v="20.5"/>
    <n v="2024"/>
  </r>
  <r>
    <x v="5"/>
    <s v="Burnett/Jasjaap"/>
    <n v="6"/>
    <x v="3"/>
    <s v="Brock Bowers"/>
    <n v="11.6"/>
    <n v="2024"/>
  </r>
  <r>
    <x v="5"/>
    <s v="Burnett/Jasjaap"/>
    <n v="6"/>
    <x v="5"/>
    <s v="Austin Seibert"/>
    <n v="15"/>
    <n v="2024"/>
  </r>
  <r>
    <x v="5"/>
    <s v="Burnett/Jasjaap"/>
    <n v="6"/>
    <x v="4"/>
    <s v="Pittsburgh"/>
    <n v="14"/>
    <n v="2024"/>
  </r>
  <r>
    <x v="5"/>
    <s v="Burnett/Jasjaap"/>
    <n v="6"/>
    <x v="7"/>
    <s v="Rico Dowdle"/>
    <n v="8"/>
    <n v="2024"/>
  </r>
  <r>
    <x v="0"/>
    <s v="Brenton"/>
    <n v="7"/>
    <x v="0"/>
    <s v="Baker Mayfield"/>
    <n v="27"/>
    <n v="2024"/>
  </r>
  <r>
    <x v="0"/>
    <s v="Brenton"/>
    <n v="7"/>
    <x v="1"/>
    <s v="Zay Flowers"/>
    <n v="3.5"/>
    <n v="2024"/>
  </r>
  <r>
    <x v="0"/>
    <s v="Brenton"/>
    <n v="7"/>
    <x v="1"/>
    <s v="DeMario Douglas"/>
    <n v="2.4"/>
    <n v="2024"/>
  </r>
  <r>
    <x v="0"/>
    <s v="Brenton"/>
    <n v="7"/>
    <x v="1"/>
    <s v="Jayden Reed"/>
    <n v="2"/>
    <n v="2024"/>
  </r>
  <r>
    <x v="0"/>
    <s v="Brenton"/>
    <n v="7"/>
    <x v="2"/>
    <s v="Tank Bigsby"/>
    <n v="23.8"/>
    <n v="2024"/>
  </r>
  <r>
    <x v="0"/>
    <s v="Brenton"/>
    <n v="7"/>
    <x v="2"/>
    <s v="Tyrone Tracy"/>
    <n v="4.7"/>
    <n v="2024"/>
  </r>
  <r>
    <x v="0"/>
    <s v="Brenton"/>
    <n v="7"/>
    <x v="3"/>
    <s v="Trey McBride"/>
    <n v="7.6"/>
    <n v="2024"/>
  </r>
  <r>
    <x v="0"/>
    <s v="Brenton"/>
    <n v="7"/>
    <x v="5"/>
    <s v="Jake Elliott"/>
    <n v="4"/>
    <n v="2024"/>
  </r>
  <r>
    <x v="0"/>
    <s v="Brenton"/>
    <n v="7"/>
    <x v="4"/>
    <s v="Cincinnati"/>
    <n v="14"/>
    <n v="2024"/>
  </r>
  <r>
    <x v="0"/>
    <s v="Brenton"/>
    <n v="7"/>
    <x v="6"/>
    <s v="Tyreek Hill"/>
    <n v="1.8"/>
    <n v="2024"/>
  </r>
  <r>
    <x v="9"/>
    <s v="Tommy"/>
    <n v="7"/>
    <x v="0"/>
    <s v="Josh Allen"/>
    <n v="21.02"/>
    <n v="2024"/>
  </r>
  <r>
    <x v="9"/>
    <s v="Tommy"/>
    <n v="7"/>
    <x v="1"/>
    <s v="DK Metcalf"/>
    <n v="17.899999999999999"/>
    <n v="2024"/>
  </r>
  <r>
    <x v="9"/>
    <s v="Tommy"/>
    <n v="7"/>
    <x v="1"/>
    <s v="Allen Lazard"/>
    <n v="7.8"/>
    <n v="2024"/>
  </r>
  <r>
    <x v="9"/>
    <s v="Tommy"/>
    <n v="7"/>
    <x v="1"/>
    <s v="Malik Nabers"/>
    <n v="6.1"/>
    <n v="2024"/>
  </r>
  <r>
    <x v="9"/>
    <s v="Tommy"/>
    <n v="7"/>
    <x v="2"/>
    <s v="Saquon Barkley"/>
    <n v="25.7"/>
    <n v="2024"/>
  </r>
  <r>
    <x v="9"/>
    <s v="Tommy"/>
    <n v="7"/>
    <x v="2"/>
    <s v="Kyren Williams"/>
    <n v="19.600000000000001"/>
    <n v="2024"/>
  </r>
  <r>
    <x v="9"/>
    <s v="Tommy"/>
    <n v="7"/>
    <x v="3"/>
    <s v="Mark Andrews"/>
    <n v="18.100000000000001"/>
    <n v="2024"/>
  </r>
  <r>
    <x v="9"/>
    <s v="Tommy"/>
    <n v="7"/>
    <x v="5"/>
    <s v="Harrison Butker"/>
    <n v="4"/>
    <n v="2024"/>
  </r>
  <r>
    <x v="9"/>
    <s v="Tommy"/>
    <n v="7"/>
    <x v="4"/>
    <s v="Minnesota"/>
    <n v="10"/>
    <n v="2024"/>
  </r>
  <r>
    <x v="9"/>
    <s v="Tommy"/>
    <n v="7"/>
    <x v="6"/>
    <s v="Xavier Worthy"/>
    <n v="3.9"/>
    <n v="2024"/>
  </r>
  <r>
    <x v="2"/>
    <s v="Mike"/>
    <n v="7"/>
    <x v="0"/>
    <s v="Patrick Mahomes"/>
    <n v="12.06"/>
    <n v="2024"/>
  </r>
  <r>
    <x v="2"/>
    <s v="Mike"/>
    <n v="7"/>
    <x v="1"/>
    <s v="Mike Evans"/>
    <n v="9"/>
    <n v="2024"/>
  </r>
  <r>
    <x v="2"/>
    <s v="Mike"/>
    <n v="7"/>
    <x v="1"/>
    <s v="Khalil Shakir"/>
    <n v="10"/>
    <n v="2024"/>
  </r>
  <r>
    <x v="2"/>
    <s v="Mike"/>
    <n v="7"/>
    <x v="1"/>
    <s v="Davante Adams"/>
    <n v="4.5"/>
    <n v="2024"/>
  </r>
  <r>
    <x v="2"/>
    <s v="Mike"/>
    <n v="7"/>
    <x v="2"/>
    <s v="Derrick Henry"/>
    <n v="24.7"/>
    <n v="2024"/>
  </r>
  <r>
    <x v="2"/>
    <s v="Mike"/>
    <n v="7"/>
    <x v="2"/>
    <s v="Kareem Hunt"/>
    <n v="21.3"/>
    <n v="2024"/>
  </r>
  <r>
    <x v="2"/>
    <s v="Mike"/>
    <n v="7"/>
    <x v="3"/>
    <s v="Sam LaPorta"/>
    <n v="3"/>
    <n v="2024"/>
  </r>
  <r>
    <x v="2"/>
    <s v="Mike"/>
    <n v="7"/>
    <x v="5"/>
    <s v="Younghoe Koo"/>
    <n v="2"/>
    <n v="2024"/>
  </r>
  <r>
    <x v="2"/>
    <s v="Mike"/>
    <n v="7"/>
    <x v="4"/>
    <s v="Buffalo"/>
    <n v="12"/>
    <n v="2024"/>
  </r>
  <r>
    <x v="2"/>
    <s v="Mike"/>
    <n v="7"/>
    <x v="6"/>
    <s v="Tank Dell"/>
    <n v="0"/>
    <n v="2024"/>
  </r>
  <r>
    <x v="8"/>
    <s v="Schulwolf"/>
    <n v="7"/>
    <x v="0"/>
    <s v="Jayden Daniels"/>
    <n v="5.24"/>
    <n v="2024"/>
  </r>
  <r>
    <x v="8"/>
    <s v="Schulwolf"/>
    <n v="7"/>
    <x v="1"/>
    <s v="Terry McLaurin"/>
    <n v="12.8"/>
    <n v="2024"/>
  </r>
  <r>
    <x v="8"/>
    <s v="Schulwolf"/>
    <n v="7"/>
    <x v="1"/>
    <s v="Chris Godwin"/>
    <n v="10"/>
    <n v="2024"/>
  </r>
  <r>
    <x v="8"/>
    <s v="Schulwolf"/>
    <n v="7"/>
    <x v="1"/>
    <s v="Tyler Lockett"/>
    <n v="6.5"/>
    <n v="2024"/>
  </r>
  <r>
    <x v="8"/>
    <s v="Schulwolf"/>
    <n v="7"/>
    <x v="2"/>
    <s v="Jahmyr Gibbs"/>
    <n v="30"/>
    <n v="2024"/>
  </r>
  <r>
    <x v="8"/>
    <s v="Schulwolf"/>
    <n v="7"/>
    <x v="2"/>
    <s v="James Cook"/>
    <n v="9.1999999999999993"/>
    <n v="2024"/>
  </r>
  <r>
    <x v="8"/>
    <s v="Schulwolf"/>
    <n v="7"/>
    <x v="3"/>
    <s v="Dalton Kincaid"/>
    <n v="6.7"/>
    <n v="2024"/>
  </r>
  <r>
    <x v="8"/>
    <s v="Schulwolf"/>
    <n v="7"/>
    <x v="5"/>
    <s v="Brandon McManus"/>
    <n v="7"/>
    <n v="2024"/>
  </r>
  <r>
    <x v="8"/>
    <s v="Schulwolf"/>
    <n v="7"/>
    <x v="4"/>
    <s v="Denver"/>
    <n v="21"/>
    <n v="2024"/>
  </r>
  <r>
    <x v="8"/>
    <s v="Schulwolf"/>
    <n v="7"/>
    <x v="6"/>
    <s v="DeVonta Smith"/>
    <n v="0.3"/>
    <n v="2024"/>
  </r>
  <r>
    <x v="1"/>
    <s v="Todd"/>
    <n v="7"/>
    <x v="0"/>
    <s v="Sam Darnold"/>
    <n v="16.260000000000002"/>
    <n v="2024"/>
  </r>
  <r>
    <x v="1"/>
    <s v="Todd"/>
    <n v="7"/>
    <x v="1"/>
    <s v="AJ Brown"/>
    <n v="17.399999999999999"/>
    <n v="2024"/>
  </r>
  <r>
    <x v="1"/>
    <s v="Todd"/>
    <n v="7"/>
    <x v="1"/>
    <s v="Brian Thomas Jr"/>
    <n v="19.600000000000001"/>
    <n v="2024"/>
  </r>
  <r>
    <x v="1"/>
    <s v="Todd"/>
    <n v="7"/>
    <x v="1"/>
    <s v="Diontae Johnson"/>
    <n v="2.2000000000000002"/>
    <n v="2024"/>
  </r>
  <r>
    <x v="1"/>
    <s v="Todd"/>
    <n v="7"/>
    <x v="2"/>
    <s v="James Conner"/>
    <n v="16.2"/>
    <n v="2024"/>
  </r>
  <r>
    <x v="1"/>
    <s v="Todd"/>
    <n v="7"/>
    <x v="2"/>
    <s v="De'Von Achane"/>
    <n v="9.5"/>
    <n v="2024"/>
  </r>
  <r>
    <x v="1"/>
    <s v="Todd"/>
    <n v="7"/>
    <x v="3"/>
    <s v="Tucker Kraft"/>
    <n v="10.8"/>
    <n v="2024"/>
  </r>
  <r>
    <x v="1"/>
    <s v="Todd"/>
    <n v="7"/>
    <x v="5"/>
    <s v="Chris Boswell"/>
    <n v="14"/>
    <n v="2024"/>
  </r>
  <r>
    <x v="1"/>
    <s v="Todd"/>
    <n v="7"/>
    <x v="4"/>
    <s v="LA Chargers"/>
    <n v="2"/>
    <n v="2024"/>
  </r>
  <r>
    <x v="1"/>
    <s v="Todd"/>
    <n v="7"/>
    <x v="6"/>
    <s v="Deebo Samuel"/>
    <n v="0"/>
    <n v="2024"/>
  </r>
  <r>
    <x v="10"/>
    <s v="Brand"/>
    <n v="7"/>
    <x v="0"/>
    <s v="Anthony Richardson"/>
    <n v="8.76"/>
    <n v="2024"/>
  </r>
  <r>
    <x v="10"/>
    <s v="Brand"/>
    <n v="7"/>
    <x v="1"/>
    <s v="Garrett Wilson"/>
    <n v="10.6"/>
    <n v="2024"/>
  </r>
  <r>
    <x v="10"/>
    <s v="Brand"/>
    <n v="7"/>
    <x v="1"/>
    <s v="Michael Pittman"/>
    <n v="7.8"/>
    <n v="2024"/>
  </r>
  <r>
    <x v="10"/>
    <s v="Brand"/>
    <n v="7"/>
    <x v="1"/>
    <s v="Jameson Williams"/>
    <n v="0.1"/>
    <n v="2024"/>
  </r>
  <r>
    <x v="10"/>
    <s v="Brand"/>
    <n v="7"/>
    <x v="2"/>
    <s v="Breece Hall"/>
    <n v="23.1"/>
    <n v="2024"/>
  </r>
  <r>
    <x v="10"/>
    <s v="Brand"/>
    <n v="7"/>
    <x v="2"/>
    <s v="Kenneth Walker"/>
    <n v="22.3"/>
    <n v="2024"/>
  </r>
  <r>
    <x v="10"/>
    <s v="Brand"/>
    <n v="7"/>
    <x v="3"/>
    <s v="Colby Parkinson"/>
    <n v="4.2"/>
    <n v="2024"/>
  </r>
  <r>
    <x v="10"/>
    <s v="Brand"/>
    <n v="7"/>
    <x v="5"/>
    <s v="Cameron Dicker"/>
    <n v="21"/>
    <n v="2024"/>
  </r>
  <r>
    <x v="10"/>
    <s v="Brand"/>
    <n v="7"/>
    <x v="4"/>
    <s v="Indianapolis"/>
    <n v="9"/>
    <n v="2024"/>
  </r>
  <r>
    <x v="10"/>
    <s v="Brand"/>
    <n v="7"/>
    <x v="7"/>
    <s v="Bucky Irving"/>
    <n v="15.2"/>
    <n v="2024"/>
  </r>
  <r>
    <x v="4"/>
    <s v="Eli"/>
    <n v="7"/>
    <x v="0"/>
    <s v="Jalen Hurts"/>
    <n v="22.76"/>
    <n v="2024"/>
  </r>
  <r>
    <x v="4"/>
    <s v="Eli"/>
    <n v="7"/>
    <x v="1"/>
    <s v="Justin Jefferson"/>
    <n v="17.899999999999999"/>
    <n v="2024"/>
  </r>
  <r>
    <x v="4"/>
    <s v="Eli"/>
    <n v="7"/>
    <x v="1"/>
    <s v="Tre Tucker"/>
    <n v="6.2"/>
    <n v="2024"/>
  </r>
  <r>
    <x v="4"/>
    <s v="Eli"/>
    <n v="7"/>
    <x v="1"/>
    <s v="Xavier Legette"/>
    <n v="1.9"/>
    <n v="2024"/>
  </r>
  <r>
    <x v="4"/>
    <s v="Eli"/>
    <n v="7"/>
    <x v="2"/>
    <s v="Bijan Robinson"/>
    <n v="21.8"/>
    <n v="2024"/>
  </r>
  <r>
    <x v="4"/>
    <s v="Eli"/>
    <n v="7"/>
    <x v="2"/>
    <s v="Jordan Mason"/>
    <n v="7.9"/>
    <n v="2024"/>
  </r>
  <r>
    <x v="4"/>
    <s v="Eli"/>
    <n v="7"/>
    <x v="3"/>
    <s v="David Njoku"/>
    <n v="18.600000000000001"/>
    <n v="2024"/>
  </r>
  <r>
    <x v="4"/>
    <s v="Eli"/>
    <n v="7"/>
    <x v="5"/>
    <s v="Tyler Bass"/>
    <n v="10"/>
    <n v="2024"/>
  </r>
  <r>
    <x v="4"/>
    <s v="Eli"/>
    <n v="7"/>
    <x v="4"/>
    <s v="NYJ"/>
    <n v="-7"/>
    <n v="2024"/>
  </r>
  <r>
    <x v="4"/>
    <s v="Eli"/>
    <n v="7"/>
    <x v="8"/>
    <s v="Kyle Pitts"/>
    <n v="10"/>
    <n v="2024"/>
  </r>
  <r>
    <x v="3"/>
    <s v="Kevin"/>
    <n v="7"/>
    <x v="0"/>
    <s v="CJ Stroud"/>
    <n v="5.34"/>
    <n v="2024"/>
  </r>
  <r>
    <x v="3"/>
    <s v="Kevin"/>
    <n v="7"/>
    <x v="1"/>
    <s v="George Pickens"/>
    <n v="19.600000000000001"/>
    <n v="2024"/>
  </r>
  <r>
    <x v="3"/>
    <s v="Kevin"/>
    <n v="7"/>
    <x v="1"/>
    <s v="Jordan Addison"/>
    <n v="8.1"/>
    <n v="2024"/>
  </r>
  <r>
    <x v="3"/>
    <s v="Kevin"/>
    <n v="7"/>
    <x v="1"/>
    <s v="Marvin Harrison Jr"/>
    <n v="3.6"/>
    <n v="2024"/>
  </r>
  <r>
    <x v="3"/>
    <s v="Kevin"/>
    <n v="7"/>
    <x v="2"/>
    <s v="Joe Mixon"/>
    <n v="25.4"/>
    <n v="2024"/>
  </r>
  <r>
    <x v="3"/>
    <s v="Kevin"/>
    <n v="7"/>
    <x v="2"/>
    <s v="Najee Harris"/>
    <n v="16.2"/>
    <n v="2024"/>
  </r>
  <r>
    <x v="3"/>
    <s v="Kevin"/>
    <n v="7"/>
    <x v="3"/>
    <s v="Hunter Henry"/>
    <n v="13.2"/>
    <n v="2024"/>
  </r>
  <r>
    <x v="3"/>
    <s v="Kevin"/>
    <n v="7"/>
    <x v="5"/>
    <s v="Justin Tucker"/>
    <n v="13"/>
    <n v="2024"/>
  </r>
  <r>
    <x v="3"/>
    <s v="Kevin"/>
    <n v="7"/>
    <x v="4"/>
    <s v="LA Rams"/>
    <n v="16"/>
    <n v="2024"/>
  </r>
  <r>
    <x v="3"/>
    <s v="Kevin"/>
    <n v="7"/>
    <x v="7"/>
    <s v="Chuba Hubbard"/>
    <n v="11.2"/>
    <n v="2024"/>
  </r>
  <r>
    <x v="6"/>
    <s v="Will"/>
    <n v="7"/>
    <x v="0"/>
    <s v="Geno Smith"/>
    <n v="17.78"/>
    <n v="2024"/>
  </r>
  <r>
    <x v="6"/>
    <s v="Will"/>
    <n v="7"/>
    <x v="1"/>
    <s v="Drake London"/>
    <n v="15.3"/>
    <n v="2024"/>
  </r>
  <r>
    <x v="6"/>
    <s v="Will"/>
    <n v="7"/>
    <x v="1"/>
    <s v="Amon-Ra St. Brown"/>
    <n v="21.2"/>
    <n v="2024"/>
  </r>
  <r>
    <x v="6"/>
    <s v="Will"/>
    <n v="7"/>
    <x v="1"/>
    <s v="Ladd McConkey"/>
    <n v="7.1"/>
    <n v="2024"/>
  </r>
  <r>
    <x v="6"/>
    <s v="Will"/>
    <n v="7"/>
    <x v="2"/>
    <s v="Austin Ekeler"/>
    <n v="3"/>
    <n v="2024"/>
  </r>
  <r>
    <x v="6"/>
    <s v="Will"/>
    <n v="7"/>
    <x v="2"/>
    <s v="Zach Charbonet"/>
    <n v="1.4"/>
    <n v="2024"/>
  </r>
  <r>
    <x v="6"/>
    <s v="Will"/>
    <n v="7"/>
    <x v="3"/>
    <s v="Travis Kelce"/>
    <n v="3.7"/>
    <n v="2024"/>
  </r>
  <r>
    <x v="6"/>
    <s v="Will"/>
    <n v="7"/>
    <x v="5"/>
    <s v="Jason Myers"/>
    <n v="12"/>
    <n v="2024"/>
  </r>
  <r>
    <x v="6"/>
    <s v="Will"/>
    <n v="7"/>
    <x v="4"/>
    <s v="Houston"/>
    <n v="10"/>
    <n v="2024"/>
  </r>
  <r>
    <x v="6"/>
    <s v="Will"/>
    <n v="7"/>
    <x v="6"/>
    <s v="Jaxon Smith-Njigba"/>
    <n v="3.8"/>
    <n v="2024"/>
  </r>
  <r>
    <x v="5"/>
    <s v="Burnett/Jasjaap"/>
    <n v="7"/>
    <x v="0"/>
    <s v="Brock Purdy"/>
    <n v="17.18"/>
    <n v="2024"/>
  </r>
  <r>
    <x v="5"/>
    <s v="Burnett/Jasjaap"/>
    <n v="7"/>
    <x v="1"/>
    <s v="Bub Means"/>
    <n v="5.2"/>
    <n v="2024"/>
  </r>
  <r>
    <x v="5"/>
    <s v="Burnett/Jasjaap"/>
    <n v="7"/>
    <x v="1"/>
    <s v="Alec Pierce"/>
    <n v="2.5"/>
    <n v="2024"/>
  </r>
  <r>
    <x v="5"/>
    <s v="Burnett/Jasjaap"/>
    <n v="7"/>
    <x v="1"/>
    <s v="Jaylen Waddle"/>
    <n v="1.6"/>
    <n v="2024"/>
  </r>
  <r>
    <x v="5"/>
    <s v="Burnett/Jasjaap"/>
    <n v="7"/>
    <x v="2"/>
    <s v="Josh Jacobs"/>
    <n v="17.7"/>
    <n v="2024"/>
  </r>
  <r>
    <x v="5"/>
    <s v="Burnett/Jasjaap"/>
    <n v="7"/>
    <x v="2"/>
    <s v="David Montgomery"/>
    <n v="6.5"/>
    <n v="2024"/>
  </r>
  <r>
    <x v="5"/>
    <s v="Burnett/Jasjaap"/>
    <n v="7"/>
    <x v="3"/>
    <s v="Brock Bowers"/>
    <n v="14.3"/>
    <n v="2024"/>
  </r>
  <r>
    <x v="5"/>
    <s v="Burnett/Jasjaap"/>
    <n v="7"/>
    <x v="5"/>
    <s v="Austin Seibert"/>
    <n v="17"/>
    <n v="2024"/>
  </r>
  <r>
    <x v="5"/>
    <s v="Burnett/Jasjaap"/>
    <n v="7"/>
    <x v="4"/>
    <s v="Philadelphia"/>
    <n v="18"/>
    <n v="2024"/>
  </r>
  <r>
    <x v="5"/>
    <s v="Burnett/Jasjaap"/>
    <n v="7"/>
    <x v="6"/>
    <s v="Jordan Whittington"/>
    <n v="0"/>
    <n v="2024"/>
  </r>
  <r>
    <x v="7"/>
    <s v="Jay"/>
    <n v="7"/>
    <x v="0"/>
    <s v="Lamar Jackson"/>
    <n v="34.44"/>
    <n v="2024"/>
  </r>
  <r>
    <x v="7"/>
    <s v="Jay"/>
    <n v="7"/>
    <x v="1"/>
    <s v="Tee Higgins"/>
    <n v="16.2"/>
    <n v="2024"/>
  </r>
  <r>
    <x v="7"/>
    <s v="Jay"/>
    <n v="7"/>
    <x v="1"/>
    <s v="Amari Cooper"/>
    <n v="14.6"/>
    <n v="2024"/>
  </r>
  <r>
    <x v="7"/>
    <s v="Jay"/>
    <n v="7"/>
    <x v="1"/>
    <s v="Stefon Diggs"/>
    <n v="4.8"/>
    <n v="2024"/>
  </r>
  <r>
    <x v="7"/>
    <s v="Jay"/>
    <n v="7"/>
    <x v="2"/>
    <s v="Tony Pollard"/>
    <n v="7.5"/>
    <n v="2024"/>
  </r>
  <r>
    <x v="7"/>
    <s v="Jay"/>
    <n v="7"/>
    <x v="2"/>
    <s v="Alvin Kamara"/>
    <n v="5.4"/>
    <n v="2024"/>
  </r>
  <r>
    <x v="7"/>
    <s v="Jay"/>
    <n v="7"/>
    <x v="3"/>
    <s v="Evan Engram"/>
    <n v="6"/>
    <n v="2024"/>
  </r>
  <r>
    <x v="7"/>
    <s v="Jay"/>
    <n v="7"/>
    <x v="5"/>
    <s v="Ka'imi Fairbairn"/>
    <n v="12"/>
    <n v="2024"/>
  </r>
  <r>
    <x v="7"/>
    <s v="Jay"/>
    <n v="7"/>
    <x v="4"/>
    <s v="Jacksonville"/>
    <n v="10"/>
    <n v="2024"/>
  </r>
  <r>
    <x v="7"/>
    <s v="Jay"/>
    <n v="7"/>
    <x v="7"/>
    <s v="Trey Sermon"/>
    <n v="5.4"/>
    <n v="2024"/>
  </r>
  <r>
    <x v="11"/>
    <s v="Cam"/>
    <n v="7"/>
    <x v="0"/>
    <s v="Joe Burrow"/>
    <n v="14.94"/>
    <n v="2024"/>
  </r>
  <r>
    <x v="11"/>
    <s v="Cam"/>
    <n v="7"/>
    <x v="1"/>
    <s v="Ja'Marr Chase"/>
    <n v="15.1"/>
    <n v="2024"/>
  </r>
  <r>
    <x v="11"/>
    <s v="Cam"/>
    <n v="7"/>
    <x v="1"/>
    <s v="Wan'Dale Robinson"/>
    <n v="5.3"/>
    <n v="2024"/>
  </r>
  <r>
    <x v="11"/>
    <s v="Cam"/>
    <n v="7"/>
    <x v="1"/>
    <s v="Brandon Aiyuk"/>
    <n v="3.3"/>
    <n v="2024"/>
  </r>
  <r>
    <x v="11"/>
    <s v="Cam"/>
    <n v="7"/>
    <x v="2"/>
    <s v="Aaron Jones"/>
    <n v="19.100000000000001"/>
    <n v="2024"/>
  </r>
  <r>
    <x v="11"/>
    <s v="Cam"/>
    <n v="7"/>
    <x v="2"/>
    <s v="JK Dobbins"/>
    <n v="8.1"/>
    <n v="2024"/>
  </r>
  <r>
    <x v="11"/>
    <s v="Cam"/>
    <n v="7"/>
    <x v="3"/>
    <s v="George Kittle"/>
    <n v="12.2"/>
    <n v="2024"/>
  </r>
  <r>
    <x v="11"/>
    <s v="Cam"/>
    <n v="7"/>
    <x v="5"/>
    <s v="Evan McPherson"/>
    <n v="3"/>
    <n v="2024"/>
  </r>
  <r>
    <x v="11"/>
    <s v="Cam"/>
    <n v="7"/>
    <x v="4"/>
    <s v="New Orleans"/>
    <n v="1"/>
    <n v="2024"/>
  </r>
  <r>
    <x v="11"/>
    <s v="Cam"/>
    <n v="7"/>
    <x v="7"/>
    <s v="Rhamondre Stevenson"/>
    <n v="3.5"/>
    <n v="2024"/>
  </r>
  <r>
    <x v="0"/>
    <s v="Brenton"/>
    <n v="8"/>
    <x v="0"/>
    <s v="Baker Mayfield"/>
    <n v="22.3"/>
    <n v="2024"/>
  </r>
  <r>
    <x v="0"/>
    <s v="Brenton"/>
    <n v="8"/>
    <x v="1"/>
    <s v="Zay Flowers"/>
    <n v="15"/>
    <n v="2024"/>
  </r>
  <r>
    <x v="0"/>
    <s v="Brenton"/>
    <n v="8"/>
    <x v="1"/>
    <s v="Courtland Sutton"/>
    <n v="13.12"/>
    <n v="2024"/>
  </r>
  <r>
    <x v="0"/>
    <s v="Brenton"/>
    <n v="8"/>
    <x v="1"/>
    <s v="Tyreek Hill"/>
    <n v="10.199999999999999"/>
    <n v="2024"/>
  </r>
  <r>
    <x v="0"/>
    <s v="Brenton"/>
    <n v="8"/>
    <x v="2"/>
    <s v="Tank Bigsby"/>
    <n v="9.6"/>
    <n v="2024"/>
  </r>
  <r>
    <x v="0"/>
    <s v="Brenton"/>
    <n v="8"/>
    <x v="2"/>
    <s v="Javonte Williams"/>
    <n v="7.2"/>
    <n v="2024"/>
  </r>
  <r>
    <x v="0"/>
    <s v="Brenton"/>
    <n v="8"/>
    <x v="3"/>
    <s v="Trey McBride"/>
    <n v="16.899999999999999"/>
    <n v="2024"/>
  </r>
  <r>
    <x v="0"/>
    <s v="Brenton"/>
    <n v="8"/>
    <x v="5"/>
    <s v="Will Reichard"/>
    <n v="8"/>
    <n v="2024"/>
  </r>
  <r>
    <x v="0"/>
    <s v="Brenton"/>
    <n v="8"/>
    <x v="4"/>
    <s v="Detroit"/>
    <n v="12"/>
    <n v="2024"/>
  </r>
  <r>
    <x v="0"/>
    <s v="Brenton"/>
    <n v="8"/>
    <x v="6"/>
    <s v="Jayden Reed"/>
    <n v="6.5"/>
    <n v="2024"/>
  </r>
  <r>
    <x v="8"/>
    <s v="Schulwolf"/>
    <n v="8"/>
    <x v="0"/>
    <s v="Jordan Love"/>
    <n v="5.74"/>
    <n v="2024"/>
  </r>
  <r>
    <x v="8"/>
    <s v="Schulwolf"/>
    <n v="8"/>
    <x v="1"/>
    <s v="Terry McLaurin"/>
    <n v="15"/>
    <n v="2024"/>
  </r>
  <r>
    <x v="8"/>
    <s v="Schulwolf"/>
    <n v="8"/>
    <x v="1"/>
    <s v="Devonta Smith"/>
    <n v="17.5"/>
    <n v="2024"/>
  </r>
  <r>
    <x v="8"/>
    <s v="Schulwolf"/>
    <n v="8"/>
    <x v="1"/>
    <s v="Cooper Kupp"/>
    <n v="13.6"/>
    <n v="2024"/>
  </r>
  <r>
    <x v="8"/>
    <s v="Schulwolf"/>
    <n v="8"/>
    <x v="2"/>
    <s v="Jahmyr Gibbs"/>
    <n v="19.8"/>
    <n v="2024"/>
  </r>
  <r>
    <x v="8"/>
    <s v="Schulwolf"/>
    <n v="8"/>
    <x v="2"/>
    <s v="James Cook"/>
    <n v="26.8"/>
    <n v="2024"/>
  </r>
  <r>
    <x v="8"/>
    <s v="Schulwolf"/>
    <n v="8"/>
    <x v="3"/>
    <s v="Dalton Kincaid"/>
    <n v="11.1"/>
    <n v="2024"/>
  </r>
  <r>
    <x v="8"/>
    <s v="Schulwolf"/>
    <n v="8"/>
    <x v="5"/>
    <s v="Brandon Aubrey"/>
    <n v="6"/>
    <n v="2024"/>
  </r>
  <r>
    <x v="8"/>
    <s v="Schulwolf"/>
    <n v="8"/>
    <x v="4"/>
    <s v="Denver"/>
    <n v="8"/>
    <n v="2024"/>
  </r>
  <r>
    <x v="8"/>
    <s v="Schulwolf"/>
    <n v="8"/>
    <x v="6"/>
    <s v="Tyler Lockett"/>
    <n v="1.4"/>
    <n v="2024"/>
  </r>
  <r>
    <x v="2"/>
    <s v="Mike"/>
    <n v="8"/>
    <x v="0"/>
    <s v="Tua Tagovailoa"/>
    <n v="14.66"/>
    <n v="2024"/>
  </r>
  <r>
    <x v="2"/>
    <s v="Mike"/>
    <n v="8"/>
    <x v="1"/>
    <s v="Khalil Shakir"/>
    <n v="15.4"/>
    <n v="2024"/>
  </r>
  <r>
    <x v="2"/>
    <s v="Mike"/>
    <n v="8"/>
    <x v="1"/>
    <s v="Tank Dell"/>
    <n v="11.5"/>
    <n v="2024"/>
  </r>
  <r>
    <x v="2"/>
    <s v="Mike"/>
    <n v="8"/>
    <x v="1"/>
    <s v="Davante Adams"/>
    <n v="7.4"/>
    <n v="2024"/>
  </r>
  <r>
    <x v="2"/>
    <s v="Mike"/>
    <n v="8"/>
    <x v="2"/>
    <s v="Derrick Henry"/>
    <n v="14.2"/>
    <n v="2024"/>
  </r>
  <r>
    <x v="2"/>
    <s v="Mike"/>
    <n v="8"/>
    <x v="2"/>
    <s v="Kareem Hunt"/>
    <n v="12.8"/>
    <n v="2024"/>
  </r>
  <r>
    <x v="2"/>
    <s v="Mike"/>
    <n v="8"/>
    <x v="3"/>
    <s v="Jake Ferguson"/>
    <n v="5.3"/>
    <n v="2024"/>
  </r>
  <r>
    <x v="2"/>
    <s v="Mike"/>
    <n v="8"/>
    <x v="5"/>
    <s v="Younghoe Koo"/>
    <n v="6"/>
    <n v="2024"/>
  </r>
  <r>
    <x v="2"/>
    <s v="Mike"/>
    <n v="8"/>
    <x v="4"/>
    <s v="Buffalo"/>
    <n v="10"/>
    <n v="2024"/>
  </r>
  <r>
    <x v="2"/>
    <s v="Mike"/>
    <n v="8"/>
    <x v="7"/>
    <s v="Nick Chubb"/>
    <n v="5.2"/>
    <n v="2024"/>
  </r>
  <r>
    <x v="10"/>
    <s v="Brand"/>
    <n v="8"/>
    <x v="0"/>
    <s v="Anthony Richardson"/>
    <n v="11.5"/>
    <n v="2024"/>
  </r>
  <r>
    <x v="10"/>
    <s v="Brand"/>
    <n v="8"/>
    <x v="1"/>
    <s v="Garrett Wilson"/>
    <n v="13.8"/>
    <n v="2024"/>
  </r>
  <r>
    <x v="10"/>
    <s v="Brand"/>
    <n v="8"/>
    <x v="1"/>
    <s v="Keenan Allen"/>
    <n v="4.9000000000000004"/>
    <n v="2024"/>
  </r>
  <r>
    <x v="10"/>
    <s v="Brand"/>
    <n v="8"/>
    <x v="1"/>
    <s v="Michael Pittman"/>
    <n v="2.1"/>
    <n v="2024"/>
  </r>
  <r>
    <x v="10"/>
    <s v="Brand"/>
    <n v="8"/>
    <x v="2"/>
    <s v="Bucky Irving"/>
    <n v="11.9"/>
    <n v="2024"/>
  </r>
  <r>
    <x v="10"/>
    <s v="Brand"/>
    <n v="8"/>
    <x v="2"/>
    <s v="Breece Hall"/>
    <n v="9.4"/>
    <n v="2024"/>
  </r>
  <r>
    <x v="10"/>
    <s v="Brand"/>
    <n v="8"/>
    <x v="3"/>
    <s v="Taysom Hill"/>
    <n v="5.22"/>
    <n v="2024"/>
  </r>
  <r>
    <x v="10"/>
    <s v="Brand"/>
    <n v="8"/>
    <x v="5"/>
    <s v="Cameron Dicker"/>
    <n v="8"/>
    <n v="2024"/>
  </r>
  <r>
    <x v="10"/>
    <s v="Brand"/>
    <n v="8"/>
    <x v="4"/>
    <s v="San Francisco"/>
    <n v="7"/>
    <n v="2024"/>
  </r>
  <r>
    <x v="10"/>
    <s v="Brand"/>
    <n v="8"/>
    <x v="7"/>
    <s v="Kenneth Walker"/>
    <n v="6.5"/>
    <n v="2024"/>
  </r>
  <r>
    <x v="1"/>
    <s v="Todd"/>
    <n v="8"/>
    <x v="0"/>
    <s v="Sam Darnold"/>
    <n v="18.2"/>
    <n v="2024"/>
  </r>
  <r>
    <x v="1"/>
    <s v="Todd"/>
    <n v="8"/>
    <x v="1"/>
    <s v="Darnell Mooney"/>
    <n v="16.600000000000001"/>
    <n v="2024"/>
  </r>
  <r>
    <x v="1"/>
    <s v="Todd"/>
    <n v="8"/>
    <x v="1"/>
    <s v="Brian Thomas Jr"/>
    <n v="13.5"/>
    <n v="2024"/>
  </r>
  <r>
    <x v="1"/>
    <s v="Todd"/>
    <n v="8"/>
    <x v="1"/>
    <s v="AJ Brown"/>
    <n v="10.9"/>
    <n v="2024"/>
  </r>
  <r>
    <x v="1"/>
    <s v="Todd"/>
    <n v="8"/>
    <x v="2"/>
    <s v="De'Von Achane"/>
    <n v="23.7"/>
    <n v="2024"/>
  </r>
  <r>
    <x v="1"/>
    <s v="Todd"/>
    <n v="8"/>
    <x v="2"/>
    <s v="James Conner"/>
    <n v="13.9"/>
    <n v="2024"/>
  </r>
  <r>
    <x v="1"/>
    <s v="Todd"/>
    <n v="8"/>
    <x v="3"/>
    <s v="Tucker Kraft"/>
    <n v="15.3"/>
    <n v="2024"/>
  </r>
  <r>
    <x v="1"/>
    <s v="Todd"/>
    <n v="8"/>
    <x v="5"/>
    <s v="Chris Boswell"/>
    <n v="14"/>
    <n v="2024"/>
  </r>
  <r>
    <x v="1"/>
    <s v="Todd"/>
    <n v="8"/>
    <x v="4"/>
    <s v="LA Chargers"/>
    <n v="11"/>
    <n v="2024"/>
  </r>
  <r>
    <x v="1"/>
    <s v="Todd"/>
    <n v="8"/>
    <x v="6"/>
    <s v="Deebo Samuel"/>
    <n v="10.6"/>
    <n v="2024"/>
  </r>
  <r>
    <x v="5"/>
    <s v="Burnett/Jasjaap"/>
    <n v="8"/>
    <x v="0"/>
    <s v="Brock Purdy"/>
    <n v="26"/>
    <n v="2024"/>
  </r>
  <r>
    <x v="5"/>
    <s v="Burnett/Jasjaap"/>
    <n v="8"/>
    <x v="1"/>
    <s v="CeeDee Lamb"/>
    <n v="33.1"/>
    <n v="2024"/>
  </r>
  <r>
    <x v="5"/>
    <s v="Burnett/Jasjaap"/>
    <n v="8"/>
    <x v="1"/>
    <s v="Jerry Jeudy"/>
    <n v="10.4"/>
    <n v="2024"/>
  </r>
  <r>
    <x v="5"/>
    <s v="Burnett/Jasjaap"/>
    <n v="8"/>
    <x v="1"/>
    <s v="Ricky Pearsall"/>
    <n v="9.6999999999999993"/>
    <n v="2024"/>
  </r>
  <r>
    <x v="5"/>
    <s v="Burnett/Jasjaap"/>
    <n v="8"/>
    <x v="2"/>
    <s v="Josh Jacobs"/>
    <n v="25"/>
    <n v="2024"/>
  </r>
  <r>
    <x v="5"/>
    <s v="Burnett/Jasjaap"/>
    <n v="8"/>
    <x v="2"/>
    <s v="David Montgomery"/>
    <n v="14.42"/>
    <n v="2024"/>
  </r>
  <r>
    <x v="5"/>
    <s v="Burnett/Jasjaap"/>
    <n v="8"/>
    <x v="3"/>
    <s v="Brock Bowers"/>
    <n v="8.3000000000000007"/>
    <n v="2024"/>
  </r>
  <r>
    <x v="5"/>
    <s v="Burnett/Jasjaap"/>
    <n v="8"/>
    <x v="5"/>
    <s v="Austin Seibert"/>
    <n v="13"/>
    <n v="2024"/>
  </r>
  <r>
    <x v="5"/>
    <s v="Burnett/Jasjaap"/>
    <n v="8"/>
    <x v="4"/>
    <s v="Kansas City"/>
    <n v="9"/>
    <n v="2024"/>
  </r>
  <r>
    <x v="5"/>
    <s v="Burnett/Jasjaap"/>
    <n v="8"/>
    <x v="6"/>
    <s v="Jaylen Waddle"/>
    <n v="6.5"/>
    <n v="2024"/>
  </r>
  <r>
    <x v="4"/>
    <s v="Eli"/>
    <n v="8"/>
    <x v="0"/>
    <s v="Jalen Hurts"/>
    <n v="35.14"/>
    <n v="2024"/>
  </r>
  <r>
    <x v="4"/>
    <s v="Eli"/>
    <n v="8"/>
    <x v="1"/>
    <s v="Justin Jefferson"/>
    <n v="15.5"/>
    <n v="2024"/>
  </r>
  <r>
    <x v="4"/>
    <s v="Eli"/>
    <n v="8"/>
    <x v="1"/>
    <s v="Jalen McMillan"/>
    <n v="7.2"/>
    <n v="2024"/>
  </r>
  <r>
    <x v="4"/>
    <s v="Eli"/>
    <n v="8"/>
    <x v="1"/>
    <s v="DJ Moore"/>
    <n v="4.4000000000000004"/>
    <n v="2024"/>
  </r>
  <r>
    <x v="4"/>
    <s v="Eli"/>
    <n v="8"/>
    <x v="2"/>
    <s v="Bijan Robinson"/>
    <n v="20.100000000000001"/>
    <n v="2024"/>
  </r>
  <r>
    <x v="4"/>
    <s v="Eli"/>
    <n v="8"/>
    <x v="2"/>
    <s v="Jordan Mason"/>
    <n v="1.8"/>
    <n v="2024"/>
  </r>
  <r>
    <x v="4"/>
    <s v="Eli"/>
    <n v="8"/>
    <x v="3"/>
    <s v="Kyle Pitts"/>
    <n v="23.1"/>
    <n v="2024"/>
  </r>
  <r>
    <x v="4"/>
    <s v="Eli"/>
    <n v="8"/>
    <x v="5"/>
    <s v="Tyler Bass"/>
    <n v="7"/>
    <n v="2024"/>
  </r>
  <r>
    <x v="4"/>
    <s v="Eli"/>
    <n v="8"/>
    <x v="4"/>
    <s v="NYJ"/>
    <n v="3"/>
    <n v="2024"/>
  </r>
  <r>
    <x v="4"/>
    <s v="Eli"/>
    <n v="8"/>
    <x v="8"/>
    <s v="David Njoku"/>
    <n v="14.6"/>
    <n v="2024"/>
  </r>
  <r>
    <x v="11"/>
    <s v="Cam"/>
    <n v="8"/>
    <x v="0"/>
    <s v="Joe Burrow"/>
    <n v="12.86"/>
    <n v="2024"/>
  </r>
  <r>
    <x v="11"/>
    <s v="Cam"/>
    <n v="8"/>
    <x v="1"/>
    <s v="Ja'Marr Chase"/>
    <n v="15.9"/>
    <n v="2024"/>
  </r>
  <r>
    <x v="11"/>
    <s v="Cam"/>
    <n v="8"/>
    <x v="1"/>
    <s v="Jakobi Meyers"/>
    <n v="14.2"/>
    <n v="2024"/>
  </r>
  <r>
    <x v="11"/>
    <s v="Cam"/>
    <n v="8"/>
    <x v="1"/>
    <s v="Wan'Dale Robinson"/>
    <n v="5.5"/>
    <n v="2024"/>
  </r>
  <r>
    <x v="11"/>
    <s v="Cam"/>
    <n v="8"/>
    <x v="2"/>
    <s v="D'Andre Swift"/>
    <n v="18.899999999999999"/>
    <n v="2024"/>
  </r>
  <r>
    <x v="11"/>
    <s v="Cam"/>
    <n v="8"/>
    <x v="2"/>
    <s v="JK Dobbins"/>
    <n v="14.8"/>
    <n v="2024"/>
  </r>
  <r>
    <x v="11"/>
    <s v="Cam"/>
    <n v="8"/>
    <x v="3"/>
    <s v="George Kittle"/>
    <n v="21.8"/>
    <n v="2024"/>
  </r>
  <r>
    <x v="11"/>
    <s v="Cam"/>
    <n v="8"/>
    <x v="5"/>
    <s v="Evan McPherson"/>
    <n v="5"/>
    <n v="2024"/>
  </r>
  <r>
    <x v="11"/>
    <s v="Cam"/>
    <n v="8"/>
    <x v="4"/>
    <s v="Green Bay"/>
    <n v="4"/>
    <n v="2024"/>
  </r>
  <r>
    <x v="11"/>
    <s v="Cam"/>
    <n v="8"/>
    <x v="7"/>
    <s v="Aaron Jones"/>
    <n v="10.5"/>
    <n v="2024"/>
  </r>
  <r>
    <x v="6"/>
    <s v="Will"/>
    <n v="8"/>
    <x v="0"/>
    <s v="Caleb Williams"/>
    <n v="9.94"/>
    <n v="2024"/>
  </r>
  <r>
    <x v="6"/>
    <s v="Will"/>
    <n v="8"/>
    <x v="1"/>
    <s v="Ladd McConkey"/>
    <n v="26.1"/>
    <n v="2024"/>
  </r>
  <r>
    <x v="6"/>
    <s v="Will"/>
    <n v="8"/>
    <x v="1"/>
    <s v="Jaxon Smith-Njigba"/>
    <n v="9.9"/>
    <n v="2024"/>
  </r>
  <r>
    <x v="6"/>
    <s v="Will"/>
    <n v="8"/>
    <x v="1"/>
    <s v="Amon-Ra St. Brown"/>
    <n v="7.7"/>
    <n v="2024"/>
  </r>
  <r>
    <x v="6"/>
    <s v="Will"/>
    <n v="8"/>
    <x v="2"/>
    <s v="Austin Ekeler"/>
    <n v="6.8"/>
    <n v="2024"/>
  </r>
  <r>
    <x v="6"/>
    <s v="Will"/>
    <n v="8"/>
    <x v="2"/>
    <s v="D'Ernest Johnson"/>
    <n v="2.8"/>
    <n v="2024"/>
  </r>
  <r>
    <x v="6"/>
    <s v="Will"/>
    <n v="8"/>
    <x v="3"/>
    <s v="Travis Kelce"/>
    <n v="20"/>
    <n v="2024"/>
  </r>
  <r>
    <x v="6"/>
    <s v="Will"/>
    <n v="8"/>
    <x v="5"/>
    <s v="Jason Myers"/>
    <n v="4"/>
    <n v="2024"/>
  </r>
  <r>
    <x v="6"/>
    <s v="Will"/>
    <n v="8"/>
    <x v="4"/>
    <s v="Houston"/>
    <n v="9"/>
    <n v="2024"/>
  </r>
  <r>
    <x v="6"/>
    <s v="Will"/>
    <n v="8"/>
    <x v="6"/>
    <s v="Drake London"/>
    <n v="5.4"/>
    <n v="2024"/>
  </r>
  <r>
    <x v="3"/>
    <s v="Kevin"/>
    <n v="8"/>
    <x v="0"/>
    <s v="CJ Stroud"/>
    <n v="12.4"/>
    <n v="2024"/>
  </r>
  <r>
    <x v="3"/>
    <s v="Kevin"/>
    <n v="8"/>
    <x v="1"/>
    <s v="Marvin Harrison Jr"/>
    <n v="20.100000000000001"/>
    <n v="2024"/>
  </r>
  <r>
    <x v="3"/>
    <s v="Kevin"/>
    <n v="8"/>
    <x v="1"/>
    <s v="George Pickens"/>
    <n v="9.4"/>
    <n v="2024"/>
  </r>
  <r>
    <x v="3"/>
    <s v="Kevin"/>
    <n v="8"/>
    <x v="1"/>
    <s v="Jordan Addison"/>
    <n v="3.2"/>
    <n v="2024"/>
  </r>
  <r>
    <x v="3"/>
    <s v="Kevin"/>
    <n v="8"/>
    <x v="2"/>
    <s v="Joe Mixon"/>
    <n v="21.4"/>
    <n v="2024"/>
  </r>
  <r>
    <x v="3"/>
    <s v="Kevin"/>
    <n v="8"/>
    <x v="2"/>
    <s v="Najee Harris"/>
    <n v="14.6"/>
    <n v="2024"/>
  </r>
  <r>
    <x v="3"/>
    <s v="Kevin"/>
    <n v="8"/>
    <x v="3"/>
    <s v="Hunter Henry"/>
    <n v="7"/>
    <n v="2024"/>
  </r>
  <r>
    <x v="3"/>
    <s v="Kevin"/>
    <n v="8"/>
    <x v="5"/>
    <s v="Justin Tucker"/>
    <n v="7"/>
    <n v="2024"/>
  </r>
  <r>
    <x v="3"/>
    <s v="Kevin"/>
    <n v="8"/>
    <x v="4"/>
    <s v="NY Giants"/>
    <n v="2"/>
    <n v="2024"/>
  </r>
  <r>
    <x v="3"/>
    <s v="Kevin"/>
    <n v="8"/>
    <x v="7"/>
    <s v="Chuba Hubbard"/>
    <n v="8.1"/>
    <n v="2024"/>
  </r>
  <r>
    <x v="7"/>
    <s v="Jay"/>
    <n v="8"/>
    <x v="0"/>
    <s v="Lamar Jackson"/>
    <n v="24.16"/>
    <n v="2024"/>
  </r>
  <r>
    <x v="7"/>
    <s v="Jay"/>
    <n v="8"/>
    <x v="1"/>
    <s v="Stefon Diggs"/>
    <n v="10.199999999999999"/>
    <n v="2024"/>
  </r>
  <r>
    <x v="7"/>
    <s v="Jay"/>
    <n v="8"/>
    <x v="1"/>
    <s v="Christian Kirk"/>
    <n v="6.9"/>
    <n v="2024"/>
  </r>
  <r>
    <x v="7"/>
    <s v="Jay"/>
    <n v="8"/>
    <x v="1"/>
    <s v="Amari Cooper"/>
    <n v="0.8"/>
    <n v="2024"/>
  </r>
  <r>
    <x v="7"/>
    <s v="Jay"/>
    <n v="8"/>
    <x v="2"/>
    <s v="Jonathan Taylor"/>
    <n v="18.2"/>
    <n v="2024"/>
  </r>
  <r>
    <x v="7"/>
    <s v="Jay"/>
    <n v="8"/>
    <x v="2"/>
    <s v="Alvin Kamara"/>
    <n v="15.2"/>
    <n v="2024"/>
  </r>
  <r>
    <x v="7"/>
    <s v="Jay"/>
    <n v="8"/>
    <x v="3"/>
    <s v="Evan Engram"/>
    <n v="11.6"/>
    <n v="2024"/>
  </r>
  <r>
    <x v="7"/>
    <s v="Jay"/>
    <n v="8"/>
    <x v="5"/>
    <s v="Ka'imi Fairbairn"/>
    <n v="11"/>
    <n v="2024"/>
  </r>
  <r>
    <x v="7"/>
    <s v="Jay"/>
    <n v="8"/>
    <x v="4"/>
    <s v="Miami"/>
    <n v="-1"/>
    <n v="2024"/>
  </r>
  <r>
    <x v="7"/>
    <s v="Jay"/>
    <n v="8"/>
    <x v="7"/>
    <s v="Brian Robinson"/>
    <n v="8.1"/>
    <n v="2024"/>
  </r>
  <r>
    <x v="9"/>
    <s v="Tommy"/>
    <n v="8"/>
    <x v="0"/>
    <s v="Josh Allen"/>
    <n v="19.82"/>
    <n v="2024"/>
  </r>
  <r>
    <x v="9"/>
    <s v="Tommy"/>
    <n v="8"/>
    <x v="1"/>
    <s v="Malik Nabers"/>
    <n v="10.6"/>
    <n v="2024"/>
  </r>
  <r>
    <x v="9"/>
    <s v="Tommy"/>
    <n v="8"/>
    <x v="1"/>
    <s v="Xavier Worthy"/>
    <n v="11.7"/>
    <n v="2024"/>
  </r>
  <r>
    <x v="9"/>
    <s v="Tommy"/>
    <n v="8"/>
    <x v="1"/>
    <s v="Romeo Doubs"/>
    <n v="8.6999999999999993"/>
    <n v="2024"/>
  </r>
  <r>
    <x v="9"/>
    <s v="Tommy"/>
    <n v="8"/>
    <x v="2"/>
    <s v="Kyren Williams"/>
    <n v="20.100000000000001"/>
    <n v="2024"/>
  </r>
  <r>
    <x v="9"/>
    <s v="Tommy"/>
    <n v="8"/>
    <x v="2"/>
    <s v="Rachaad White"/>
    <n v="13.2"/>
    <n v="2024"/>
  </r>
  <r>
    <x v="9"/>
    <s v="Tommy"/>
    <n v="8"/>
    <x v="3"/>
    <s v="Mark Andrews"/>
    <n v="12.1"/>
    <n v="2024"/>
  </r>
  <r>
    <x v="9"/>
    <s v="Tommy"/>
    <n v="8"/>
    <x v="5"/>
    <s v="Harrison Butker"/>
    <n v="10"/>
    <n v="2024"/>
  </r>
  <r>
    <x v="9"/>
    <s v="Tommy"/>
    <n v="8"/>
    <x v="4"/>
    <s v="Minnesota"/>
    <n v="0"/>
    <n v="2024"/>
  </r>
  <r>
    <x v="9"/>
    <s v="Tommy"/>
    <n v="8"/>
    <x v="7"/>
    <s v="Saquon Barkley"/>
    <n v="11.6"/>
    <n v="2024"/>
  </r>
  <r>
    <x v="0"/>
    <s v="Brenton"/>
    <n v="9"/>
    <x v="0"/>
    <s v="Baker Mayfield"/>
    <n v="18"/>
    <n v="2024"/>
  </r>
  <r>
    <x v="0"/>
    <s v="Brenton"/>
    <n v="9"/>
    <x v="1"/>
    <s v="Courtland Sutton"/>
    <n v="19.78"/>
    <n v="2024"/>
  </r>
  <r>
    <x v="0"/>
    <s v="Brenton"/>
    <n v="9"/>
    <x v="1"/>
    <s v="Cedric Tillman"/>
    <n v="16.5"/>
    <n v="2024"/>
  </r>
  <r>
    <x v="0"/>
    <s v="Brenton"/>
    <n v="9"/>
    <x v="1"/>
    <s v="Jayden Reed"/>
    <n v="13.8"/>
    <n v="2024"/>
  </r>
  <r>
    <x v="0"/>
    <s v="Brenton"/>
    <n v="9"/>
    <x v="2"/>
    <s v="Javonte Williams"/>
    <n v="9.4"/>
    <n v="2024"/>
  </r>
  <r>
    <x v="0"/>
    <s v="Brenton"/>
    <n v="9"/>
    <x v="2"/>
    <s v="Tyrone Tracy"/>
    <n v="7.4"/>
    <n v="2024"/>
  </r>
  <r>
    <x v="0"/>
    <s v="Brenton"/>
    <n v="9"/>
    <x v="3"/>
    <s v="Trey McBride"/>
    <n v="11.2"/>
    <n v="2024"/>
  </r>
  <r>
    <x v="0"/>
    <s v="Brenton"/>
    <n v="9"/>
    <x v="5"/>
    <s v="Will Reichard"/>
    <n v="2"/>
    <n v="2024"/>
  </r>
  <r>
    <x v="0"/>
    <s v="Brenton"/>
    <n v="9"/>
    <x v="4"/>
    <s v="Baltimore"/>
    <n v="9"/>
    <n v="2024"/>
  </r>
  <r>
    <x v="0"/>
    <s v="Brenton"/>
    <n v="9"/>
    <x v="6"/>
    <s v="Tyreek Hill"/>
    <n v="10"/>
    <n v="2024"/>
  </r>
  <r>
    <x v="10"/>
    <s v="Brand"/>
    <n v="9"/>
    <x v="0"/>
    <s v="Kirk Cousins"/>
    <n v="17.78"/>
    <n v="2024"/>
  </r>
  <r>
    <x v="10"/>
    <s v="Brand"/>
    <n v="9"/>
    <x v="1"/>
    <s v="Garrett Wilson"/>
    <n v="25.5"/>
    <n v="2024"/>
  </r>
  <r>
    <x v="10"/>
    <s v="Brand"/>
    <n v="9"/>
    <x v="1"/>
    <s v="Keenan Allen"/>
    <n v="5.6"/>
    <n v="2024"/>
  </r>
  <r>
    <x v="10"/>
    <s v="Brand"/>
    <n v="9"/>
    <x v="1"/>
    <s v="Michael Pittman"/>
    <n v="1.9"/>
    <n v="2024"/>
  </r>
  <r>
    <x v="10"/>
    <s v="Brand"/>
    <n v="9"/>
    <x v="2"/>
    <s v="Kenneth Walker"/>
    <n v="12.2"/>
    <n v="2024"/>
  </r>
  <r>
    <x v="10"/>
    <s v="Brand"/>
    <n v="9"/>
    <x v="2"/>
    <s v="Breece Hall"/>
    <n v="9.5"/>
    <n v="2024"/>
  </r>
  <r>
    <x v="10"/>
    <s v="Brand"/>
    <n v="9"/>
    <x v="3"/>
    <s v="Taysom Hill"/>
    <n v="14"/>
    <n v="2024"/>
  </r>
  <r>
    <x v="10"/>
    <s v="Brand"/>
    <n v="9"/>
    <x v="5"/>
    <s v="Cameron Dicker"/>
    <n v="1"/>
    <n v="2024"/>
  </r>
  <r>
    <x v="10"/>
    <s v="Brand"/>
    <n v="9"/>
    <x v="4"/>
    <s v="LA Chargers"/>
    <n v="19"/>
    <n v="2024"/>
  </r>
  <r>
    <x v="10"/>
    <s v="Brand"/>
    <n v="9"/>
    <x v="7"/>
    <s v="Bucky Irving"/>
    <n v="4.9000000000000004"/>
    <n v="2024"/>
  </r>
  <r>
    <x v="2"/>
    <s v="Mike"/>
    <n v="9"/>
    <x v="0"/>
    <s v="Patrick Mahomes"/>
    <n v="24.54"/>
    <n v="2024"/>
  </r>
  <r>
    <x v="2"/>
    <s v="Mike"/>
    <n v="9"/>
    <x v="1"/>
    <s v="Davante Adams"/>
    <n v="18.600000000000001"/>
    <n v="2024"/>
  </r>
  <r>
    <x v="2"/>
    <s v="Mike"/>
    <n v="9"/>
    <x v="1"/>
    <s v="Tank Dell"/>
    <n v="15.6"/>
    <n v="2024"/>
  </r>
  <r>
    <x v="2"/>
    <s v="Mike"/>
    <n v="9"/>
    <x v="1"/>
    <s v="Khalil Shakir"/>
    <n v="8"/>
    <n v="2024"/>
  </r>
  <r>
    <x v="2"/>
    <s v="Mike"/>
    <n v="9"/>
    <x v="2"/>
    <s v="Derrick Henry"/>
    <n v="25.8"/>
    <n v="2024"/>
  </r>
  <r>
    <x v="2"/>
    <s v="Mike"/>
    <n v="9"/>
    <x v="2"/>
    <s v="Kareem Hunt"/>
    <n v="18.2"/>
    <n v="2024"/>
  </r>
  <r>
    <x v="2"/>
    <s v="Mike"/>
    <n v="9"/>
    <x v="3"/>
    <s v="Sam LaPorta"/>
    <n v="3.8"/>
    <n v="2024"/>
  </r>
  <r>
    <x v="2"/>
    <s v="Mike"/>
    <n v="9"/>
    <x v="5"/>
    <s v="Younghoe Koo"/>
    <n v="3"/>
    <n v="2024"/>
  </r>
  <r>
    <x v="2"/>
    <s v="Mike"/>
    <n v="9"/>
    <x v="4"/>
    <s v="Buffalo"/>
    <n v="2"/>
    <n v="2024"/>
  </r>
  <r>
    <x v="2"/>
    <s v="Mike"/>
    <n v="9"/>
    <x v="7"/>
    <s v="Nick Chubb"/>
    <n v="4"/>
    <n v="2024"/>
  </r>
  <r>
    <x v="5"/>
    <s v="Burnett/Jasjaap"/>
    <n v="9"/>
    <x v="0"/>
    <s v="Bo Nix"/>
    <n v="17.22"/>
    <n v="2024"/>
  </r>
  <r>
    <x v="5"/>
    <s v="Burnett/Jasjaap"/>
    <n v="9"/>
    <x v="1"/>
    <s v="CeeDee Lamb"/>
    <n v="12.2"/>
    <n v="2024"/>
  </r>
  <r>
    <x v="5"/>
    <s v="Burnett/Jasjaap"/>
    <n v="9"/>
    <x v="1"/>
    <s v="Jaylen Waddle"/>
    <n v="6.6"/>
    <n v="2024"/>
  </r>
  <r>
    <x v="5"/>
    <s v="Burnett/Jasjaap"/>
    <n v="9"/>
    <x v="1"/>
    <s v="Jerry Jeudy"/>
    <n v="10.8"/>
    <n v="2024"/>
  </r>
  <r>
    <x v="5"/>
    <s v="Burnett/Jasjaap"/>
    <n v="9"/>
    <x v="2"/>
    <s v="Josh Jacobs"/>
    <n v="11.8"/>
    <n v="2024"/>
  </r>
  <r>
    <x v="5"/>
    <s v="Burnett/Jasjaap"/>
    <n v="9"/>
    <x v="2"/>
    <s v="David Montgomery"/>
    <n v="11.1"/>
    <n v="2024"/>
  </r>
  <r>
    <x v="5"/>
    <s v="Burnett/Jasjaap"/>
    <n v="9"/>
    <x v="3"/>
    <s v="Brock Bowers"/>
    <n v="13"/>
    <n v="2024"/>
  </r>
  <r>
    <x v="5"/>
    <s v="Burnett/Jasjaap"/>
    <n v="9"/>
    <x v="5"/>
    <s v="Austin Seibert"/>
    <n v="9"/>
    <n v="2024"/>
  </r>
  <r>
    <x v="5"/>
    <s v="Burnett/Jasjaap"/>
    <n v="9"/>
    <x v="4"/>
    <s v="Kansas City"/>
    <n v="3"/>
    <n v="2024"/>
  </r>
  <r>
    <x v="5"/>
    <s v="Burnett/Jasjaap"/>
    <n v="9"/>
    <x v="6"/>
    <s v="Puka Nacua"/>
    <n v="1.6"/>
    <n v="2024"/>
  </r>
  <r>
    <x v="1"/>
    <s v="Todd"/>
    <n v="9"/>
    <x v="0"/>
    <s v="Sam Darnold"/>
    <n v="19"/>
    <n v="2024"/>
  </r>
  <r>
    <x v="1"/>
    <s v="Todd"/>
    <n v="9"/>
    <x v="1"/>
    <s v="Darnell Mooney"/>
    <n v="17.3"/>
    <n v="2024"/>
  </r>
  <r>
    <x v="1"/>
    <s v="Todd"/>
    <n v="9"/>
    <x v="1"/>
    <s v="AJ Brown"/>
    <n v="4.5999999999999996"/>
    <n v="2024"/>
  </r>
  <r>
    <x v="1"/>
    <s v="Todd"/>
    <n v="9"/>
    <x v="1"/>
    <s v="Brian Thomas Jr"/>
    <n v="5.2"/>
    <n v="2024"/>
  </r>
  <r>
    <x v="1"/>
    <s v="Todd"/>
    <n v="9"/>
    <x v="2"/>
    <s v="De'Von Achane"/>
    <n v="28.1"/>
    <n v="2024"/>
  </r>
  <r>
    <x v="1"/>
    <s v="Todd"/>
    <n v="9"/>
    <x v="2"/>
    <s v="James Conner"/>
    <n v="13.4"/>
    <n v="2024"/>
  </r>
  <r>
    <x v="1"/>
    <s v="Todd"/>
    <n v="9"/>
    <x v="3"/>
    <s v="Tucker Kraft"/>
    <n v="5.6"/>
    <n v="2024"/>
  </r>
  <r>
    <x v="1"/>
    <s v="Todd"/>
    <n v="9"/>
    <x v="5"/>
    <s v="Jake Elliott"/>
    <n v="5"/>
    <n v="2024"/>
  </r>
  <r>
    <x v="1"/>
    <s v="Todd"/>
    <n v="9"/>
    <x v="4"/>
    <s v="New Orleans"/>
    <n v="4"/>
    <n v="2024"/>
  </r>
  <r>
    <x v="1"/>
    <s v="Todd"/>
    <n v="9"/>
    <x v="6"/>
    <s v="Diontae Johnson"/>
    <n v="0"/>
    <n v="2024"/>
  </r>
  <r>
    <x v="6"/>
    <s v="Will"/>
    <n v="9"/>
    <x v="0"/>
    <s v="Caleb Williams"/>
    <n v="9.18"/>
    <n v="2024"/>
  </r>
  <r>
    <x v="6"/>
    <s v="Will"/>
    <n v="9"/>
    <x v="1"/>
    <s v="Drake London"/>
    <n v="9.6999999999999993"/>
    <n v="2024"/>
  </r>
  <r>
    <x v="6"/>
    <s v="Will"/>
    <n v="9"/>
    <x v="1"/>
    <s v="Amon-Ra St. Brown"/>
    <n v="15.1"/>
    <n v="2024"/>
  </r>
  <r>
    <x v="6"/>
    <s v="Will"/>
    <n v="9"/>
    <x v="1"/>
    <s v="Josh Downs"/>
    <n v="9"/>
    <n v="2024"/>
  </r>
  <r>
    <x v="6"/>
    <s v="Will"/>
    <n v="9"/>
    <x v="2"/>
    <s v="Tony Pollard"/>
    <n v="16.899999999999999"/>
    <n v="2024"/>
  </r>
  <r>
    <x v="6"/>
    <s v="Will"/>
    <n v="9"/>
    <x v="2"/>
    <s v="Travis Etienne"/>
    <n v="4"/>
    <n v="2024"/>
  </r>
  <r>
    <x v="6"/>
    <s v="Will"/>
    <n v="9"/>
    <x v="3"/>
    <s v="Travis Kelce"/>
    <n v="15"/>
    <n v="2024"/>
  </r>
  <r>
    <x v="6"/>
    <s v="Will"/>
    <n v="9"/>
    <x v="5"/>
    <s v="Jason Myers"/>
    <n v="1"/>
    <n v="2024"/>
  </r>
  <r>
    <x v="6"/>
    <s v="Will"/>
    <n v="9"/>
    <x v="4"/>
    <s v="Houston"/>
    <n v="3"/>
    <n v="2024"/>
  </r>
  <r>
    <x v="6"/>
    <s v="Will"/>
    <n v="9"/>
    <x v="6"/>
    <s v="Ladd McConkey"/>
    <n v="8.9"/>
    <n v="2024"/>
  </r>
  <r>
    <x v="4"/>
    <s v="Eli"/>
    <n v="9"/>
    <x v="0"/>
    <s v="Jalen Hurts"/>
    <n v="29.9"/>
    <n v="2024"/>
  </r>
  <r>
    <x v="4"/>
    <s v="Eli"/>
    <n v="9"/>
    <x v="1"/>
    <s v="Justin Jefferson"/>
    <n v="18.079999999999998"/>
    <n v="2024"/>
  </r>
  <r>
    <x v="4"/>
    <s v="Eli"/>
    <n v="9"/>
    <x v="1"/>
    <s v="Xavier Legette"/>
    <n v="11.9"/>
    <n v="2024"/>
  </r>
  <r>
    <x v="4"/>
    <s v="Eli"/>
    <n v="9"/>
    <x v="1"/>
    <s v="DJ Moore"/>
    <n v="5.3"/>
    <n v="2024"/>
  </r>
  <r>
    <x v="4"/>
    <s v="Eli"/>
    <n v="9"/>
    <x v="2"/>
    <s v="Bijan Robinson"/>
    <n v="18"/>
    <n v="2024"/>
  </r>
  <r>
    <x v="4"/>
    <s v="Eli"/>
    <n v="9"/>
    <x v="2"/>
    <s v="Roschon Johnson"/>
    <n v="3.1"/>
    <n v="2024"/>
  </r>
  <r>
    <x v="4"/>
    <s v="Eli"/>
    <n v="9"/>
    <x v="3"/>
    <s v="David Njoku"/>
    <n v="5.4"/>
    <n v="2024"/>
  </r>
  <r>
    <x v="4"/>
    <s v="Eli"/>
    <n v="9"/>
    <x v="5"/>
    <s v="Tyler Bass"/>
    <n v="13"/>
    <n v="2024"/>
  </r>
  <r>
    <x v="4"/>
    <s v="Eli"/>
    <n v="9"/>
    <x v="4"/>
    <s v="NYJ"/>
    <n v="13"/>
    <n v="2024"/>
  </r>
  <r>
    <x v="4"/>
    <s v="Eli"/>
    <n v="9"/>
    <x v="8"/>
    <s v="Kyle Pitts"/>
    <n v="1.6"/>
    <n v="2024"/>
  </r>
  <r>
    <x v="9"/>
    <s v="Tommy"/>
    <n v="9"/>
    <x v="0"/>
    <s v="Josh Allen"/>
    <n v="22.1"/>
    <n v="2024"/>
  </r>
  <r>
    <x v="9"/>
    <s v="Tommy"/>
    <n v="9"/>
    <x v="1"/>
    <s v="Malik Nabers"/>
    <n v="10.4"/>
    <n v="2024"/>
  </r>
  <r>
    <x v="9"/>
    <s v="Tommy"/>
    <n v="9"/>
    <x v="1"/>
    <s v="Romeo Doubs"/>
    <n v="4.8"/>
    <n v="2024"/>
  </r>
  <r>
    <x v="9"/>
    <s v="Tommy"/>
    <n v="9"/>
    <x v="1"/>
    <s v="Xavier Worthy"/>
    <n v="-1"/>
    <n v="2024"/>
  </r>
  <r>
    <x v="9"/>
    <s v="Tommy"/>
    <n v="9"/>
    <x v="2"/>
    <s v="Saquon Barkley"/>
    <n v="31.4"/>
    <n v="2024"/>
  </r>
  <r>
    <x v="9"/>
    <s v="Tommy"/>
    <n v="9"/>
    <x v="2"/>
    <s v="Kyren Williams"/>
    <n v="10"/>
    <n v="2024"/>
  </r>
  <r>
    <x v="9"/>
    <s v="Tommy"/>
    <n v="9"/>
    <x v="3"/>
    <s v="Mark Andrews"/>
    <n v="3.6"/>
    <n v="2024"/>
  </r>
  <r>
    <x v="9"/>
    <s v="Tommy"/>
    <n v="9"/>
    <x v="5"/>
    <s v="Harrison Butker"/>
    <n v="7"/>
    <n v="2024"/>
  </r>
  <r>
    <x v="9"/>
    <s v="Tommy"/>
    <n v="9"/>
    <x v="4"/>
    <s v="Minnesota"/>
    <n v="12"/>
    <n v="2024"/>
  </r>
  <r>
    <x v="9"/>
    <s v="Tommy"/>
    <n v="9"/>
    <x v="7"/>
    <s v="Alexander Mattison"/>
    <n v="3.6"/>
    <n v="2024"/>
  </r>
  <r>
    <x v="8"/>
    <s v="Schulwolf"/>
    <n v="9"/>
    <x v="0"/>
    <s v="Jayden Daniels"/>
    <n v="19.86"/>
    <n v="2024"/>
  </r>
  <r>
    <x v="8"/>
    <s v="Schulwolf"/>
    <n v="9"/>
    <x v="1"/>
    <s v="Devonta Smith"/>
    <n v="16.7"/>
    <n v="2024"/>
  </r>
  <r>
    <x v="8"/>
    <s v="Schulwolf"/>
    <n v="9"/>
    <x v="1"/>
    <s v="Cooper Kupp"/>
    <n v="15.9"/>
    <n v="2024"/>
  </r>
  <r>
    <x v="8"/>
    <s v="Schulwolf"/>
    <n v="9"/>
    <x v="1"/>
    <s v="Terry McLaurin"/>
    <n v="14.9"/>
    <n v="2024"/>
  </r>
  <r>
    <x v="8"/>
    <s v="Schulwolf"/>
    <n v="9"/>
    <x v="2"/>
    <s v="Jahmyr Gibbs"/>
    <n v="14.1"/>
    <n v="2024"/>
  </r>
  <r>
    <x v="8"/>
    <s v="Schulwolf"/>
    <n v="9"/>
    <x v="2"/>
    <s v="James Cook"/>
    <n v="9.4"/>
    <n v="2024"/>
  </r>
  <r>
    <x v="8"/>
    <s v="Schulwolf"/>
    <n v="9"/>
    <x v="3"/>
    <s v="Dalton Kincaid"/>
    <n v="5.2"/>
    <n v="2024"/>
  </r>
  <r>
    <x v="8"/>
    <s v="Schulwolf"/>
    <n v="9"/>
    <x v="5"/>
    <s v="Brandon Aubrey"/>
    <n v="9"/>
    <n v="2024"/>
  </r>
  <r>
    <x v="8"/>
    <s v="Schulwolf"/>
    <n v="9"/>
    <x v="4"/>
    <s v="Philadelphia"/>
    <n v="10"/>
    <n v="2024"/>
  </r>
  <r>
    <x v="8"/>
    <s v="Schulwolf"/>
    <n v="9"/>
    <x v="6"/>
    <s v="Tyler Lockett"/>
    <n v="13.8"/>
    <n v="2024"/>
  </r>
  <r>
    <x v="7"/>
    <s v="Jay"/>
    <n v="9"/>
    <x v="0"/>
    <s v="Lamar Jackson"/>
    <n v="23.6"/>
    <n v="2024"/>
  </r>
  <r>
    <x v="7"/>
    <s v="Jay"/>
    <n v="9"/>
    <x v="1"/>
    <s v="Quentin Johnston"/>
    <n v="20"/>
    <n v="2024"/>
  </r>
  <r>
    <x v="7"/>
    <s v="Jay"/>
    <n v="9"/>
    <x v="1"/>
    <s v="Parker Washington"/>
    <n v="5.6"/>
    <n v="2024"/>
  </r>
  <r>
    <x v="7"/>
    <s v="Jay"/>
    <n v="9"/>
    <x v="1"/>
    <s v="Keon Coleman"/>
    <n v="4.5999999999999996"/>
    <n v="2024"/>
  </r>
  <r>
    <x v="7"/>
    <s v="Jay"/>
    <n v="9"/>
    <x v="2"/>
    <s v="Alvin Kamara"/>
    <n v="24.5"/>
    <n v="2024"/>
  </r>
  <r>
    <x v="7"/>
    <s v="Jay"/>
    <n v="9"/>
    <x v="2"/>
    <s v="Jonathan Taylor"/>
    <n v="7.4"/>
    <n v="2024"/>
  </r>
  <r>
    <x v="7"/>
    <s v="Jay"/>
    <n v="9"/>
    <x v="3"/>
    <s v="Evan Engram"/>
    <n v="9"/>
    <n v="2024"/>
  </r>
  <r>
    <x v="7"/>
    <s v="Jay"/>
    <n v="9"/>
    <x v="5"/>
    <s v="Ka'imi Fairbairn"/>
    <n v="8"/>
    <n v="2024"/>
  </r>
  <r>
    <x v="7"/>
    <s v="Jay"/>
    <n v="9"/>
    <x v="4"/>
    <s v="Tennessee"/>
    <n v="12"/>
    <n v="2024"/>
  </r>
  <r>
    <x v="7"/>
    <s v="Jay"/>
    <n v="9"/>
    <x v="7"/>
    <s v="Devin Singletary"/>
    <n v="3.3"/>
    <n v="2024"/>
  </r>
  <r>
    <x v="11"/>
    <s v="Cam"/>
    <n v="9"/>
    <x v="0"/>
    <s v="Joe Burrow"/>
    <n v="29.14"/>
    <n v="2024"/>
  </r>
  <r>
    <x v="11"/>
    <s v="Cam"/>
    <n v="9"/>
    <x v="1"/>
    <s v="Jakobi Meyers"/>
    <n v="14.5"/>
    <n v="2024"/>
  </r>
  <r>
    <x v="11"/>
    <s v="Cam"/>
    <n v="9"/>
    <x v="1"/>
    <s v="Ja'Marr Chase"/>
    <n v="7.8"/>
    <n v="2024"/>
  </r>
  <r>
    <x v="11"/>
    <s v="Cam"/>
    <n v="9"/>
    <x v="1"/>
    <s v="Wan'Dale Robinson"/>
    <n v="2.5"/>
    <n v="2024"/>
  </r>
  <r>
    <x v="11"/>
    <s v="Cam"/>
    <n v="9"/>
    <x v="2"/>
    <s v="JK Dobbins"/>
    <n v="23.5"/>
    <n v="2024"/>
  </r>
  <r>
    <x v="11"/>
    <s v="Cam"/>
    <n v="9"/>
    <x v="2"/>
    <s v="D'Andre Swift"/>
    <n v="11.2"/>
    <n v="2024"/>
  </r>
  <r>
    <x v="11"/>
    <s v="Cam"/>
    <n v="9"/>
    <x v="3"/>
    <s v="Zach Ertz"/>
    <n v="1"/>
    <n v="2024"/>
  </r>
  <r>
    <x v="11"/>
    <s v="Cam"/>
    <n v="9"/>
    <x v="5"/>
    <s v="Chase McLaughlin"/>
    <n v="7"/>
    <n v="2024"/>
  </r>
  <r>
    <x v="11"/>
    <s v="Cam"/>
    <n v="9"/>
    <x v="4"/>
    <s v="Chicago"/>
    <n v="6"/>
    <n v="2024"/>
  </r>
  <r>
    <x v="11"/>
    <s v="Cam"/>
    <n v="9"/>
    <x v="7"/>
    <s v="Aaron Jones"/>
    <n v="10.199999999999999"/>
    <n v="2024"/>
  </r>
  <r>
    <x v="3"/>
    <s v="Kevin"/>
    <n v="9"/>
    <x v="0"/>
    <s v="CJ Stroud"/>
    <n v="11.54"/>
    <n v="2024"/>
  </r>
  <r>
    <x v="3"/>
    <s v="Kevin"/>
    <n v="9"/>
    <x v="1"/>
    <s v="Jordan Addison"/>
    <n v="13.6"/>
    <n v="2024"/>
  </r>
  <r>
    <x v="3"/>
    <s v="Kevin"/>
    <n v="9"/>
    <x v="1"/>
    <s v="DeAndre Hopkins"/>
    <n v="24.6"/>
    <n v="2024"/>
  </r>
  <r>
    <x v="3"/>
    <s v="Kevin"/>
    <n v="9"/>
    <x v="1"/>
    <s v="Marvin Harrison Jr"/>
    <n v="2.4"/>
    <n v="2024"/>
  </r>
  <r>
    <x v="3"/>
    <s v="Kevin"/>
    <n v="9"/>
    <x v="2"/>
    <s v="Chuba Hubbard"/>
    <n v="20.2"/>
    <n v="2024"/>
  </r>
  <r>
    <x v="3"/>
    <s v="Kevin"/>
    <n v="9"/>
    <x v="2"/>
    <s v="Joe Mixon"/>
    <n v="16.600000000000001"/>
    <n v="2024"/>
  </r>
  <r>
    <x v="3"/>
    <s v="Kevin"/>
    <n v="9"/>
    <x v="3"/>
    <s v="Hunter Henry"/>
    <n v="9.1"/>
    <n v="2024"/>
  </r>
  <r>
    <x v="3"/>
    <s v="Kevin"/>
    <n v="9"/>
    <x v="5"/>
    <s v="Justin Tucker"/>
    <n v="11"/>
    <n v="2024"/>
  </r>
  <r>
    <x v="3"/>
    <s v="Kevin"/>
    <n v="9"/>
    <x v="4"/>
    <s v="Cincinnati"/>
    <n v="11"/>
    <n v="2024"/>
  </r>
  <r>
    <x v="3"/>
    <s v="Kevin"/>
    <n v="9"/>
    <x v="6"/>
    <s v="Chris Olave"/>
    <n v="1.8"/>
    <n v="202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1164">
  <r>
    <x v="0"/>
    <s v="Brenton"/>
    <n v="1"/>
    <x v="0"/>
    <s v="Trevor Lawrence"/>
    <x v="0"/>
    <n v="2024"/>
  </r>
  <r>
    <x v="0"/>
    <s v="Brenton"/>
    <n v="1"/>
    <x v="1"/>
    <s v="Jayden Reed"/>
    <x v="1"/>
    <n v="2024"/>
  </r>
  <r>
    <x v="0"/>
    <s v="Brenton"/>
    <n v="1"/>
    <x v="1"/>
    <s v="Tyreek Hill"/>
    <x v="2"/>
    <n v="2024"/>
  </r>
  <r>
    <x v="0"/>
    <s v="Brenton"/>
    <n v="1"/>
    <x v="1"/>
    <s v="Zay Flowers"/>
    <x v="3"/>
    <n v="2024"/>
  </r>
  <r>
    <x v="0"/>
    <s v="Brenton"/>
    <n v="1"/>
    <x v="2"/>
    <s v="Jerome Ford"/>
    <x v="4"/>
    <n v="2024"/>
  </r>
  <r>
    <x v="0"/>
    <s v="Brenton"/>
    <n v="1"/>
    <x v="2"/>
    <s v="Javonte Williams"/>
    <x v="5"/>
    <n v="2024"/>
  </r>
  <r>
    <x v="0"/>
    <s v="Brenton"/>
    <n v="1"/>
    <x v="3"/>
    <s v="Trey McBride"/>
    <x v="6"/>
    <n v="2024"/>
  </r>
  <r>
    <x v="0"/>
    <s v="Brenton"/>
    <n v="1"/>
    <x v="4"/>
    <s v="Cincinnati"/>
    <x v="7"/>
    <n v="2024"/>
  </r>
  <r>
    <x v="0"/>
    <s v="Brenton"/>
    <n v="1"/>
    <x v="5"/>
    <s v="Tyler Bass"/>
    <x v="8"/>
    <n v="2024"/>
  </r>
  <r>
    <x v="1"/>
    <s v="Todd"/>
    <n v="1"/>
    <x v="0"/>
    <s v="Dak Prescott"/>
    <x v="9"/>
    <n v="2024"/>
  </r>
  <r>
    <x v="1"/>
    <s v="Todd"/>
    <n v="1"/>
    <x v="1"/>
    <s v="AJ Brown"/>
    <x v="10"/>
    <n v="2024"/>
  </r>
  <r>
    <x v="1"/>
    <s v="Todd"/>
    <n v="1"/>
    <x v="1"/>
    <s v="Deebo Samuel"/>
    <x v="11"/>
    <n v="2024"/>
  </r>
  <r>
    <x v="1"/>
    <s v="Todd"/>
    <n v="1"/>
    <x v="1"/>
    <s v="Rashee Rice"/>
    <x v="12"/>
    <n v="2024"/>
  </r>
  <r>
    <x v="1"/>
    <s v="Todd"/>
    <n v="1"/>
    <x v="2"/>
    <s v="De'Von Achane"/>
    <x v="13"/>
    <n v="2024"/>
  </r>
  <r>
    <x v="1"/>
    <s v="Todd"/>
    <n v="1"/>
    <x v="2"/>
    <s v="James Conner"/>
    <x v="14"/>
    <n v="2024"/>
  </r>
  <r>
    <x v="1"/>
    <s v="Todd"/>
    <n v="1"/>
    <x v="3"/>
    <s v="Pat Freiermuth"/>
    <x v="15"/>
    <n v="2024"/>
  </r>
  <r>
    <x v="1"/>
    <s v="Todd"/>
    <n v="1"/>
    <x v="4"/>
    <s v="Seattle"/>
    <x v="8"/>
    <n v="2024"/>
  </r>
  <r>
    <x v="1"/>
    <s v="Todd"/>
    <n v="1"/>
    <x v="5"/>
    <s v="Younghoe Koo"/>
    <x v="16"/>
    <n v="2024"/>
  </r>
  <r>
    <x v="2"/>
    <s v="Mike"/>
    <n v="1"/>
    <x v="0"/>
    <s v="Patrick Mahomes"/>
    <x v="17"/>
    <n v="2024"/>
  </r>
  <r>
    <x v="2"/>
    <s v="Mike"/>
    <n v="1"/>
    <x v="1"/>
    <s v="Davante Adams"/>
    <x v="18"/>
    <n v="2024"/>
  </r>
  <r>
    <x v="2"/>
    <s v="Mike"/>
    <n v="1"/>
    <x v="1"/>
    <s v="Mike Evans"/>
    <x v="19"/>
    <n v="2024"/>
  </r>
  <r>
    <x v="2"/>
    <s v="Mike"/>
    <n v="1"/>
    <x v="1"/>
    <s v="Khalil Shakir"/>
    <x v="20"/>
    <n v="2024"/>
  </r>
  <r>
    <x v="2"/>
    <s v="Mike"/>
    <n v="1"/>
    <x v="2"/>
    <s v="Derrick Henry"/>
    <x v="21"/>
    <n v="2024"/>
  </r>
  <r>
    <x v="2"/>
    <s v="Mike"/>
    <n v="1"/>
    <x v="2"/>
    <s v="Tyjae Spears"/>
    <x v="22"/>
    <n v="2024"/>
  </r>
  <r>
    <x v="2"/>
    <s v="Mike"/>
    <n v="1"/>
    <x v="3"/>
    <s v="Sam LaPorta"/>
    <x v="23"/>
    <n v="2024"/>
  </r>
  <r>
    <x v="2"/>
    <s v="Mike"/>
    <n v="1"/>
    <x v="5"/>
    <s v="Jason Sanders"/>
    <x v="24"/>
    <n v="2024"/>
  </r>
  <r>
    <x v="2"/>
    <s v="Mike"/>
    <n v="1"/>
    <x v="4"/>
    <s v="Buffalo"/>
    <x v="25"/>
    <n v="2024"/>
  </r>
  <r>
    <x v="3"/>
    <s v="Kevin"/>
    <n v="1"/>
    <x v="0"/>
    <s v="CJ Stroud"/>
    <x v="26"/>
    <n v="2024"/>
  </r>
  <r>
    <x v="3"/>
    <s v="Kevin"/>
    <n v="1"/>
    <x v="1"/>
    <s v="George Pickens"/>
    <x v="27"/>
    <n v="2024"/>
  </r>
  <r>
    <x v="3"/>
    <s v="Kevin"/>
    <n v="1"/>
    <x v="1"/>
    <s v="Chris Olave"/>
    <x v="28"/>
    <n v="2024"/>
  </r>
  <r>
    <x v="3"/>
    <s v="Kevin"/>
    <n v="1"/>
    <x v="1"/>
    <s v="Marvin Harrison Jr"/>
    <x v="29"/>
    <n v="2024"/>
  </r>
  <r>
    <x v="3"/>
    <s v="Kevin"/>
    <n v="1"/>
    <x v="2"/>
    <s v="Joe Mixon"/>
    <x v="30"/>
    <n v="2024"/>
  </r>
  <r>
    <x v="3"/>
    <s v="Kevin"/>
    <n v="1"/>
    <x v="2"/>
    <s v="Isiah Pacheco"/>
    <x v="31"/>
    <n v="2024"/>
  </r>
  <r>
    <x v="3"/>
    <s v="Kevin"/>
    <n v="1"/>
    <x v="3"/>
    <s v="Hunter Henry"/>
    <x v="5"/>
    <n v="2024"/>
  </r>
  <r>
    <x v="3"/>
    <s v="Kevin"/>
    <n v="1"/>
    <x v="5"/>
    <s v="Justin Tucker"/>
    <x v="32"/>
    <n v="2024"/>
  </r>
  <r>
    <x v="3"/>
    <s v="Kevin"/>
    <n v="1"/>
    <x v="4"/>
    <s v="Minnesota"/>
    <x v="33"/>
    <n v="2024"/>
  </r>
  <r>
    <x v="4"/>
    <s v="Eli"/>
    <n v="1"/>
    <x v="0"/>
    <s v="Jalen Hurts"/>
    <x v="34"/>
    <n v="2024"/>
  </r>
  <r>
    <x v="4"/>
    <s v="Eli"/>
    <n v="1"/>
    <x v="1"/>
    <s v="Justin Jefferson"/>
    <x v="35"/>
    <n v="2024"/>
  </r>
  <r>
    <x v="4"/>
    <s v="Eli"/>
    <n v="1"/>
    <x v="1"/>
    <s v="DJ Moore"/>
    <x v="36"/>
    <n v="2024"/>
  </r>
  <r>
    <x v="4"/>
    <s v="Eli"/>
    <n v="1"/>
    <x v="1"/>
    <s v="DeMario Douglas"/>
    <x v="37"/>
    <n v="2024"/>
  </r>
  <r>
    <x v="4"/>
    <s v="Eli"/>
    <n v="1"/>
    <x v="2"/>
    <s v="Bijan Robinson"/>
    <x v="38"/>
    <n v="2024"/>
  </r>
  <r>
    <x v="4"/>
    <s v="Eli"/>
    <n v="1"/>
    <x v="2"/>
    <s v="Jaylen Warren"/>
    <x v="7"/>
    <n v="2024"/>
  </r>
  <r>
    <x v="4"/>
    <s v="Eli"/>
    <n v="1"/>
    <x v="3"/>
    <s v="David Njoku"/>
    <x v="39"/>
    <n v="2024"/>
  </r>
  <r>
    <x v="4"/>
    <s v="Eli"/>
    <n v="1"/>
    <x v="5"/>
    <s v="Jake Moody"/>
    <x v="40"/>
    <n v="2024"/>
  </r>
  <r>
    <x v="4"/>
    <s v="Eli"/>
    <n v="1"/>
    <x v="4"/>
    <s v="NYJ"/>
    <x v="41"/>
    <n v="2024"/>
  </r>
  <r>
    <x v="5"/>
    <s v="Burnett/Jasjaap"/>
    <n v="1"/>
    <x v="0"/>
    <s v="Brock Purdy"/>
    <x v="42"/>
    <n v="2024"/>
  </r>
  <r>
    <x v="5"/>
    <s v="Burnett/Jasjaap"/>
    <n v="1"/>
    <x v="1"/>
    <s v="CeeDee Lamb"/>
    <x v="43"/>
    <n v="2024"/>
  </r>
  <r>
    <x v="5"/>
    <s v="Burnett/Jasjaap"/>
    <n v="1"/>
    <x v="1"/>
    <s v="Jaylen Waddle"/>
    <x v="44"/>
    <n v="2024"/>
  </r>
  <r>
    <x v="5"/>
    <s v="Burnett/Jasjaap"/>
    <n v="1"/>
    <x v="1"/>
    <s v="Puka Nacua"/>
    <x v="45"/>
    <n v="2024"/>
  </r>
  <r>
    <x v="5"/>
    <s v="Burnett/Jasjaap"/>
    <n v="1"/>
    <x v="2"/>
    <s v="Josh Jacobs"/>
    <x v="46"/>
    <n v="2024"/>
  </r>
  <r>
    <x v="5"/>
    <s v="Burnett/Jasjaap"/>
    <n v="1"/>
    <x v="2"/>
    <s v="David Montgomery"/>
    <x v="47"/>
    <n v="2024"/>
  </r>
  <r>
    <x v="5"/>
    <s v="Burnett/Jasjaap"/>
    <n v="1"/>
    <x v="3"/>
    <s v="Brock Bowers"/>
    <x v="48"/>
    <n v="2024"/>
  </r>
  <r>
    <x v="5"/>
    <s v="Burnett/Jasjaap"/>
    <n v="1"/>
    <x v="5"/>
    <s v="Jake Elliott"/>
    <x v="8"/>
    <n v="2024"/>
  </r>
  <r>
    <x v="5"/>
    <s v="Burnett/Jasjaap"/>
    <n v="1"/>
    <x v="4"/>
    <s v="Pittsburgh"/>
    <x v="49"/>
    <n v="2024"/>
  </r>
  <r>
    <x v="6"/>
    <s v="Will"/>
    <n v="1"/>
    <x v="0"/>
    <s v="Caleb Williams"/>
    <x v="50"/>
    <n v="2024"/>
  </r>
  <r>
    <x v="6"/>
    <s v="Will"/>
    <n v="1"/>
    <x v="1"/>
    <s v="Ladd McConkey"/>
    <x v="51"/>
    <n v="2024"/>
  </r>
  <r>
    <x v="6"/>
    <s v="Will"/>
    <n v="1"/>
    <x v="1"/>
    <s v="Amon-Ra St. Brown"/>
    <x v="5"/>
    <n v="2024"/>
  </r>
  <r>
    <x v="6"/>
    <s v="Will"/>
    <n v="1"/>
    <x v="1"/>
    <s v="Drake London"/>
    <x v="52"/>
    <n v="2024"/>
  </r>
  <r>
    <x v="6"/>
    <s v="Will"/>
    <n v="1"/>
    <x v="2"/>
    <s v="Travis Etienne"/>
    <x v="53"/>
    <n v="2024"/>
  </r>
  <r>
    <x v="6"/>
    <s v="Will"/>
    <n v="1"/>
    <x v="2"/>
    <s v="Zamir White"/>
    <x v="54"/>
    <n v="2024"/>
  </r>
  <r>
    <x v="6"/>
    <s v="Will"/>
    <n v="1"/>
    <x v="3"/>
    <s v="Kyle Pitts"/>
    <x v="55"/>
    <n v="2024"/>
  </r>
  <r>
    <x v="6"/>
    <s v="Will"/>
    <n v="1"/>
    <x v="5"/>
    <s v="Jason Myers"/>
    <x v="8"/>
    <n v="2024"/>
  </r>
  <r>
    <x v="6"/>
    <s v="Will"/>
    <n v="1"/>
    <x v="4"/>
    <s v="Houston"/>
    <x v="7"/>
    <n v="2024"/>
  </r>
  <r>
    <x v="7"/>
    <s v="Jay"/>
    <n v="1"/>
    <x v="0"/>
    <s v="Lamar Jackson"/>
    <x v="56"/>
    <n v="2024"/>
  </r>
  <r>
    <x v="7"/>
    <s v="Jay"/>
    <n v="1"/>
    <x v="1"/>
    <s v="Stefon Diggs"/>
    <x v="57"/>
    <n v="2024"/>
  </r>
  <r>
    <x v="7"/>
    <s v="Jay"/>
    <n v="1"/>
    <x v="1"/>
    <s v="Christian Kirk"/>
    <x v="58"/>
    <n v="2024"/>
  </r>
  <r>
    <x v="7"/>
    <s v="Jay"/>
    <n v="1"/>
    <x v="1"/>
    <s v="Amari Cooper"/>
    <x v="59"/>
    <n v="2024"/>
  </r>
  <r>
    <x v="7"/>
    <s v="Jay"/>
    <n v="1"/>
    <x v="2"/>
    <s v="Alvin Kamara"/>
    <x v="13"/>
    <n v="2024"/>
  </r>
  <r>
    <x v="7"/>
    <s v="Jay"/>
    <n v="1"/>
    <x v="2"/>
    <s v="Jonathan Taylor"/>
    <x v="60"/>
    <n v="2024"/>
  </r>
  <r>
    <x v="7"/>
    <s v="Jay"/>
    <n v="1"/>
    <x v="3"/>
    <s v="Mark Andrews"/>
    <x v="61"/>
    <n v="2024"/>
  </r>
  <r>
    <x v="7"/>
    <s v="Jay"/>
    <n v="1"/>
    <x v="5"/>
    <s v="Ka'imi Fairbairn"/>
    <x v="62"/>
    <n v="2024"/>
  </r>
  <r>
    <x v="7"/>
    <s v="Jay"/>
    <n v="1"/>
    <x v="4"/>
    <s v="LA Chargers"/>
    <x v="63"/>
    <n v="2024"/>
  </r>
  <r>
    <x v="8"/>
    <s v="Schulwolf"/>
    <n v="1"/>
    <x v="0"/>
    <s v="Jordan Love"/>
    <x v="64"/>
    <n v="2024"/>
  </r>
  <r>
    <x v="8"/>
    <s v="Schulwolf"/>
    <n v="1"/>
    <x v="1"/>
    <s v="Cooper Kupp"/>
    <x v="65"/>
    <n v="2024"/>
  </r>
  <r>
    <x v="8"/>
    <s v="Schulwolf"/>
    <n v="1"/>
    <x v="1"/>
    <s v="DeVonta Smith"/>
    <x v="66"/>
    <n v="2024"/>
  </r>
  <r>
    <x v="8"/>
    <s v="Schulwolf"/>
    <n v="1"/>
    <x v="1"/>
    <s v="Chris Godwin"/>
    <x v="67"/>
    <n v="2024"/>
  </r>
  <r>
    <x v="8"/>
    <s v="Schulwolf"/>
    <n v="1"/>
    <x v="2"/>
    <s v="Jahmyr Gibbs"/>
    <x v="68"/>
    <n v="2024"/>
  </r>
  <r>
    <x v="8"/>
    <s v="Schulwolf"/>
    <n v="1"/>
    <x v="2"/>
    <s v="James Cook"/>
    <x v="69"/>
    <n v="2024"/>
  </r>
  <r>
    <x v="8"/>
    <s v="Schulwolf"/>
    <n v="1"/>
    <x v="3"/>
    <s v="Dalton Kincaid"/>
    <x v="70"/>
    <n v="2024"/>
  </r>
  <r>
    <x v="8"/>
    <s v="Schulwolf"/>
    <n v="1"/>
    <x v="5"/>
    <s v="Brandon Aubrey"/>
    <x v="71"/>
    <n v="2024"/>
  </r>
  <r>
    <x v="8"/>
    <s v="Schulwolf"/>
    <n v="1"/>
    <x v="4"/>
    <s v="Dallas"/>
    <x v="72"/>
    <n v="2024"/>
  </r>
  <r>
    <x v="9"/>
    <s v="Tommy"/>
    <n v="1"/>
    <x v="0"/>
    <s v="Josh Allen"/>
    <x v="73"/>
    <n v="2024"/>
  </r>
  <r>
    <x v="9"/>
    <s v="Tommy"/>
    <n v="1"/>
    <x v="1"/>
    <s v="Malik Nabers"/>
    <x v="74"/>
    <n v="2024"/>
  </r>
  <r>
    <x v="9"/>
    <s v="Tommy"/>
    <n v="1"/>
    <x v="1"/>
    <s v="DK Metcalf"/>
    <x v="75"/>
    <n v="2024"/>
  </r>
  <r>
    <x v="9"/>
    <s v="Tommy"/>
    <n v="1"/>
    <x v="1"/>
    <s v="Romeo Doubs"/>
    <x v="76"/>
    <n v="2024"/>
  </r>
  <r>
    <x v="9"/>
    <s v="Tommy"/>
    <n v="1"/>
    <x v="2"/>
    <s v="Saquon Barkley"/>
    <x v="77"/>
    <n v="2024"/>
  </r>
  <r>
    <x v="9"/>
    <s v="Tommy"/>
    <n v="1"/>
    <x v="2"/>
    <s v="Rachaad White"/>
    <x v="38"/>
    <n v="2024"/>
  </r>
  <r>
    <x v="9"/>
    <s v="Tommy"/>
    <n v="1"/>
    <x v="3"/>
    <s v="Evan Engram"/>
    <x v="78"/>
    <n v="2024"/>
  </r>
  <r>
    <x v="9"/>
    <s v="Tommy"/>
    <n v="1"/>
    <x v="5"/>
    <s v="Harrison Butker"/>
    <x v="24"/>
    <n v="2024"/>
  </r>
  <r>
    <x v="9"/>
    <s v="Tommy"/>
    <n v="1"/>
    <x v="4"/>
    <s v="San Francisco"/>
    <x v="76"/>
    <n v="2024"/>
  </r>
  <r>
    <x v="10"/>
    <s v="Brand"/>
    <n v="1"/>
    <x v="0"/>
    <s v="Anthony Richardson"/>
    <x v="79"/>
    <n v="2024"/>
  </r>
  <r>
    <x v="10"/>
    <s v="Brand"/>
    <n v="1"/>
    <x v="1"/>
    <s v="Jameson Williams"/>
    <x v="80"/>
    <n v="2024"/>
  </r>
  <r>
    <x v="10"/>
    <s v="Brand"/>
    <n v="1"/>
    <x v="1"/>
    <s v="Christian Watson"/>
    <x v="48"/>
    <n v="2024"/>
  </r>
  <r>
    <x v="10"/>
    <s v="Brand"/>
    <n v="1"/>
    <x v="1"/>
    <s v="Garrett Wilson"/>
    <x v="24"/>
    <n v="2024"/>
  </r>
  <r>
    <x v="10"/>
    <s v="Brand"/>
    <n v="1"/>
    <x v="2"/>
    <s v="Kenneth Walker"/>
    <x v="81"/>
    <n v="2024"/>
  </r>
  <r>
    <x v="10"/>
    <s v="Brand"/>
    <n v="1"/>
    <x v="2"/>
    <s v="Breece Hall"/>
    <x v="47"/>
    <n v="2024"/>
  </r>
  <r>
    <x v="10"/>
    <s v="Brand"/>
    <n v="1"/>
    <x v="3"/>
    <s v="Dallas Goedert"/>
    <x v="82"/>
    <n v="2024"/>
  </r>
  <r>
    <x v="10"/>
    <s v="Brand"/>
    <n v="1"/>
    <x v="5"/>
    <s v="Cairo Santos"/>
    <x v="49"/>
    <n v="2024"/>
  </r>
  <r>
    <x v="10"/>
    <s v="Brand"/>
    <n v="1"/>
    <x v="4"/>
    <s v="New Orleans"/>
    <x v="62"/>
    <n v="2024"/>
  </r>
  <r>
    <x v="11"/>
    <s v="Cam"/>
    <n v="1"/>
    <x v="0"/>
    <s v="Joe Burrow"/>
    <x v="83"/>
    <n v="2024"/>
  </r>
  <r>
    <x v="11"/>
    <s v="Cam"/>
    <n v="1"/>
    <x v="1"/>
    <s v="Ja'Marr Chase"/>
    <x v="84"/>
    <n v="2024"/>
  </r>
  <r>
    <x v="11"/>
    <s v="Cam"/>
    <n v="1"/>
    <x v="1"/>
    <s v="Nico Collins"/>
    <x v="85"/>
    <n v="2024"/>
  </r>
  <r>
    <x v="11"/>
    <s v="Cam"/>
    <n v="1"/>
    <x v="1"/>
    <s v="Andrei Iosivas"/>
    <x v="86"/>
    <n v="2024"/>
  </r>
  <r>
    <x v="11"/>
    <s v="Cam"/>
    <n v="1"/>
    <x v="2"/>
    <s v="Rhamondre Stevenson"/>
    <x v="87"/>
    <n v="2024"/>
  </r>
  <r>
    <x v="11"/>
    <s v="Cam"/>
    <n v="1"/>
    <x v="2"/>
    <s v="Aaron Jones"/>
    <x v="81"/>
    <n v="2024"/>
  </r>
  <r>
    <x v="11"/>
    <s v="Cam"/>
    <n v="1"/>
    <x v="3"/>
    <s v="George Kittle"/>
    <x v="25"/>
    <n v="2024"/>
  </r>
  <r>
    <x v="11"/>
    <s v="Cam"/>
    <n v="1"/>
    <x v="5"/>
    <s v="Evan McPherson"/>
    <x v="25"/>
    <n v="2024"/>
  </r>
  <r>
    <x v="11"/>
    <s v="Cam"/>
    <n v="1"/>
    <x v="4"/>
    <s v="Atlanta"/>
    <x v="16"/>
    <n v="2024"/>
  </r>
  <r>
    <x v="0"/>
    <s v="Brenton"/>
    <n v="2"/>
    <x v="0"/>
    <s v="Baker Mayfield"/>
    <x v="88"/>
    <n v="2024"/>
  </r>
  <r>
    <x v="0"/>
    <s v="Brenton"/>
    <n v="2"/>
    <x v="1"/>
    <s v="Tyreek Hill"/>
    <x v="82"/>
    <n v="2024"/>
  </r>
  <r>
    <x v="0"/>
    <s v="Brenton"/>
    <n v="2"/>
    <x v="1"/>
    <s v="Zay Flowers"/>
    <x v="89"/>
    <n v="2024"/>
  </r>
  <r>
    <x v="0"/>
    <s v="Brenton"/>
    <n v="2"/>
    <x v="1"/>
    <s v="Jayden Reed"/>
    <x v="90"/>
    <n v="2024"/>
  </r>
  <r>
    <x v="0"/>
    <s v="Brenton"/>
    <n v="2"/>
    <x v="2"/>
    <s v="Ezekiel Elliott"/>
    <x v="91"/>
    <n v="2024"/>
  </r>
  <r>
    <x v="0"/>
    <s v="Brenton"/>
    <n v="2"/>
    <x v="2"/>
    <s v="Jerome Ford"/>
    <x v="92"/>
    <n v="2024"/>
  </r>
  <r>
    <x v="0"/>
    <s v="Brenton"/>
    <n v="2"/>
    <x v="3"/>
    <s v="Trey McBride"/>
    <x v="93"/>
    <n v="2024"/>
  </r>
  <r>
    <x v="0"/>
    <s v="Brenton"/>
    <n v="2"/>
    <x v="4"/>
    <s v="Tyler Bass"/>
    <x v="76"/>
    <n v="2024"/>
  </r>
  <r>
    <x v="0"/>
    <s v="Brenton"/>
    <n v="2"/>
    <x v="5"/>
    <s v="Jacksonville"/>
    <x v="16"/>
    <n v="2024"/>
  </r>
  <r>
    <x v="2"/>
    <s v="Mike"/>
    <n v="2"/>
    <x v="0"/>
    <s v="Patrick Mahomes"/>
    <x v="94"/>
    <n v="2024"/>
  </r>
  <r>
    <x v="2"/>
    <s v="Mike"/>
    <n v="2"/>
    <x v="1"/>
    <s v="Davante Adams"/>
    <x v="95"/>
    <n v="2024"/>
  </r>
  <r>
    <x v="2"/>
    <s v="Mike"/>
    <n v="2"/>
    <x v="1"/>
    <s v="Mike Evans"/>
    <x v="96"/>
    <n v="2024"/>
  </r>
  <r>
    <x v="2"/>
    <s v="Mike"/>
    <n v="2"/>
    <x v="1"/>
    <s v="Khalil Shakir"/>
    <x v="3"/>
    <n v="2024"/>
  </r>
  <r>
    <x v="2"/>
    <s v="Mike"/>
    <n v="2"/>
    <x v="2"/>
    <s v="Derrick Henry"/>
    <x v="97"/>
    <n v="2024"/>
  </r>
  <r>
    <x v="2"/>
    <s v="Mike"/>
    <n v="2"/>
    <x v="2"/>
    <s v="Tyjae Spears"/>
    <x v="86"/>
    <n v="2024"/>
  </r>
  <r>
    <x v="2"/>
    <s v="Mike"/>
    <n v="2"/>
    <x v="3"/>
    <s v="Sam LaPorta"/>
    <x v="98"/>
    <n v="2024"/>
  </r>
  <r>
    <x v="2"/>
    <s v="Mike"/>
    <n v="2"/>
    <x v="4"/>
    <s v="Buffalo"/>
    <x v="62"/>
    <n v="2024"/>
  </r>
  <r>
    <x v="2"/>
    <s v="Mike"/>
    <n v="2"/>
    <x v="5"/>
    <s v="Jason Sanders"/>
    <x v="16"/>
    <n v="2024"/>
  </r>
  <r>
    <x v="1"/>
    <s v="Todd"/>
    <n v="2"/>
    <x v="0"/>
    <s v="Dak Prescott"/>
    <x v="99"/>
    <n v="2024"/>
  </r>
  <r>
    <x v="1"/>
    <s v="Todd"/>
    <n v="2"/>
    <x v="1"/>
    <s v="Deebo Samuel"/>
    <x v="100"/>
    <n v="2024"/>
  </r>
  <r>
    <x v="1"/>
    <s v="Todd"/>
    <n v="2"/>
    <x v="1"/>
    <s v="Rashee Rice"/>
    <x v="101"/>
    <n v="2024"/>
  </r>
  <r>
    <x v="1"/>
    <s v="Todd"/>
    <n v="2"/>
    <x v="1"/>
    <s v="Calvin Ridley"/>
    <x v="102"/>
    <n v="2024"/>
  </r>
  <r>
    <x v="1"/>
    <s v="Todd"/>
    <n v="2"/>
    <x v="2"/>
    <s v="De'Von Achane"/>
    <x v="40"/>
    <n v="2024"/>
  </r>
  <r>
    <x v="1"/>
    <s v="Todd"/>
    <n v="2"/>
    <x v="2"/>
    <s v="James Conner"/>
    <x v="57"/>
    <n v="2024"/>
  </r>
  <r>
    <x v="1"/>
    <s v="Todd"/>
    <n v="2"/>
    <x v="3"/>
    <s v="Kyle Pitts"/>
    <x v="58"/>
    <n v="2024"/>
  </r>
  <r>
    <x v="1"/>
    <s v="Todd"/>
    <n v="2"/>
    <x v="4"/>
    <s v="Seattle"/>
    <x v="103"/>
    <n v="2024"/>
  </r>
  <r>
    <x v="1"/>
    <s v="Todd"/>
    <n v="2"/>
    <x v="5"/>
    <s v="Chris Boswell"/>
    <x v="24"/>
    <n v="2024"/>
  </r>
  <r>
    <x v="7"/>
    <s v="Jay"/>
    <n v="2"/>
    <x v="0"/>
    <s v="Lamar Jackson"/>
    <x v="104"/>
    <n v="2024"/>
  </r>
  <r>
    <x v="7"/>
    <s v="Jay"/>
    <n v="2"/>
    <x v="1"/>
    <s v="Stefon Diggs"/>
    <x v="96"/>
    <n v="2024"/>
  </r>
  <r>
    <x v="7"/>
    <s v="Jay"/>
    <n v="2"/>
    <x v="1"/>
    <s v="Amari Cooper"/>
    <x v="59"/>
    <n v="2024"/>
  </r>
  <r>
    <x v="7"/>
    <s v="Jay"/>
    <n v="2"/>
    <x v="1"/>
    <s v="Christian Kirk"/>
    <x v="105"/>
    <n v="2024"/>
  </r>
  <r>
    <x v="7"/>
    <s v="Jay"/>
    <n v="2"/>
    <x v="2"/>
    <s v="Alvin Kamara"/>
    <x v="106"/>
    <n v="2024"/>
  </r>
  <r>
    <x v="7"/>
    <s v="Jay"/>
    <n v="2"/>
    <x v="2"/>
    <s v="Jonathan Taylor"/>
    <x v="107"/>
    <n v="2024"/>
  </r>
  <r>
    <x v="7"/>
    <s v="Jay"/>
    <n v="2"/>
    <x v="3"/>
    <s v="Mark Andrews"/>
    <x v="108"/>
    <n v="2024"/>
  </r>
  <r>
    <x v="7"/>
    <s v="Jay"/>
    <n v="2"/>
    <x v="5"/>
    <s v="Ka'imi Fairbairn"/>
    <x v="109"/>
    <n v="2024"/>
  </r>
  <r>
    <x v="7"/>
    <s v="Jay"/>
    <n v="2"/>
    <x v="4"/>
    <s v="LA Chargers"/>
    <x v="100"/>
    <n v="2024"/>
  </r>
  <r>
    <x v="4"/>
    <s v="Eli"/>
    <n v="2"/>
    <x v="0"/>
    <s v="Jalen Hurts"/>
    <x v="110"/>
    <n v="2024"/>
  </r>
  <r>
    <x v="4"/>
    <s v="Eli"/>
    <n v="2"/>
    <x v="1"/>
    <s v="Justin Jefferson"/>
    <x v="111"/>
    <n v="2024"/>
  </r>
  <r>
    <x v="4"/>
    <s v="Eli"/>
    <n v="2"/>
    <x v="1"/>
    <s v="DJ Moore"/>
    <x v="112"/>
    <n v="2024"/>
  </r>
  <r>
    <x v="4"/>
    <s v="Eli"/>
    <n v="2"/>
    <x v="1"/>
    <s v="Demarcus Robinson"/>
    <x v="25"/>
    <n v="2024"/>
  </r>
  <r>
    <x v="4"/>
    <s v="Eli"/>
    <n v="2"/>
    <x v="2"/>
    <s v="Bijan Robinson"/>
    <x v="113"/>
    <n v="2024"/>
  </r>
  <r>
    <x v="4"/>
    <s v="Eli"/>
    <n v="2"/>
    <x v="2"/>
    <s v="Jordan Mason"/>
    <x v="114"/>
    <n v="2024"/>
  </r>
  <r>
    <x v="4"/>
    <s v="Eli"/>
    <n v="2"/>
    <x v="3"/>
    <s v="Dalton Schultz"/>
    <x v="115"/>
    <n v="2024"/>
  </r>
  <r>
    <x v="4"/>
    <s v="Eli"/>
    <n v="2"/>
    <x v="5"/>
    <s v="Jake Moody"/>
    <x v="103"/>
    <n v="2024"/>
  </r>
  <r>
    <x v="4"/>
    <s v="Eli"/>
    <n v="2"/>
    <x v="4"/>
    <s v="NYJ"/>
    <x v="8"/>
    <n v="2024"/>
  </r>
  <r>
    <x v="6"/>
    <s v="Will"/>
    <n v="2"/>
    <x v="0"/>
    <s v="Geno Smith"/>
    <x v="116"/>
    <n v="2024"/>
  </r>
  <r>
    <x v="6"/>
    <s v="Will"/>
    <n v="2"/>
    <x v="1"/>
    <s v="Amon-Ra St. Brown"/>
    <x v="117"/>
    <n v="2024"/>
  </r>
  <r>
    <x v="6"/>
    <s v="Will"/>
    <n v="2"/>
    <x v="1"/>
    <s v="Drake London"/>
    <x v="118"/>
    <n v="2024"/>
  </r>
  <r>
    <x v="6"/>
    <s v="Will"/>
    <n v="2"/>
    <x v="1"/>
    <s v="Jaxon Smith-Njigba"/>
    <x v="119"/>
    <n v="2024"/>
  </r>
  <r>
    <x v="6"/>
    <s v="Will"/>
    <n v="2"/>
    <x v="2"/>
    <s v="Travis Etienne"/>
    <x v="120"/>
    <n v="2024"/>
  </r>
  <r>
    <x v="6"/>
    <s v="Will"/>
    <n v="2"/>
    <x v="2"/>
    <s v="Zach Charbonet"/>
    <x v="68"/>
    <n v="2024"/>
  </r>
  <r>
    <x v="6"/>
    <s v="Will"/>
    <n v="2"/>
    <x v="3"/>
    <s v="Travis Kelce"/>
    <x v="121"/>
    <n v="2024"/>
  </r>
  <r>
    <x v="6"/>
    <s v="Will"/>
    <n v="2"/>
    <x v="5"/>
    <s v="Jason Myers"/>
    <x v="122"/>
    <n v="2024"/>
  </r>
  <r>
    <x v="6"/>
    <s v="Will"/>
    <n v="2"/>
    <x v="4"/>
    <s v="Houston"/>
    <x v="101"/>
    <n v="2024"/>
  </r>
  <r>
    <x v="8"/>
    <s v="Schulwolf"/>
    <n v="2"/>
    <x v="0"/>
    <s v="Jayden Daniels"/>
    <x v="123"/>
    <n v="2024"/>
  </r>
  <r>
    <x v="8"/>
    <s v="Schulwolf"/>
    <n v="2"/>
    <x v="1"/>
    <s v="Chris Godwin"/>
    <x v="124"/>
    <n v="2024"/>
  </r>
  <r>
    <x v="8"/>
    <s v="Schulwolf"/>
    <n v="2"/>
    <x v="1"/>
    <s v="DeVonta Smith"/>
    <x v="125"/>
    <n v="2024"/>
  </r>
  <r>
    <x v="8"/>
    <s v="Schulwolf"/>
    <n v="2"/>
    <x v="1"/>
    <s v="Cooper Kupp"/>
    <x v="96"/>
    <n v="2024"/>
  </r>
  <r>
    <x v="8"/>
    <s v="Schulwolf"/>
    <n v="2"/>
    <x v="2"/>
    <s v="James Cook"/>
    <x v="126"/>
    <n v="2024"/>
  </r>
  <r>
    <x v="8"/>
    <s v="Schulwolf"/>
    <n v="2"/>
    <x v="2"/>
    <s v="Jahmyr Gibbs"/>
    <x v="127"/>
    <n v="2024"/>
  </r>
  <r>
    <x v="8"/>
    <s v="Schulwolf"/>
    <n v="2"/>
    <x v="3"/>
    <s v="Dalton Kincaid"/>
    <x v="128"/>
    <n v="2024"/>
  </r>
  <r>
    <x v="8"/>
    <s v="Schulwolf"/>
    <n v="2"/>
    <x v="5"/>
    <s v="Brandon Aubrey"/>
    <x v="62"/>
    <n v="2024"/>
  </r>
  <r>
    <x v="8"/>
    <s v="Schulwolf"/>
    <n v="2"/>
    <x v="4"/>
    <s v="Dallas"/>
    <x v="129"/>
    <n v="2024"/>
  </r>
  <r>
    <x v="3"/>
    <s v="Kevin"/>
    <n v="2"/>
    <x v="0"/>
    <s v="CJ Stroud"/>
    <x v="130"/>
    <n v="2024"/>
  </r>
  <r>
    <x v="3"/>
    <s v="Kevin"/>
    <n v="2"/>
    <x v="1"/>
    <s v="Marvin Harrison Jr"/>
    <x v="131"/>
    <n v="2024"/>
  </r>
  <r>
    <x v="3"/>
    <s v="Kevin"/>
    <n v="2"/>
    <x v="1"/>
    <s v="Chris Olave"/>
    <x v="60"/>
    <n v="2024"/>
  </r>
  <r>
    <x v="3"/>
    <s v="Kevin"/>
    <n v="2"/>
    <x v="1"/>
    <s v="George Pickens"/>
    <x v="132"/>
    <n v="2024"/>
  </r>
  <r>
    <x v="3"/>
    <s v="Kevin"/>
    <n v="2"/>
    <x v="2"/>
    <s v="Isiah Pacheco"/>
    <x v="38"/>
    <n v="2024"/>
  </r>
  <r>
    <x v="3"/>
    <s v="Kevin"/>
    <n v="2"/>
    <x v="2"/>
    <s v="Najee Harris"/>
    <x v="133"/>
    <n v="2024"/>
  </r>
  <r>
    <x v="3"/>
    <s v="Kevin"/>
    <n v="2"/>
    <x v="3"/>
    <s v="Hunter Henry"/>
    <x v="134"/>
    <n v="2024"/>
  </r>
  <r>
    <x v="3"/>
    <s v="Kevin"/>
    <n v="2"/>
    <x v="5"/>
    <s v="Justin Tucker"/>
    <x v="49"/>
    <n v="2024"/>
  </r>
  <r>
    <x v="3"/>
    <s v="Kevin"/>
    <n v="2"/>
    <x v="4"/>
    <s v="Cleveland"/>
    <x v="24"/>
    <n v="2024"/>
  </r>
  <r>
    <x v="10"/>
    <s v="Brand"/>
    <n v="2"/>
    <x v="0"/>
    <s v="Anthony Richardson"/>
    <x v="135"/>
    <n v="2024"/>
  </r>
  <r>
    <x v="10"/>
    <s v="Brand"/>
    <n v="2"/>
    <x v="1"/>
    <s v="Jameson Williams"/>
    <x v="66"/>
    <n v="2024"/>
  </r>
  <r>
    <x v="10"/>
    <s v="Brand"/>
    <n v="2"/>
    <x v="1"/>
    <s v="Garrett Wilson"/>
    <x v="136"/>
    <n v="2024"/>
  </r>
  <r>
    <x v="10"/>
    <s v="Brand"/>
    <n v="2"/>
    <x v="1"/>
    <s v="Michael Pittman"/>
    <x v="54"/>
    <n v="2024"/>
  </r>
  <r>
    <x v="10"/>
    <s v="Brand"/>
    <n v="2"/>
    <x v="2"/>
    <s v="Breece Hall"/>
    <x v="137"/>
    <n v="2024"/>
  </r>
  <r>
    <x v="10"/>
    <s v="Brand"/>
    <n v="2"/>
    <x v="2"/>
    <s v="Bucky Irving"/>
    <x v="37"/>
    <n v="2024"/>
  </r>
  <r>
    <x v="10"/>
    <s v="Brand"/>
    <n v="2"/>
    <x v="3"/>
    <s v="Dallas Goedert"/>
    <x v="128"/>
    <n v="2024"/>
  </r>
  <r>
    <x v="10"/>
    <s v="Brand"/>
    <n v="2"/>
    <x v="5"/>
    <s v="Cairo Santos"/>
    <x v="138"/>
    <n v="2024"/>
  </r>
  <r>
    <x v="10"/>
    <s v="Brand"/>
    <n v="2"/>
    <x v="4"/>
    <s v="Indianapolis"/>
    <x v="139"/>
    <n v="2024"/>
  </r>
  <r>
    <x v="9"/>
    <s v="Tommy"/>
    <n v="2"/>
    <x v="0"/>
    <s v="Josh Allen"/>
    <x v="140"/>
    <n v="2024"/>
  </r>
  <r>
    <x v="9"/>
    <s v="Tommy"/>
    <n v="2"/>
    <x v="1"/>
    <s v="DK Metcalf"/>
    <x v="141"/>
    <n v="2024"/>
  </r>
  <r>
    <x v="9"/>
    <s v="Tommy"/>
    <n v="2"/>
    <x v="1"/>
    <s v="Malik Nabers"/>
    <x v="142"/>
    <n v="2024"/>
  </r>
  <r>
    <x v="9"/>
    <s v="Tommy"/>
    <n v="2"/>
    <x v="1"/>
    <s v="Xavier Worthy"/>
    <x v="143"/>
    <n v="2024"/>
  </r>
  <r>
    <x v="9"/>
    <s v="Tommy"/>
    <n v="2"/>
    <x v="2"/>
    <s v="Saquon Barkley"/>
    <x v="144"/>
    <n v="2024"/>
  </r>
  <r>
    <x v="9"/>
    <s v="Tommy"/>
    <n v="2"/>
    <x v="2"/>
    <s v="Kyren Williams"/>
    <x v="145"/>
    <n v="2024"/>
  </r>
  <r>
    <x v="9"/>
    <s v="Tommy"/>
    <n v="2"/>
    <x v="3"/>
    <s v="Evan Engram"/>
    <x v="146"/>
    <n v="2024"/>
  </r>
  <r>
    <x v="9"/>
    <s v="Tommy"/>
    <n v="2"/>
    <x v="5"/>
    <s v="Harrison Butker"/>
    <x v="8"/>
    <n v="2024"/>
  </r>
  <r>
    <x v="9"/>
    <s v="Tommy"/>
    <n v="2"/>
    <x v="4"/>
    <s v="San Francisco"/>
    <x v="16"/>
    <n v="2024"/>
  </r>
  <r>
    <x v="11"/>
    <s v="Cam"/>
    <n v="2"/>
    <x v="0"/>
    <s v="Kyler Murray"/>
    <x v="147"/>
    <n v="2024"/>
  </r>
  <r>
    <x v="11"/>
    <s v="Cam"/>
    <n v="2"/>
    <x v="1"/>
    <s v="Nico Collins"/>
    <x v="148"/>
    <n v="2024"/>
  </r>
  <r>
    <x v="11"/>
    <s v="Cam"/>
    <n v="2"/>
    <x v="1"/>
    <s v="Ja'Marr Chase"/>
    <x v="6"/>
    <n v="2024"/>
  </r>
  <r>
    <x v="11"/>
    <s v="Cam"/>
    <n v="2"/>
    <x v="1"/>
    <s v="Brandon Aiyuk"/>
    <x v="149"/>
    <n v="2024"/>
  </r>
  <r>
    <x v="11"/>
    <s v="Cam"/>
    <n v="2"/>
    <x v="2"/>
    <s v="Rhamondre Stevenson"/>
    <x v="101"/>
    <n v="2024"/>
  </r>
  <r>
    <x v="11"/>
    <s v="Cam"/>
    <n v="2"/>
    <x v="2"/>
    <s v="JK Dobbins"/>
    <x v="150"/>
    <n v="2024"/>
  </r>
  <r>
    <x v="11"/>
    <s v="Cam"/>
    <n v="2"/>
    <x v="3"/>
    <s v="George Kittle"/>
    <x v="125"/>
    <n v="2024"/>
  </r>
  <r>
    <x v="11"/>
    <s v="Cam"/>
    <n v="2"/>
    <x v="5"/>
    <s v="Evan McPherson"/>
    <x v="63"/>
    <n v="2024"/>
  </r>
  <r>
    <x v="11"/>
    <s v="Cam"/>
    <n v="2"/>
    <x v="4"/>
    <s v="Baltimore"/>
    <x v="32"/>
    <n v="2024"/>
  </r>
  <r>
    <x v="5"/>
    <s v="Burnett/Jasjaap"/>
    <n v="2"/>
    <x v="0"/>
    <s v="Brock Purdy"/>
    <x v="151"/>
    <n v="2024"/>
  </r>
  <r>
    <x v="5"/>
    <s v="Burnett/Jasjaap"/>
    <n v="2"/>
    <x v="1"/>
    <s v="CeeDee Lamb"/>
    <x v="62"/>
    <n v="2024"/>
  </r>
  <r>
    <x v="5"/>
    <s v="Burnett/Jasjaap"/>
    <n v="2"/>
    <x v="1"/>
    <s v="Jaylen Waddle"/>
    <x v="23"/>
    <n v="2024"/>
  </r>
  <r>
    <x v="5"/>
    <s v="Burnett/Jasjaap"/>
    <n v="2"/>
    <x v="1"/>
    <s v="Rashid Shaheed"/>
    <x v="57"/>
    <n v="2024"/>
  </r>
  <r>
    <x v="5"/>
    <s v="Burnett/Jasjaap"/>
    <n v="2"/>
    <x v="2"/>
    <s v="David Montgomery"/>
    <x v="63"/>
    <n v="2024"/>
  </r>
  <r>
    <x v="5"/>
    <s v="Burnett/Jasjaap"/>
    <n v="2"/>
    <x v="2"/>
    <s v="Josh Jacobs"/>
    <x v="152"/>
    <n v="2024"/>
  </r>
  <r>
    <x v="5"/>
    <s v="Burnett/Jasjaap"/>
    <n v="2"/>
    <x v="3"/>
    <s v="Brock Bowers"/>
    <x v="130"/>
    <n v="2024"/>
  </r>
  <r>
    <x v="5"/>
    <s v="Burnett/Jasjaap"/>
    <n v="2"/>
    <x v="5"/>
    <s v="Jake Elliott"/>
    <x v="76"/>
    <n v="2024"/>
  </r>
  <r>
    <x v="5"/>
    <s v="Burnett/Jasjaap"/>
    <n v="2"/>
    <x v="4"/>
    <s v="Pittsburgh"/>
    <x v="100"/>
    <n v="2024"/>
  </r>
  <r>
    <x v="0"/>
    <s v="Brenton"/>
    <n v="3"/>
    <x v="0"/>
    <s v="Derek Carr"/>
    <x v="153"/>
    <n v="2024"/>
  </r>
  <r>
    <x v="0"/>
    <s v="Brenton"/>
    <n v="3"/>
    <x v="1"/>
    <s v="Tyreek Hill"/>
    <x v="6"/>
    <n v="2024"/>
  </r>
  <r>
    <x v="0"/>
    <s v="Brenton"/>
    <n v="3"/>
    <x v="1"/>
    <s v="Zay Flowers"/>
    <x v="154"/>
    <n v="2024"/>
  </r>
  <r>
    <x v="0"/>
    <s v="Brenton"/>
    <n v="3"/>
    <x v="1"/>
    <s v="Jayden Reed"/>
    <x v="155"/>
    <n v="2024"/>
  </r>
  <r>
    <x v="0"/>
    <s v="Brenton"/>
    <n v="3"/>
    <x v="2"/>
    <s v="Cam Akers"/>
    <x v="156"/>
    <n v="2024"/>
  </r>
  <r>
    <x v="0"/>
    <s v="Brenton"/>
    <n v="3"/>
    <x v="2"/>
    <s v="Jerome Ford"/>
    <x v="157"/>
    <n v="2024"/>
  </r>
  <r>
    <x v="0"/>
    <s v="Brenton"/>
    <n v="3"/>
    <x v="3"/>
    <s v="Trey McBride"/>
    <x v="16"/>
    <n v="2024"/>
  </r>
  <r>
    <x v="0"/>
    <s v="Brenton"/>
    <n v="3"/>
    <x v="5"/>
    <s v="Tyler Bass"/>
    <x v="138"/>
    <n v="2024"/>
  </r>
  <r>
    <x v="0"/>
    <s v="Brenton"/>
    <n v="3"/>
    <x v="4"/>
    <s v="Tampa Bay"/>
    <x v="78"/>
    <n v="2024"/>
  </r>
  <r>
    <x v="3"/>
    <s v="Kevin"/>
    <n v="3"/>
    <x v="0"/>
    <s v="CJ Stroud"/>
    <x v="158"/>
    <n v="2024"/>
  </r>
  <r>
    <x v="3"/>
    <s v="Kevin"/>
    <n v="3"/>
    <x v="1"/>
    <s v="Chris Olave"/>
    <x v="159"/>
    <n v="2024"/>
  </r>
  <r>
    <x v="3"/>
    <s v="Kevin"/>
    <n v="3"/>
    <x v="1"/>
    <s v="Marvin Harrison Jr"/>
    <x v="134"/>
    <n v="2024"/>
  </r>
  <r>
    <x v="3"/>
    <s v="Kevin"/>
    <n v="3"/>
    <x v="1"/>
    <s v="George Pickens"/>
    <x v="136"/>
    <n v="2024"/>
  </r>
  <r>
    <x v="3"/>
    <s v="Kevin"/>
    <n v="3"/>
    <x v="2"/>
    <s v="Najee Harris"/>
    <x v="43"/>
    <n v="2024"/>
  </r>
  <r>
    <x v="3"/>
    <s v="Kevin"/>
    <n v="3"/>
    <x v="2"/>
    <s v="Joe Mixon"/>
    <x v="146"/>
    <n v="2024"/>
  </r>
  <r>
    <x v="3"/>
    <s v="Kevin"/>
    <n v="3"/>
    <x v="3"/>
    <s v="Hunter Henry"/>
    <x v="160"/>
    <n v="2024"/>
  </r>
  <r>
    <x v="3"/>
    <s v="Kevin"/>
    <n v="3"/>
    <x v="5"/>
    <s v="Justin Tucker"/>
    <x v="7"/>
    <n v="2024"/>
  </r>
  <r>
    <x v="3"/>
    <s v="Kevin"/>
    <n v="3"/>
    <x v="4"/>
    <s v="Cleveland"/>
    <x v="103"/>
    <n v="2024"/>
  </r>
  <r>
    <x v="2"/>
    <s v="Mike"/>
    <n v="3"/>
    <x v="0"/>
    <s v="Patrick Mahomes"/>
    <x v="104"/>
    <n v="2024"/>
  </r>
  <r>
    <x v="2"/>
    <s v="Mike"/>
    <n v="3"/>
    <x v="1"/>
    <s v="Tank Dell"/>
    <x v="161"/>
    <n v="2024"/>
  </r>
  <r>
    <x v="2"/>
    <s v="Mike"/>
    <n v="3"/>
    <x v="1"/>
    <s v="Davante Adams"/>
    <x v="25"/>
    <n v="2024"/>
  </r>
  <r>
    <x v="2"/>
    <s v="Mike"/>
    <n v="3"/>
    <x v="1"/>
    <s v="Khalil Shakir"/>
    <x v="11"/>
    <n v="2024"/>
  </r>
  <r>
    <x v="2"/>
    <s v="Mike"/>
    <n v="3"/>
    <x v="2"/>
    <s v="Derrick Henry"/>
    <x v="162"/>
    <n v="2024"/>
  </r>
  <r>
    <x v="2"/>
    <s v="Mike"/>
    <n v="3"/>
    <x v="2"/>
    <s v="Carson Steele"/>
    <x v="133"/>
    <n v="2024"/>
  </r>
  <r>
    <x v="2"/>
    <s v="Mike"/>
    <n v="3"/>
    <x v="3"/>
    <s v="Sam LaPorta"/>
    <x v="163"/>
    <n v="2024"/>
  </r>
  <r>
    <x v="2"/>
    <s v="Mike"/>
    <n v="3"/>
    <x v="5"/>
    <s v="Younghoe Koo"/>
    <x v="76"/>
    <n v="2024"/>
  </r>
  <r>
    <x v="2"/>
    <s v="Mike"/>
    <n v="3"/>
    <x v="4"/>
    <s v="Buffalo"/>
    <x v="100"/>
    <n v="2024"/>
  </r>
  <r>
    <x v="7"/>
    <s v="Jay"/>
    <n v="3"/>
    <x v="0"/>
    <s v="Lamar Jackson"/>
    <x v="164"/>
    <n v="2024"/>
  </r>
  <r>
    <x v="7"/>
    <s v="Jay"/>
    <n v="3"/>
    <x v="1"/>
    <s v="Amari Cooper"/>
    <x v="165"/>
    <n v="2024"/>
  </r>
  <r>
    <x v="7"/>
    <s v="Jay"/>
    <n v="3"/>
    <x v="1"/>
    <s v="Stefon Diggs"/>
    <x v="166"/>
    <n v="2024"/>
  </r>
  <r>
    <x v="7"/>
    <s v="Jay"/>
    <n v="3"/>
    <x v="1"/>
    <s v="Tee Higgins"/>
    <x v="167"/>
    <n v="2024"/>
  </r>
  <r>
    <x v="7"/>
    <s v="Jay"/>
    <n v="3"/>
    <x v="2"/>
    <s v="Jonathan Taylor"/>
    <x v="40"/>
    <n v="2024"/>
  </r>
  <r>
    <x v="7"/>
    <s v="Jay"/>
    <n v="3"/>
    <x v="2"/>
    <s v="Alvin Kamara"/>
    <x v="113"/>
    <n v="2024"/>
  </r>
  <r>
    <x v="7"/>
    <s v="Jay"/>
    <n v="3"/>
    <x v="3"/>
    <s v="Mark Andrews"/>
    <x v="146"/>
    <n v="2024"/>
  </r>
  <r>
    <x v="7"/>
    <s v="Jay"/>
    <n v="3"/>
    <x v="5"/>
    <s v="Ka'imi Fairbairn"/>
    <x v="78"/>
    <n v="2024"/>
  </r>
  <r>
    <x v="7"/>
    <s v="Jay"/>
    <n v="3"/>
    <x v="4"/>
    <s v="Cincinnati"/>
    <x v="129"/>
    <n v="2024"/>
  </r>
  <r>
    <x v="1"/>
    <s v="Todd"/>
    <n v="3"/>
    <x v="0"/>
    <s v="Dak Prescott"/>
    <x v="168"/>
    <n v="2024"/>
  </r>
  <r>
    <x v="1"/>
    <s v="Todd"/>
    <n v="3"/>
    <x v="1"/>
    <s v="Rashee Rice"/>
    <x v="169"/>
    <n v="2024"/>
  </r>
  <r>
    <x v="1"/>
    <s v="Todd"/>
    <n v="3"/>
    <x v="1"/>
    <s v="Brian Thomas Jr"/>
    <x v="170"/>
    <n v="2024"/>
  </r>
  <r>
    <x v="1"/>
    <s v="Todd"/>
    <n v="3"/>
    <x v="1"/>
    <s v="Calvin Ridley"/>
    <x v="171"/>
    <n v="2024"/>
  </r>
  <r>
    <x v="1"/>
    <s v="Todd"/>
    <n v="3"/>
    <x v="2"/>
    <s v="De'Von Achane"/>
    <x v="170"/>
    <n v="2024"/>
  </r>
  <r>
    <x v="1"/>
    <s v="Todd"/>
    <n v="3"/>
    <x v="2"/>
    <s v="D'Andre Swift"/>
    <x v="22"/>
    <n v="2024"/>
  </r>
  <r>
    <x v="1"/>
    <s v="Todd"/>
    <n v="3"/>
    <x v="3"/>
    <s v="Kyle Pitts"/>
    <x v="92"/>
    <n v="2024"/>
  </r>
  <r>
    <x v="1"/>
    <s v="Todd"/>
    <n v="3"/>
    <x v="5"/>
    <s v="Chris Boswell"/>
    <x v="32"/>
    <n v="2024"/>
  </r>
  <r>
    <x v="1"/>
    <s v="Todd"/>
    <n v="3"/>
    <x v="4"/>
    <s v="Las Vegas"/>
    <x v="172"/>
    <n v="2024"/>
  </r>
  <r>
    <x v="4"/>
    <s v="Eli"/>
    <n v="3"/>
    <x v="0"/>
    <s v="Jalen Hurts"/>
    <x v="173"/>
    <n v="2024"/>
  </r>
  <r>
    <x v="4"/>
    <s v="Eli"/>
    <n v="3"/>
    <x v="1"/>
    <s v="Justin Jefferson"/>
    <x v="125"/>
    <n v="2024"/>
  </r>
  <r>
    <x v="4"/>
    <s v="Eli"/>
    <n v="3"/>
    <x v="1"/>
    <s v="Rome Odunze"/>
    <x v="10"/>
    <n v="2024"/>
  </r>
  <r>
    <x v="4"/>
    <s v="Eli"/>
    <n v="3"/>
    <x v="1"/>
    <s v="DJ Moore"/>
    <x v="174"/>
    <n v="2024"/>
  </r>
  <r>
    <x v="4"/>
    <s v="Eli"/>
    <n v="3"/>
    <x v="2"/>
    <s v="Bijan Robinson"/>
    <x v="175"/>
    <n v="2024"/>
  </r>
  <r>
    <x v="4"/>
    <s v="Eli"/>
    <n v="3"/>
    <x v="2"/>
    <s v="Jordan Mason"/>
    <x v="158"/>
    <n v="2024"/>
  </r>
  <r>
    <x v="4"/>
    <s v="Eli"/>
    <n v="3"/>
    <x v="3"/>
    <s v="Dalton Schultz"/>
    <x v="28"/>
    <n v="2024"/>
  </r>
  <r>
    <x v="4"/>
    <s v="Eli"/>
    <n v="3"/>
    <x v="5"/>
    <s v="Jake Moody"/>
    <x v="25"/>
    <n v="2024"/>
  </r>
  <r>
    <x v="4"/>
    <s v="Eli"/>
    <n v="3"/>
    <x v="4"/>
    <s v="NYJ"/>
    <x v="176"/>
    <n v="2024"/>
  </r>
  <r>
    <x v="6"/>
    <s v="Will"/>
    <n v="3"/>
    <x v="0"/>
    <s v="Geno Smith"/>
    <x v="177"/>
    <n v="2024"/>
  </r>
  <r>
    <x v="6"/>
    <s v="Will"/>
    <n v="3"/>
    <x v="1"/>
    <s v="Amon-Ra St. Brown"/>
    <x v="62"/>
    <n v="2024"/>
  </r>
  <r>
    <x v="6"/>
    <s v="Will"/>
    <n v="3"/>
    <x v="1"/>
    <s v="Drake London"/>
    <x v="93"/>
    <n v="2024"/>
  </r>
  <r>
    <x v="6"/>
    <s v="Will"/>
    <n v="3"/>
    <x v="1"/>
    <s v="Ladd McConkey"/>
    <x v="178"/>
    <n v="2024"/>
  </r>
  <r>
    <x v="6"/>
    <s v="Will"/>
    <n v="3"/>
    <x v="2"/>
    <s v="Zach Charbonet"/>
    <x v="179"/>
    <n v="2024"/>
  </r>
  <r>
    <x v="6"/>
    <s v="Will"/>
    <n v="3"/>
    <x v="2"/>
    <s v="Travis Etienne"/>
    <x v="27"/>
    <n v="2024"/>
  </r>
  <r>
    <x v="6"/>
    <s v="Will"/>
    <n v="3"/>
    <x v="3"/>
    <s v="Travis Kelce"/>
    <x v="103"/>
    <n v="2024"/>
  </r>
  <r>
    <x v="6"/>
    <s v="Will"/>
    <n v="3"/>
    <x v="5"/>
    <s v="Jason Myers"/>
    <x v="32"/>
    <n v="2024"/>
  </r>
  <r>
    <x v="6"/>
    <s v="Will"/>
    <n v="3"/>
    <x v="4"/>
    <s v="Houston"/>
    <x v="16"/>
    <n v="2024"/>
  </r>
  <r>
    <x v="11"/>
    <s v="Cam"/>
    <n v="3"/>
    <x v="0"/>
    <s v="Joe Burrow"/>
    <x v="180"/>
    <n v="2024"/>
  </r>
  <r>
    <x v="11"/>
    <s v="Cam"/>
    <n v="3"/>
    <x v="1"/>
    <s v="Ja'Marr Chase"/>
    <x v="181"/>
    <n v="2024"/>
  </r>
  <r>
    <x v="11"/>
    <s v="Cam"/>
    <n v="3"/>
    <x v="1"/>
    <s v="Nico Collins"/>
    <x v="21"/>
    <n v="2024"/>
  </r>
  <r>
    <x v="11"/>
    <s v="Cam"/>
    <n v="3"/>
    <x v="1"/>
    <s v="Brandon Aiyuk"/>
    <x v="170"/>
    <n v="2024"/>
  </r>
  <r>
    <x v="11"/>
    <s v="Cam"/>
    <n v="3"/>
    <x v="2"/>
    <s v="Aaron Jones"/>
    <x v="182"/>
    <n v="2024"/>
  </r>
  <r>
    <x v="11"/>
    <s v="Cam"/>
    <n v="3"/>
    <x v="2"/>
    <s v="JK Dobbins"/>
    <x v="92"/>
    <n v="2024"/>
  </r>
  <r>
    <x v="11"/>
    <s v="Cam"/>
    <n v="3"/>
    <x v="3"/>
    <s v="Pat Freiermuth"/>
    <x v="128"/>
    <n v="2024"/>
  </r>
  <r>
    <x v="11"/>
    <s v="Cam"/>
    <n v="3"/>
    <x v="5"/>
    <s v="Evan McPherson"/>
    <x v="32"/>
    <n v="2024"/>
  </r>
  <r>
    <x v="11"/>
    <s v="Cam"/>
    <n v="3"/>
    <x v="4"/>
    <s v="Chicago"/>
    <x v="16"/>
    <n v="2024"/>
  </r>
  <r>
    <x v="8"/>
    <s v="Schulwolf"/>
    <n v="3"/>
    <x v="0"/>
    <s v="Jayden Daniels"/>
    <x v="183"/>
    <n v="2024"/>
  </r>
  <r>
    <x v="8"/>
    <s v="Schulwolf"/>
    <n v="3"/>
    <x v="1"/>
    <s v="Chris Godwin"/>
    <x v="130"/>
    <n v="2024"/>
  </r>
  <r>
    <x v="8"/>
    <s v="Schulwolf"/>
    <n v="3"/>
    <x v="1"/>
    <s v="DeVonta Smith"/>
    <x v="46"/>
    <n v="2024"/>
  </r>
  <r>
    <x v="8"/>
    <s v="Schulwolf"/>
    <n v="3"/>
    <x v="1"/>
    <s v="Jerry Jeudy"/>
    <x v="184"/>
    <n v="2024"/>
  </r>
  <r>
    <x v="8"/>
    <s v="Schulwolf"/>
    <n v="3"/>
    <x v="2"/>
    <s v="Zack Moss"/>
    <x v="185"/>
    <n v="2024"/>
  </r>
  <r>
    <x v="8"/>
    <s v="Schulwolf"/>
    <n v="3"/>
    <x v="2"/>
    <s v="James Cook"/>
    <x v="186"/>
    <n v="2024"/>
  </r>
  <r>
    <x v="8"/>
    <s v="Schulwolf"/>
    <n v="3"/>
    <x v="3"/>
    <s v="Dalton Kincaid"/>
    <x v="187"/>
    <n v="2024"/>
  </r>
  <r>
    <x v="8"/>
    <s v="Schulwolf"/>
    <n v="3"/>
    <x v="5"/>
    <s v="Brandon Aubrey"/>
    <x v="138"/>
    <n v="2024"/>
  </r>
  <r>
    <x v="8"/>
    <s v="Schulwolf"/>
    <n v="3"/>
    <x v="4"/>
    <s v="Dallas"/>
    <x v="188"/>
    <n v="2024"/>
  </r>
  <r>
    <x v="10"/>
    <s v="Brand"/>
    <n v="3"/>
    <x v="0"/>
    <s v="Anthony Richardson"/>
    <x v="189"/>
    <n v="2024"/>
  </r>
  <r>
    <x v="10"/>
    <s v="Brand"/>
    <n v="3"/>
    <x v="1"/>
    <s v="Garrett Wilson"/>
    <x v="69"/>
    <n v="2024"/>
  </r>
  <r>
    <x v="10"/>
    <s v="Brand"/>
    <n v="3"/>
    <x v="1"/>
    <s v="Michael Pittman"/>
    <x v="90"/>
    <n v="2024"/>
  </r>
  <r>
    <x v="10"/>
    <s v="Brand"/>
    <n v="3"/>
    <x v="1"/>
    <s v="Brandin Cooks"/>
    <x v="59"/>
    <n v="2024"/>
  </r>
  <r>
    <x v="10"/>
    <s v="Brand"/>
    <n v="3"/>
    <x v="2"/>
    <s v="Breece Hall"/>
    <x v="190"/>
    <n v="2024"/>
  </r>
  <r>
    <x v="10"/>
    <s v="Brand"/>
    <n v="3"/>
    <x v="2"/>
    <s v="Bucky Irving"/>
    <x v="191"/>
    <n v="2024"/>
  </r>
  <r>
    <x v="10"/>
    <s v="Brand"/>
    <n v="3"/>
    <x v="3"/>
    <s v="Dallas Goedert"/>
    <x v="192"/>
    <n v="2024"/>
  </r>
  <r>
    <x v="10"/>
    <s v="Brand"/>
    <n v="3"/>
    <x v="5"/>
    <s v="Cairo Santos"/>
    <x v="25"/>
    <n v="2024"/>
  </r>
  <r>
    <x v="10"/>
    <s v="Brand"/>
    <n v="3"/>
    <x v="4"/>
    <s v="Indianapolis"/>
    <x v="8"/>
    <n v="2024"/>
  </r>
  <r>
    <x v="9"/>
    <s v="Tommy"/>
    <n v="3"/>
    <x v="0"/>
    <s v="Josh Allen"/>
    <x v="193"/>
    <n v="2024"/>
  </r>
  <r>
    <x v="9"/>
    <s v="Tommy"/>
    <n v="3"/>
    <x v="1"/>
    <s v="Malik Nabers"/>
    <x v="179"/>
    <n v="2024"/>
  </r>
  <r>
    <x v="9"/>
    <s v="Tommy"/>
    <n v="3"/>
    <x v="1"/>
    <s v="DK Metcalf"/>
    <x v="194"/>
    <n v="2024"/>
  </r>
  <r>
    <x v="9"/>
    <s v="Tommy"/>
    <n v="3"/>
    <x v="1"/>
    <s v="Xavier Worthy"/>
    <x v="16"/>
    <n v="2024"/>
  </r>
  <r>
    <x v="9"/>
    <s v="Tommy"/>
    <n v="3"/>
    <x v="2"/>
    <s v="Saquon Barkley"/>
    <x v="195"/>
    <n v="2024"/>
  </r>
  <r>
    <x v="9"/>
    <s v="Tommy"/>
    <n v="3"/>
    <x v="2"/>
    <s v="Kyren Williams"/>
    <x v="196"/>
    <n v="2024"/>
  </r>
  <r>
    <x v="9"/>
    <s v="Tommy"/>
    <n v="3"/>
    <x v="3"/>
    <s v="Mike Gesicki"/>
    <x v="184"/>
    <n v="2024"/>
  </r>
  <r>
    <x v="9"/>
    <s v="Tommy"/>
    <n v="3"/>
    <x v="5"/>
    <s v="Harrison Butker"/>
    <x v="122"/>
    <n v="2024"/>
  </r>
  <r>
    <x v="9"/>
    <s v="Tommy"/>
    <n v="3"/>
    <x v="4"/>
    <s v="San Francisco"/>
    <x v="16"/>
    <n v="2024"/>
  </r>
  <r>
    <x v="5"/>
    <s v="Burnett/Jasjaap"/>
    <n v="3"/>
    <x v="0"/>
    <s v="Brock Purdy"/>
    <x v="197"/>
    <n v="2024"/>
  </r>
  <r>
    <x v="5"/>
    <s v="Burnett/Jasjaap"/>
    <n v="3"/>
    <x v="1"/>
    <s v="CeeDee Lamb"/>
    <x v="184"/>
    <n v="2024"/>
  </r>
  <r>
    <x v="5"/>
    <s v="Burnett/Jasjaap"/>
    <n v="3"/>
    <x v="1"/>
    <s v="Jaylen Waddle"/>
    <x v="163"/>
    <n v="2024"/>
  </r>
  <r>
    <x v="5"/>
    <s v="Burnett/Jasjaap"/>
    <n v="3"/>
    <x v="1"/>
    <s v="Rashid Shaheed"/>
    <x v="146"/>
    <n v="2024"/>
  </r>
  <r>
    <x v="5"/>
    <s v="Burnett/Jasjaap"/>
    <n v="3"/>
    <x v="2"/>
    <s v="David Montgomery"/>
    <x v="198"/>
    <n v="2024"/>
  </r>
  <r>
    <x v="5"/>
    <s v="Burnett/Jasjaap"/>
    <n v="3"/>
    <x v="2"/>
    <s v="Josh Jacobs"/>
    <x v="128"/>
    <n v="2024"/>
  </r>
  <r>
    <x v="5"/>
    <s v="Burnett/Jasjaap"/>
    <n v="3"/>
    <x v="3"/>
    <s v="Brock Bowers"/>
    <x v="90"/>
    <n v="2024"/>
  </r>
  <r>
    <x v="5"/>
    <s v="Burnett/Jasjaap"/>
    <n v="3"/>
    <x v="5"/>
    <s v="Jake Elliott"/>
    <x v="78"/>
    <n v="2024"/>
  </r>
  <r>
    <x v="5"/>
    <s v="Burnett/Jasjaap"/>
    <n v="3"/>
    <x v="4"/>
    <s v="Pittsburgh"/>
    <x v="122"/>
    <n v="2024"/>
  </r>
  <r>
    <x v="0"/>
    <s v="Brenton"/>
    <n v="4"/>
    <x v="0"/>
    <s v="Baker Mayfield"/>
    <x v="199"/>
    <n v="2024"/>
  </r>
  <r>
    <x v="0"/>
    <s v="Brenton"/>
    <n v="4"/>
    <x v="1"/>
    <s v="Jayden Reed"/>
    <x v="200"/>
    <n v="2024"/>
  </r>
  <r>
    <x v="0"/>
    <s v="Brenton"/>
    <n v="4"/>
    <x v="1"/>
    <s v="Courtland Sutton"/>
    <x v="201"/>
    <n v="2024"/>
  </r>
  <r>
    <x v="0"/>
    <s v="Brenton"/>
    <n v="4"/>
    <x v="1"/>
    <s v="Tyreek Hill"/>
    <x v="45"/>
    <n v="2024"/>
  </r>
  <r>
    <x v="0"/>
    <s v="Brenton"/>
    <n v="4"/>
    <x v="2"/>
    <s v="Jerome Ford"/>
    <x v="122"/>
    <n v="2024"/>
  </r>
  <r>
    <x v="0"/>
    <s v="Brenton"/>
    <n v="4"/>
    <x v="2"/>
    <s v="Cam Akers"/>
    <x v="128"/>
    <n v="2024"/>
  </r>
  <r>
    <x v="0"/>
    <s v="Brenton"/>
    <n v="4"/>
    <x v="3"/>
    <s v="Colby Parkinson"/>
    <x v="128"/>
    <n v="2024"/>
  </r>
  <r>
    <x v="0"/>
    <s v="Brenton"/>
    <n v="4"/>
    <x v="5"/>
    <s v="Tyler Bass"/>
    <x v="103"/>
    <n v="2024"/>
  </r>
  <r>
    <x v="0"/>
    <s v="Brenton"/>
    <n v="4"/>
    <x v="4"/>
    <s v="Kansas City"/>
    <x v="76"/>
    <n v="2024"/>
  </r>
  <r>
    <x v="0"/>
    <s v="Brenton"/>
    <n v="4"/>
    <x v="6"/>
    <s v="Zay Flowers"/>
    <x v="202"/>
    <n v="2024"/>
  </r>
  <r>
    <x v="7"/>
    <s v="Jay"/>
    <n v="4"/>
    <x v="0"/>
    <s v="Lamar Jackson"/>
    <x v="203"/>
    <n v="2024"/>
  </r>
  <r>
    <x v="7"/>
    <s v="Jay"/>
    <n v="4"/>
    <x v="1"/>
    <s v="Amari Cooper"/>
    <x v="6"/>
    <n v="2024"/>
  </r>
  <r>
    <x v="7"/>
    <s v="Jay"/>
    <n v="4"/>
    <x v="1"/>
    <s v="Stefon Diggs"/>
    <x v="101"/>
    <n v="2024"/>
  </r>
  <r>
    <x v="7"/>
    <s v="Jay"/>
    <n v="4"/>
    <x v="1"/>
    <s v="Jauan Jennings"/>
    <x v="204"/>
    <n v="2024"/>
  </r>
  <r>
    <x v="7"/>
    <s v="Jay"/>
    <n v="4"/>
    <x v="2"/>
    <s v="Brian Robinson"/>
    <x v="88"/>
    <n v="2024"/>
  </r>
  <r>
    <x v="7"/>
    <s v="Jay"/>
    <n v="4"/>
    <x v="2"/>
    <s v="Alvin Kamara"/>
    <x v="205"/>
    <n v="2024"/>
  </r>
  <r>
    <x v="7"/>
    <s v="Jay"/>
    <n v="4"/>
    <x v="3"/>
    <s v="Tyler Conklin"/>
    <x v="206"/>
    <n v="2024"/>
  </r>
  <r>
    <x v="7"/>
    <s v="Jay"/>
    <n v="4"/>
    <x v="5"/>
    <s v="Ka'imi Fairbairn"/>
    <x v="25"/>
    <n v="2024"/>
  </r>
  <r>
    <x v="7"/>
    <s v="Jay"/>
    <n v="4"/>
    <x v="4"/>
    <s v="Miami"/>
    <x v="7"/>
    <n v="2024"/>
  </r>
  <r>
    <x v="7"/>
    <s v="Jay"/>
    <n v="4"/>
    <x v="7"/>
    <s v="Jonathan Taylor"/>
    <x v="67"/>
    <n v="2024"/>
  </r>
  <r>
    <x v="8"/>
    <s v="Schulwolf"/>
    <n v="4"/>
    <x v="0"/>
    <s v="Jayden Daniels"/>
    <x v="207"/>
    <n v="2024"/>
  </r>
  <r>
    <x v="8"/>
    <s v="Schulwolf"/>
    <n v="4"/>
    <x v="1"/>
    <s v="Terry McLaurin"/>
    <x v="85"/>
    <n v="2024"/>
  </r>
  <r>
    <x v="8"/>
    <s v="Schulwolf"/>
    <n v="4"/>
    <x v="1"/>
    <s v="Jerry Jeudy"/>
    <x v="208"/>
    <n v="2024"/>
  </r>
  <r>
    <x v="8"/>
    <s v="Schulwolf"/>
    <n v="4"/>
    <x v="1"/>
    <s v="Chris Godwin"/>
    <x v="191"/>
    <n v="2024"/>
  </r>
  <r>
    <x v="8"/>
    <s v="Schulwolf"/>
    <n v="4"/>
    <x v="2"/>
    <s v="Jahmyr Gibbs"/>
    <x v="209"/>
    <n v="2024"/>
  </r>
  <r>
    <x v="8"/>
    <s v="Schulwolf"/>
    <n v="4"/>
    <x v="2"/>
    <s v="Zack Moss"/>
    <x v="47"/>
    <n v="2024"/>
  </r>
  <r>
    <x v="8"/>
    <s v="Schulwolf"/>
    <n v="4"/>
    <x v="3"/>
    <s v="Dalton Kincaid"/>
    <x v="210"/>
    <n v="2024"/>
  </r>
  <r>
    <x v="8"/>
    <s v="Schulwolf"/>
    <n v="4"/>
    <x v="5"/>
    <s v="Brandon Aubrey"/>
    <x v="138"/>
    <n v="2024"/>
  </r>
  <r>
    <x v="8"/>
    <s v="Schulwolf"/>
    <n v="4"/>
    <x v="4"/>
    <s v="Dallas"/>
    <x v="7"/>
    <n v="2024"/>
  </r>
  <r>
    <x v="8"/>
    <s v="Schulwolf"/>
    <n v="4"/>
    <x v="7"/>
    <s v="James Cook"/>
    <x v="128"/>
    <n v="2024"/>
  </r>
  <r>
    <x v="5"/>
    <s v="Burnett/Jasjaap"/>
    <n v="4"/>
    <x v="0"/>
    <s v="Brock Purdy"/>
    <x v="211"/>
    <n v="2024"/>
  </r>
  <r>
    <x v="5"/>
    <s v="Burnett/Jasjaap"/>
    <n v="4"/>
    <x v="1"/>
    <s v="CeeDee Lamb"/>
    <x v="87"/>
    <n v="2024"/>
  </r>
  <r>
    <x v="5"/>
    <s v="Burnett/Jasjaap"/>
    <n v="4"/>
    <x v="1"/>
    <s v="Jaylen Waddle"/>
    <x v="90"/>
    <n v="2024"/>
  </r>
  <r>
    <x v="5"/>
    <s v="Burnett/Jasjaap"/>
    <n v="4"/>
    <x v="1"/>
    <s v="Rashid Shaheed"/>
    <x v="20"/>
    <n v="2024"/>
  </r>
  <r>
    <x v="5"/>
    <s v="Burnett/Jasjaap"/>
    <n v="4"/>
    <x v="2"/>
    <s v="David Montgomery"/>
    <x v="107"/>
    <n v="2024"/>
  </r>
  <r>
    <x v="5"/>
    <s v="Burnett/Jasjaap"/>
    <n v="4"/>
    <x v="2"/>
    <s v="Josh Jacobs"/>
    <x v="158"/>
    <n v="2024"/>
  </r>
  <r>
    <x v="5"/>
    <s v="Burnett/Jasjaap"/>
    <n v="4"/>
    <x v="3"/>
    <s v="Brock Bowers"/>
    <x v="86"/>
    <n v="2024"/>
  </r>
  <r>
    <x v="5"/>
    <s v="Burnett/Jasjaap"/>
    <n v="4"/>
    <x v="5"/>
    <s v="Jake Elliott"/>
    <x v="139"/>
    <n v="2024"/>
  </r>
  <r>
    <x v="5"/>
    <s v="Burnett/Jasjaap"/>
    <n v="4"/>
    <x v="4"/>
    <s v="Pittsburgh"/>
    <x v="78"/>
    <n v="2024"/>
  </r>
  <r>
    <x v="5"/>
    <s v="Burnett/Jasjaap"/>
    <n v="4"/>
    <x v="7"/>
    <s v="Gus Edwards"/>
    <x v="160"/>
    <n v="2024"/>
  </r>
  <r>
    <x v="2"/>
    <s v="Mike"/>
    <n v="4"/>
    <x v="0"/>
    <s v="Patrick Mahomes"/>
    <x v="49"/>
    <n v="2024"/>
  </r>
  <r>
    <x v="2"/>
    <s v="Mike"/>
    <n v="4"/>
    <x v="1"/>
    <s v="Mike Evans"/>
    <x v="212"/>
    <n v="2024"/>
  </r>
  <r>
    <x v="2"/>
    <s v="Mike"/>
    <n v="4"/>
    <x v="1"/>
    <s v="Khalil Shakir"/>
    <x v="136"/>
    <n v="2024"/>
  </r>
  <r>
    <x v="2"/>
    <s v="Mike"/>
    <n v="4"/>
    <x v="1"/>
    <s v="Quentin Johnston"/>
    <x v="213"/>
    <n v="2024"/>
  </r>
  <r>
    <x v="2"/>
    <s v="Mike"/>
    <n v="4"/>
    <x v="2"/>
    <s v="Derrick Henry"/>
    <x v="214"/>
    <n v="2024"/>
  </r>
  <r>
    <x v="2"/>
    <s v="Mike"/>
    <n v="4"/>
    <x v="2"/>
    <s v="Carson Steele"/>
    <x v="215"/>
    <n v="2024"/>
  </r>
  <r>
    <x v="2"/>
    <s v="Mike"/>
    <n v="4"/>
    <x v="3"/>
    <s v="Jake Ferguson"/>
    <x v="18"/>
    <n v="2024"/>
  </r>
  <r>
    <x v="2"/>
    <s v="Mike"/>
    <n v="4"/>
    <x v="5"/>
    <s v="Younghoe Koo"/>
    <x v="109"/>
    <n v="2024"/>
  </r>
  <r>
    <x v="2"/>
    <s v="Mike"/>
    <n v="4"/>
    <x v="4"/>
    <s v="Buffalo"/>
    <x v="188"/>
    <n v="2024"/>
  </r>
  <r>
    <x v="2"/>
    <s v="Mike"/>
    <n v="4"/>
    <x v="8"/>
    <s v="Sam LaPorta"/>
    <x v="170"/>
    <n v="2024"/>
  </r>
  <r>
    <x v="4"/>
    <s v="Eli"/>
    <n v="4"/>
    <x v="0"/>
    <s v="Jalen Hurts"/>
    <x v="216"/>
    <n v="2024"/>
  </r>
  <r>
    <x v="4"/>
    <s v="Eli"/>
    <n v="4"/>
    <x v="1"/>
    <s v="Justin Jefferson"/>
    <x v="217"/>
    <n v="2024"/>
  </r>
  <r>
    <x v="4"/>
    <s v="Eli"/>
    <n v="4"/>
    <x v="1"/>
    <s v="DJ Moore"/>
    <x v="218"/>
    <n v="2024"/>
  </r>
  <r>
    <x v="4"/>
    <s v="Eli"/>
    <n v="4"/>
    <x v="1"/>
    <s v="Jalen Tolbert"/>
    <x v="132"/>
    <n v="2024"/>
  </r>
  <r>
    <x v="4"/>
    <s v="Eli"/>
    <n v="4"/>
    <x v="2"/>
    <s v="Jordan Mason"/>
    <x v="33"/>
    <n v="2024"/>
  </r>
  <r>
    <x v="4"/>
    <s v="Eli"/>
    <n v="4"/>
    <x v="2"/>
    <s v="Bijan Robinson"/>
    <x v="156"/>
    <n v="2024"/>
  </r>
  <r>
    <x v="4"/>
    <s v="Eli"/>
    <n v="4"/>
    <x v="3"/>
    <s v="Dalton Schultz"/>
    <x v="219"/>
    <n v="2024"/>
  </r>
  <r>
    <x v="4"/>
    <s v="Eli"/>
    <n v="4"/>
    <x v="5"/>
    <s v="Jake Moody"/>
    <x v="49"/>
    <n v="2024"/>
  </r>
  <r>
    <x v="4"/>
    <s v="Eli"/>
    <n v="4"/>
    <x v="4"/>
    <s v="NYJ"/>
    <x v="24"/>
    <n v="2024"/>
  </r>
  <r>
    <x v="4"/>
    <s v="Eli"/>
    <n v="4"/>
    <x v="6"/>
    <s v="Rome Odunze"/>
    <x v="202"/>
    <n v="2024"/>
  </r>
  <r>
    <x v="1"/>
    <s v="Todd"/>
    <n v="4"/>
    <x v="0"/>
    <s v="Dak Prescott"/>
    <x v="220"/>
    <n v="2024"/>
  </r>
  <r>
    <x v="1"/>
    <s v="Todd"/>
    <n v="4"/>
    <x v="1"/>
    <s v="Brian Thomas Jr"/>
    <x v="57"/>
    <n v="2024"/>
  </r>
  <r>
    <x v="1"/>
    <s v="Todd"/>
    <n v="4"/>
    <x v="1"/>
    <s v="Diontae Johnson"/>
    <x v="14"/>
    <n v="2024"/>
  </r>
  <r>
    <x v="1"/>
    <s v="Todd"/>
    <n v="4"/>
    <x v="1"/>
    <s v="Deebo Samuel"/>
    <x v="161"/>
    <n v="2024"/>
  </r>
  <r>
    <x v="1"/>
    <s v="Todd"/>
    <n v="4"/>
    <x v="2"/>
    <s v="James Conner"/>
    <x v="14"/>
    <n v="2024"/>
  </r>
  <r>
    <x v="1"/>
    <s v="Todd"/>
    <n v="4"/>
    <x v="2"/>
    <s v="De'Von Achane"/>
    <x v="75"/>
    <n v="2024"/>
  </r>
  <r>
    <x v="1"/>
    <s v="Todd"/>
    <n v="4"/>
    <x v="3"/>
    <s v="Kyle Pitts"/>
    <x v="146"/>
    <n v="2024"/>
  </r>
  <r>
    <x v="1"/>
    <s v="Todd"/>
    <n v="4"/>
    <x v="5"/>
    <s v="Chris Boswell"/>
    <x v="32"/>
    <n v="2024"/>
  </r>
  <r>
    <x v="1"/>
    <s v="Todd"/>
    <n v="4"/>
    <x v="4"/>
    <s v="Tennessee"/>
    <x v="49"/>
    <n v="2024"/>
  </r>
  <r>
    <x v="1"/>
    <s v="Todd"/>
    <n v="4"/>
    <x v="6"/>
    <s v="Rashee Rice"/>
    <x v="146"/>
    <n v="2024"/>
  </r>
  <r>
    <x v="11"/>
    <s v="Cam"/>
    <n v="4"/>
    <x v="0"/>
    <s v="Kyler Murray"/>
    <x v="221"/>
    <n v="2024"/>
  </r>
  <r>
    <x v="11"/>
    <s v="Cam"/>
    <n v="4"/>
    <x v="1"/>
    <s v="Ja'Marr Chase"/>
    <x v="101"/>
    <n v="2024"/>
  </r>
  <r>
    <x v="11"/>
    <s v="Cam"/>
    <n v="4"/>
    <x v="1"/>
    <s v="Nico Collins"/>
    <x v="222"/>
    <n v="2024"/>
  </r>
  <r>
    <x v="11"/>
    <s v="Cam"/>
    <n v="4"/>
    <x v="1"/>
    <s v="Jakobi Meyers"/>
    <x v="223"/>
    <n v="2024"/>
  </r>
  <r>
    <x v="11"/>
    <s v="Cam"/>
    <n v="4"/>
    <x v="2"/>
    <s v="Aaron Jones"/>
    <x v="4"/>
    <n v="2024"/>
  </r>
  <r>
    <x v="11"/>
    <s v="Cam"/>
    <n v="4"/>
    <x v="2"/>
    <s v="Rhamondre Stevenson"/>
    <x v="45"/>
    <n v="2024"/>
  </r>
  <r>
    <x v="11"/>
    <s v="Cam"/>
    <n v="4"/>
    <x v="3"/>
    <s v="George Kittle"/>
    <x v="224"/>
    <n v="2024"/>
  </r>
  <r>
    <x v="11"/>
    <s v="Cam"/>
    <n v="4"/>
    <x v="5"/>
    <s v="Evan McPherson"/>
    <x v="49"/>
    <n v="2024"/>
  </r>
  <r>
    <x v="11"/>
    <s v="Cam"/>
    <n v="4"/>
    <x v="4"/>
    <s v="Chicago"/>
    <x v="76"/>
    <n v="2024"/>
  </r>
  <r>
    <x v="11"/>
    <s v="Cam"/>
    <n v="4"/>
    <x v="6"/>
    <s v="Brandon Aiyuk"/>
    <x v="225"/>
    <n v="2024"/>
  </r>
  <r>
    <x v="6"/>
    <s v="Will"/>
    <n v="4"/>
    <x v="0"/>
    <s v="Geno Smith"/>
    <x v="226"/>
    <n v="2024"/>
  </r>
  <r>
    <x v="6"/>
    <s v="Will"/>
    <n v="4"/>
    <x v="1"/>
    <s v="Amon-Ra St. Brown"/>
    <x v="227"/>
    <n v="2024"/>
  </r>
  <r>
    <x v="6"/>
    <s v="Will"/>
    <n v="4"/>
    <x v="1"/>
    <s v="Drake London"/>
    <x v="156"/>
    <n v="2024"/>
  </r>
  <r>
    <x v="6"/>
    <s v="Will"/>
    <n v="4"/>
    <x v="1"/>
    <s v="Ladd McConkey"/>
    <x v="228"/>
    <n v="2024"/>
  </r>
  <r>
    <x v="6"/>
    <s v="Will"/>
    <n v="4"/>
    <x v="2"/>
    <s v="Travis Etienne"/>
    <x v="23"/>
    <n v="2024"/>
  </r>
  <r>
    <x v="6"/>
    <s v="Will"/>
    <n v="4"/>
    <x v="2"/>
    <s v="Zach Charbonet"/>
    <x v="133"/>
    <n v="2024"/>
  </r>
  <r>
    <x v="6"/>
    <s v="Will"/>
    <n v="4"/>
    <x v="3"/>
    <s v="Travis Kelce"/>
    <x v="51"/>
    <n v="2024"/>
  </r>
  <r>
    <x v="6"/>
    <s v="Will"/>
    <n v="4"/>
    <x v="5"/>
    <s v="Jason Myers"/>
    <x v="7"/>
    <n v="2024"/>
  </r>
  <r>
    <x v="6"/>
    <s v="Will"/>
    <n v="4"/>
    <x v="4"/>
    <s v="Houston"/>
    <x v="78"/>
    <n v="2024"/>
  </r>
  <r>
    <x v="6"/>
    <s v="Will"/>
    <n v="4"/>
    <x v="6"/>
    <s v="Jaxon Smith-Njigba"/>
    <x v="74"/>
    <n v="2024"/>
  </r>
  <r>
    <x v="9"/>
    <s v="Tommy"/>
    <n v="4"/>
    <x v="0"/>
    <s v="Josh Allen"/>
    <x v="170"/>
    <n v="2024"/>
  </r>
  <r>
    <x v="9"/>
    <s v="Tommy"/>
    <n v="4"/>
    <x v="1"/>
    <s v="Malik Nabers"/>
    <x v="125"/>
    <n v="2024"/>
  </r>
  <r>
    <x v="9"/>
    <s v="Tommy"/>
    <n v="4"/>
    <x v="1"/>
    <s v="Xavier Worthy"/>
    <x v="31"/>
    <n v="2024"/>
  </r>
  <r>
    <x v="9"/>
    <s v="Tommy"/>
    <n v="4"/>
    <x v="1"/>
    <s v="DK Metcalf"/>
    <x v="66"/>
    <n v="2024"/>
  </r>
  <r>
    <x v="9"/>
    <s v="Tommy"/>
    <n v="4"/>
    <x v="2"/>
    <s v="Kyren Williams"/>
    <x v="194"/>
    <n v="2024"/>
  </r>
  <r>
    <x v="9"/>
    <s v="Tommy"/>
    <n v="4"/>
    <x v="2"/>
    <s v="Saquon Barkley"/>
    <x v="229"/>
    <n v="2024"/>
  </r>
  <r>
    <x v="9"/>
    <s v="Tommy"/>
    <n v="4"/>
    <x v="3"/>
    <s v="Mike Gesicki"/>
    <x v="230"/>
    <n v="2024"/>
  </r>
  <r>
    <x v="9"/>
    <s v="Tommy"/>
    <n v="4"/>
    <x v="5"/>
    <s v="Harrison Butker"/>
    <x v="103"/>
    <n v="2024"/>
  </r>
  <r>
    <x v="9"/>
    <s v="Tommy"/>
    <n v="4"/>
    <x v="4"/>
    <s v="San Francisco"/>
    <x v="33"/>
    <n v="2024"/>
  </r>
  <r>
    <x v="9"/>
    <s v="Tommy"/>
    <n v="4"/>
    <x v="7"/>
    <s v="Rachaad White"/>
    <x v="156"/>
    <n v="2024"/>
  </r>
  <r>
    <x v="10"/>
    <s v="Brand"/>
    <n v="4"/>
    <x v="0"/>
    <s v="Anthony Richardson"/>
    <x v="231"/>
    <n v="2024"/>
  </r>
  <r>
    <x v="10"/>
    <s v="Brand"/>
    <n v="4"/>
    <x v="1"/>
    <s v="Michael Pittman"/>
    <x v="130"/>
    <n v="2024"/>
  </r>
  <r>
    <x v="10"/>
    <s v="Brand"/>
    <n v="4"/>
    <x v="1"/>
    <s v="Garrett Wilson"/>
    <x v="163"/>
    <n v="2024"/>
  </r>
  <r>
    <x v="10"/>
    <s v="Brand"/>
    <n v="4"/>
    <x v="1"/>
    <s v="Jameson Williams"/>
    <x v="63"/>
    <n v="2024"/>
  </r>
  <r>
    <x v="10"/>
    <s v="Brand"/>
    <n v="4"/>
    <x v="2"/>
    <s v="Kenneth Walker"/>
    <x v="195"/>
    <n v="2024"/>
  </r>
  <r>
    <x v="10"/>
    <s v="Brand"/>
    <n v="4"/>
    <x v="2"/>
    <s v="Breece Hall"/>
    <x v="5"/>
    <n v="2024"/>
  </r>
  <r>
    <x v="10"/>
    <s v="Brand"/>
    <n v="4"/>
    <x v="3"/>
    <s v="Dallas Goedert"/>
    <x v="218"/>
    <n v="2024"/>
  </r>
  <r>
    <x v="10"/>
    <s v="Brand"/>
    <n v="4"/>
    <x v="5"/>
    <s v="Cairo Santos"/>
    <x v="76"/>
    <n v="2024"/>
  </r>
  <r>
    <x v="10"/>
    <s v="Brand"/>
    <n v="4"/>
    <x v="4"/>
    <s v="Las Vegas"/>
    <x v="8"/>
    <n v="2024"/>
  </r>
  <r>
    <x v="10"/>
    <s v="Brand"/>
    <n v="4"/>
    <x v="6"/>
    <s v="Keenan Allen"/>
    <x v="232"/>
    <n v="2024"/>
  </r>
  <r>
    <x v="3"/>
    <s v="Kevin"/>
    <n v="4"/>
    <x v="0"/>
    <s v="CJ Stroud"/>
    <x v="148"/>
    <n v="2024"/>
  </r>
  <r>
    <x v="3"/>
    <s v="Kevin"/>
    <n v="4"/>
    <x v="1"/>
    <s v="Jordan Addison"/>
    <x v="205"/>
    <n v="2024"/>
  </r>
  <r>
    <x v="3"/>
    <s v="Kevin"/>
    <n v="4"/>
    <x v="1"/>
    <s v="Marvin Harrison Jr"/>
    <x v="49"/>
    <n v="2024"/>
  </r>
  <r>
    <x v="3"/>
    <s v="Kevin"/>
    <n v="4"/>
    <x v="1"/>
    <s v="George Pickens"/>
    <x v="233"/>
    <n v="2024"/>
  </r>
  <r>
    <x v="3"/>
    <s v="Kevin"/>
    <n v="4"/>
    <x v="2"/>
    <s v="Chuba Hubbard"/>
    <x v="87"/>
    <n v="2024"/>
  </r>
  <r>
    <x v="3"/>
    <s v="Kevin"/>
    <n v="4"/>
    <x v="2"/>
    <s v="Najee Harris"/>
    <x v="48"/>
    <n v="2024"/>
  </r>
  <r>
    <x v="3"/>
    <s v="Kevin"/>
    <n v="4"/>
    <x v="3"/>
    <s v="Hunter Henry"/>
    <x v="37"/>
    <n v="2024"/>
  </r>
  <r>
    <x v="3"/>
    <s v="Kevin"/>
    <n v="4"/>
    <x v="5"/>
    <s v="Justin Tucker"/>
    <x v="103"/>
    <n v="2024"/>
  </r>
  <r>
    <x v="3"/>
    <s v="Kevin"/>
    <n v="4"/>
    <x v="4"/>
    <s v="Cleveland"/>
    <x v="122"/>
    <n v="2024"/>
  </r>
  <r>
    <x v="3"/>
    <s v="Kevin"/>
    <n v="4"/>
    <x v="6"/>
    <s v="Chris Olave"/>
    <x v="234"/>
    <n v="2024"/>
  </r>
  <r>
    <x v="0"/>
    <s v="Brenton"/>
    <n v="5"/>
    <x v="0"/>
    <s v="Baker Mayfield"/>
    <x v="235"/>
    <n v="2024"/>
  </r>
  <r>
    <x v="0"/>
    <s v="Brenton"/>
    <n v="5"/>
    <x v="1"/>
    <s v="Jayden Reed"/>
    <x v="20"/>
    <n v="2024"/>
  </r>
  <r>
    <x v="0"/>
    <s v="Brenton"/>
    <n v="5"/>
    <x v="1"/>
    <s v="Tyreek Hill"/>
    <x v="191"/>
    <n v="2024"/>
  </r>
  <r>
    <x v="0"/>
    <s v="Brenton"/>
    <n v="5"/>
    <x v="1"/>
    <s v="Courtland Sutton"/>
    <x v="91"/>
    <n v="2024"/>
  </r>
  <r>
    <x v="0"/>
    <s v="Brenton"/>
    <n v="5"/>
    <x v="2"/>
    <s v="Javonte Williams"/>
    <x v="38"/>
    <n v="2024"/>
  </r>
  <r>
    <x v="0"/>
    <s v="Brenton"/>
    <n v="5"/>
    <x v="2"/>
    <s v="Jerome Ford"/>
    <x v="39"/>
    <n v="2024"/>
  </r>
  <r>
    <x v="0"/>
    <s v="Brenton"/>
    <n v="5"/>
    <x v="3"/>
    <s v="Trey McBride"/>
    <x v="112"/>
    <n v="2024"/>
  </r>
  <r>
    <x v="0"/>
    <s v="Brenton"/>
    <n v="5"/>
    <x v="5"/>
    <s v="Tyler Bass"/>
    <x v="32"/>
    <n v="2024"/>
  </r>
  <r>
    <x v="0"/>
    <s v="Brenton"/>
    <n v="5"/>
    <x v="4"/>
    <s v="New England"/>
    <x v="24"/>
    <n v="2024"/>
  </r>
  <r>
    <x v="0"/>
    <s v="Brenton"/>
    <n v="5"/>
    <x v="6"/>
    <s v="Dontayvion Wicks"/>
    <x v="7"/>
    <n v="2024"/>
  </r>
  <r>
    <x v="4"/>
    <s v="Eli"/>
    <n v="5"/>
    <x v="0"/>
    <s v="Deshaun Watson"/>
    <x v="18"/>
    <n v="2024"/>
  </r>
  <r>
    <x v="4"/>
    <s v="Eli"/>
    <n v="5"/>
    <x v="1"/>
    <s v="DJ Moore"/>
    <x v="65"/>
    <n v="2024"/>
  </r>
  <r>
    <x v="4"/>
    <s v="Eli"/>
    <n v="5"/>
    <x v="1"/>
    <s v="Justin Jefferson"/>
    <x v="175"/>
    <n v="2024"/>
  </r>
  <r>
    <x v="4"/>
    <s v="Eli"/>
    <n v="5"/>
    <x v="1"/>
    <s v="Rome Odunze"/>
    <x v="23"/>
    <n v="2024"/>
  </r>
  <r>
    <x v="4"/>
    <s v="Eli"/>
    <n v="5"/>
    <x v="2"/>
    <s v="Bijan Robinson"/>
    <x v="84"/>
    <n v="2024"/>
  </r>
  <r>
    <x v="4"/>
    <s v="Eli"/>
    <n v="5"/>
    <x v="2"/>
    <s v="Jordan Mason"/>
    <x v="112"/>
    <n v="2024"/>
  </r>
  <r>
    <x v="4"/>
    <s v="Eli"/>
    <n v="5"/>
    <x v="3"/>
    <s v="David Njoku"/>
    <x v="160"/>
    <n v="2024"/>
  </r>
  <r>
    <x v="4"/>
    <s v="Eli"/>
    <n v="5"/>
    <x v="5"/>
    <s v="Jake Moody"/>
    <x v="32"/>
    <n v="2024"/>
  </r>
  <r>
    <x v="4"/>
    <s v="Eli"/>
    <n v="5"/>
    <x v="4"/>
    <s v="NYJ"/>
    <x v="8"/>
    <n v="2024"/>
  </r>
  <r>
    <x v="4"/>
    <s v="Eli"/>
    <n v="5"/>
    <x v="6"/>
    <s v="Xavier Legette"/>
    <x v="236"/>
    <n v="2024"/>
  </r>
  <r>
    <x v="2"/>
    <s v="Mike"/>
    <n v="5"/>
    <x v="0"/>
    <s v="Justin Fields"/>
    <x v="237"/>
    <n v="2024"/>
  </r>
  <r>
    <x v="2"/>
    <s v="Mike"/>
    <n v="5"/>
    <x v="1"/>
    <s v="Mike Evans"/>
    <x v="238"/>
    <n v="2024"/>
  </r>
  <r>
    <x v="2"/>
    <s v="Mike"/>
    <n v="5"/>
    <x v="1"/>
    <s v="Tutu Atwell"/>
    <x v="239"/>
    <n v="2024"/>
  </r>
  <r>
    <x v="2"/>
    <s v="Mike"/>
    <n v="5"/>
    <x v="1"/>
    <s v="Tank Dell"/>
    <x v="128"/>
    <n v="2024"/>
  </r>
  <r>
    <x v="2"/>
    <s v="Mike"/>
    <n v="5"/>
    <x v="2"/>
    <s v="Derrick Henry"/>
    <x v="97"/>
    <n v="2024"/>
  </r>
  <r>
    <x v="2"/>
    <s v="Mike"/>
    <n v="5"/>
    <x v="2"/>
    <s v="Kareem Hunt"/>
    <x v="185"/>
    <n v="2024"/>
  </r>
  <r>
    <x v="2"/>
    <s v="Mike"/>
    <n v="5"/>
    <x v="3"/>
    <s v="Jake Ferguson"/>
    <x v="8"/>
    <n v="2024"/>
  </r>
  <r>
    <x v="2"/>
    <s v="Mike"/>
    <n v="5"/>
    <x v="5"/>
    <s v="Younghoe Koo"/>
    <x v="101"/>
    <n v="2024"/>
  </r>
  <r>
    <x v="2"/>
    <s v="Mike"/>
    <n v="5"/>
    <x v="4"/>
    <s v="Buffalo"/>
    <x v="78"/>
    <n v="2024"/>
  </r>
  <r>
    <x v="2"/>
    <s v="Mike"/>
    <n v="5"/>
    <x v="7"/>
    <s v="Chase Brown"/>
    <x v="134"/>
    <n v="2024"/>
  </r>
  <r>
    <x v="11"/>
    <s v="Cam"/>
    <n v="5"/>
    <x v="0"/>
    <s v="Joe Burrow"/>
    <x v="240"/>
    <n v="2024"/>
  </r>
  <r>
    <x v="11"/>
    <s v="Cam"/>
    <n v="5"/>
    <x v="1"/>
    <s v="Ja'Marr Chase"/>
    <x v="241"/>
    <n v="2024"/>
  </r>
  <r>
    <x v="11"/>
    <s v="Cam"/>
    <n v="5"/>
    <x v="1"/>
    <s v="Brandon Aiyuk"/>
    <x v="242"/>
    <n v="2024"/>
  </r>
  <r>
    <x v="11"/>
    <s v="Cam"/>
    <n v="5"/>
    <x v="1"/>
    <s v="Nico Collins"/>
    <x v="31"/>
    <n v="2024"/>
  </r>
  <r>
    <x v="11"/>
    <s v="Cam"/>
    <n v="5"/>
    <x v="2"/>
    <s v="D'Andre Swift"/>
    <x v="176"/>
    <n v="2024"/>
  </r>
  <r>
    <x v="11"/>
    <s v="Cam"/>
    <n v="5"/>
    <x v="2"/>
    <s v="Aaron Jones"/>
    <x v="225"/>
    <n v="2024"/>
  </r>
  <r>
    <x v="11"/>
    <s v="Cam"/>
    <n v="5"/>
    <x v="3"/>
    <s v="George Kittle"/>
    <x v="64"/>
    <n v="2024"/>
  </r>
  <r>
    <x v="11"/>
    <s v="Cam"/>
    <n v="5"/>
    <x v="5"/>
    <s v="Evan McPherson"/>
    <x v="16"/>
    <n v="2024"/>
  </r>
  <r>
    <x v="11"/>
    <s v="Cam"/>
    <n v="5"/>
    <x v="4"/>
    <s v="Chicago"/>
    <x v="63"/>
    <n v="2024"/>
  </r>
  <r>
    <x v="11"/>
    <s v="Cam"/>
    <n v="5"/>
    <x v="6"/>
    <s v="Wan'Dale Robinson"/>
    <x v="49"/>
    <n v="2024"/>
  </r>
  <r>
    <x v="10"/>
    <s v="Brand"/>
    <n v="5"/>
    <x v="0"/>
    <s v="Joe Flacco"/>
    <x v="243"/>
    <n v="2024"/>
  </r>
  <r>
    <x v="10"/>
    <s v="Brand"/>
    <n v="5"/>
    <x v="1"/>
    <s v="Garrett Wilson"/>
    <x v="244"/>
    <n v="2024"/>
  </r>
  <r>
    <x v="10"/>
    <s v="Brand"/>
    <n v="5"/>
    <x v="1"/>
    <s v="Michael Pittman"/>
    <x v="175"/>
    <n v="2024"/>
  </r>
  <r>
    <x v="10"/>
    <s v="Brand"/>
    <n v="5"/>
    <x v="1"/>
    <s v="Keenan Allen"/>
    <x v="245"/>
    <n v="2024"/>
  </r>
  <r>
    <x v="10"/>
    <s v="Brand"/>
    <n v="5"/>
    <x v="2"/>
    <s v="Kenneth Walker"/>
    <x v="43"/>
    <n v="2024"/>
  </r>
  <r>
    <x v="10"/>
    <s v="Brand"/>
    <n v="5"/>
    <x v="2"/>
    <s v="Breece Hall"/>
    <x v="22"/>
    <n v="2024"/>
  </r>
  <r>
    <x v="10"/>
    <s v="Brand"/>
    <n v="5"/>
    <x v="3"/>
    <s v="Zach Ertz"/>
    <x v="139"/>
    <n v="2024"/>
  </r>
  <r>
    <x v="10"/>
    <s v="Brand"/>
    <n v="5"/>
    <x v="5"/>
    <s v="Cairo Santos"/>
    <x v="103"/>
    <n v="2024"/>
  </r>
  <r>
    <x v="10"/>
    <s v="Brand"/>
    <n v="5"/>
    <x v="4"/>
    <s v="Indianapolis"/>
    <x v="246"/>
    <n v="2024"/>
  </r>
  <r>
    <x v="10"/>
    <s v="Brand"/>
    <n v="5"/>
    <x v="7"/>
    <s v="Bucky Irving"/>
    <x v="163"/>
    <n v="2024"/>
  </r>
  <r>
    <x v="5"/>
    <s v="Burnett/Jasjaap"/>
    <n v="5"/>
    <x v="0"/>
    <s v="Brock Purdy"/>
    <x v="247"/>
    <n v="2024"/>
  </r>
  <r>
    <x v="5"/>
    <s v="Burnett/Jasjaap"/>
    <n v="5"/>
    <x v="1"/>
    <s v="Rashid Shaheed"/>
    <x v="248"/>
    <n v="2024"/>
  </r>
  <r>
    <x v="5"/>
    <s v="Burnett/Jasjaap"/>
    <n v="5"/>
    <x v="1"/>
    <s v="CeeDee Lamb"/>
    <x v="155"/>
    <n v="2024"/>
  </r>
  <r>
    <x v="5"/>
    <s v="Burnett/Jasjaap"/>
    <n v="5"/>
    <x v="1"/>
    <s v="Jordan Whittington"/>
    <x v="51"/>
    <n v="2024"/>
  </r>
  <r>
    <x v="5"/>
    <s v="Burnett/Jasjaap"/>
    <n v="5"/>
    <x v="2"/>
    <s v="Josh Jacobs"/>
    <x v="4"/>
    <n v="2024"/>
  </r>
  <r>
    <x v="5"/>
    <s v="Burnett/Jasjaap"/>
    <n v="5"/>
    <x v="2"/>
    <s v="Rico Dowdle"/>
    <x v="194"/>
    <n v="2024"/>
  </r>
  <r>
    <x v="5"/>
    <s v="Burnett/Jasjaap"/>
    <n v="5"/>
    <x v="3"/>
    <s v="Brock Bowers"/>
    <x v="198"/>
    <n v="2024"/>
  </r>
  <r>
    <x v="5"/>
    <s v="Burnett/Jasjaap"/>
    <n v="5"/>
    <x v="5"/>
    <s v="Austin Seibert"/>
    <x v="8"/>
    <n v="2024"/>
  </r>
  <r>
    <x v="5"/>
    <s v="Burnett/Jasjaap"/>
    <n v="5"/>
    <x v="4"/>
    <s v="Pittsburgh"/>
    <x v="76"/>
    <n v="2024"/>
  </r>
  <r>
    <x v="5"/>
    <s v="Burnett/Jasjaap"/>
    <n v="5"/>
    <x v="6"/>
    <s v="Jaylen Waddle"/>
    <x v="249"/>
    <n v="2024"/>
  </r>
  <r>
    <x v="6"/>
    <s v="Will"/>
    <n v="5"/>
    <x v="0"/>
    <s v="Geno Smith"/>
    <x v="250"/>
    <n v="2024"/>
  </r>
  <r>
    <x v="6"/>
    <s v="Will"/>
    <n v="5"/>
    <x v="1"/>
    <s v="Drake London"/>
    <x v="251"/>
    <n v="2024"/>
  </r>
  <r>
    <x v="6"/>
    <s v="Will"/>
    <n v="5"/>
    <x v="1"/>
    <s v="Jaxon Smith-Njigba"/>
    <x v="43"/>
    <n v="2024"/>
  </r>
  <r>
    <x v="6"/>
    <s v="Will"/>
    <n v="5"/>
    <x v="1"/>
    <s v="Keon Coleman"/>
    <x v="46"/>
    <n v="2024"/>
  </r>
  <r>
    <x v="6"/>
    <s v="Will"/>
    <n v="5"/>
    <x v="2"/>
    <s v="Travis Etienne"/>
    <x v="24"/>
    <n v="2024"/>
  </r>
  <r>
    <x v="6"/>
    <s v="Will"/>
    <n v="5"/>
    <x v="2"/>
    <s v="Austin Ekeler"/>
    <x v="252"/>
    <n v="2024"/>
  </r>
  <r>
    <x v="6"/>
    <s v="Will"/>
    <n v="5"/>
    <x v="3"/>
    <s v="Travis Kelce"/>
    <x v="253"/>
    <n v="2024"/>
  </r>
  <r>
    <x v="6"/>
    <s v="Will"/>
    <n v="5"/>
    <x v="5"/>
    <s v="Jason Myers"/>
    <x v="24"/>
    <n v="2024"/>
  </r>
  <r>
    <x v="6"/>
    <s v="Will"/>
    <n v="5"/>
    <x v="4"/>
    <s v="Houston"/>
    <x v="7"/>
    <n v="2024"/>
  </r>
  <r>
    <x v="6"/>
    <s v="Will"/>
    <n v="5"/>
    <x v="7"/>
    <s v="Zach Charbonet"/>
    <x v="254"/>
    <n v="2024"/>
  </r>
  <r>
    <x v="8"/>
    <s v="Schulwolf"/>
    <n v="5"/>
    <x v="0"/>
    <s v="Jayden Daniels"/>
    <x v="255"/>
    <n v="2024"/>
  </r>
  <r>
    <x v="8"/>
    <s v="Schulwolf"/>
    <n v="5"/>
    <x v="1"/>
    <s v="Terry McLaurin"/>
    <x v="46"/>
    <n v="2024"/>
  </r>
  <r>
    <x v="8"/>
    <s v="Schulwolf"/>
    <n v="5"/>
    <x v="1"/>
    <s v="Chris Godwin"/>
    <x v="74"/>
    <n v="2024"/>
  </r>
  <r>
    <x v="8"/>
    <s v="Schulwolf"/>
    <n v="5"/>
    <x v="1"/>
    <s v="Tyler Lockett"/>
    <x v="239"/>
    <n v="2024"/>
  </r>
  <r>
    <x v="8"/>
    <s v="Schulwolf"/>
    <n v="5"/>
    <x v="2"/>
    <s v="James Cook"/>
    <x v="114"/>
    <n v="2024"/>
  </r>
  <r>
    <x v="8"/>
    <s v="Schulwolf"/>
    <n v="5"/>
    <x v="2"/>
    <s v="Zack Moss"/>
    <x v="184"/>
    <n v="2024"/>
  </r>
  <r>
    <x v="8"/>
    <s v="Schulwolf"/>
    <n v="5"/>
    <x v="3"/>
    <s v="Dalton Kincaid"/>
    <x v="75"/>
    <n v="2024"/>
  </r>
  <r>
    <x v="8"/>
    <s v="Schulwolf"/>
    <n v="5"/>
    <x v="5"/>
    <s v="Brandon Aubrey"/>
    <x v="24"/>
    <n v="2024"/>
  </r>
  <r>
    <x v="8"/>
    <s v="Schulwolf"/>
    <n v="5"/>
    <x v="4"/>
    <s v="Denver"/>
    <x v="63"/>
    <n v="2024"/>
  </r>
  <r>
    <x v="8"/>
    <s v="Schulwolf"/>
    <n v="5"/>
    <x v="6"/>
    <s v="Jerry Jeudy"/>
    <x v="28"/>
    <n v="2024"/>
  </r>
  <r>
    <x v="1"/>
    <s v="Todd"/>
    <n v="5"/>
    <x v="0"/>
    <s v="Sam Darnold"/>
    <x v="256"/>
    <n v="2024"/>
  </r>
  <r>
    <x v="1"/>
    <s v="Todd"/>
    <n v="5"/>
    <x v="1"/>
    <s v="Brian Thomas Jr"/>
    <x v="238"/>
    <n v="2024"/>
  </r>
  <r>
    <x v="1"/>
    <s v="Todd"/>
    <n v="5"/>
    <x v="1"/>
    <s v="Darnell Mooney"/>
    <x v="131"/>
    <n v="2024"/>
  </r>
  <r>
    <x v="1"/>
    <s v="Todd"/>
    <n v="5"/>
    <x v="1"/>
    <s v="Diontae Johnson"/>
    <x v="75"/>
    <n v="2024"/>
  </r>
  <r>
    <x v="1"/>
    <s v="Todd"/>
    <n v="5"/>
    <x v="2"/>
    <s v="James Conner"/>
    <x v="49"/>
    <n v="2024"/>
  </r>
  <r>
    <x v="1"/>
    <s v="Todd"/>
    <n v="5"/>
    <x v="2"/>
    <s v="De'Von Achane"/>
    <x v="37"/>
    <n v="2024"/>
  </r>
  <r>
    <x v="1"/>
    <s v="Todd"/>
    <n v="5"/>
    <x v="3"/>
    <s v="Tucker Kraft"/>
    <x v="257"/>
    <n v="2024"/>
  </r>
  <r>
    <x v="1"/>
    <s v="Todd"/>
    <n v="5"/>
    <x v="5"/>
    <s v="Chris Boswell"/>
    <x v="25"/>
    <n v="2024"/>
  </r>
  <r>
    <x v="1"/>
    <s v="Todd"/>
    <n v="5"/>
    <x v="4"/>
    <s v="Green Bay"/>
    <x v="122"/>
    <n v="2024"/>
  </r>
  <r>
    <x v="1"/>
    <s v="Todd"/>
    <n v="5"/>
    <x v="6"/>
    <s v="Deebo Samuel"/>
    <x v="52"/>
    <n v="2024"/>
  </r>
  <r>
    <x v="9"/>
    <s v="Tommy"/>
    <n v="5"/>
    <x v="0"/>
    <s v="Josh Allen"/>
    <x v="17"/>
    <n v="2024"/>
  </r>
  <r>
    <x v="9"/>
    <s v="Tommy"/>
    <n v="5"/>
    <x v="1"/>
    <s v="Xavier Worthy"/>
    <x v="204"/>
    <n v="2024"/>
  </r>
  <r>
    <x v="9"/>
    <s v="Tommy"/>
    <n v="5"/>
    <x v="1"/>
    <s v="Allen Lazard"/>
    <x v="46"/>
    <n v="2024"/>
  </r>
  <r>
    <x v="9"/>
    <s v="Tommy"/>
    <n v="5"/>
    <x v="1"/>
    <s v="Michael Wilson"/>
    <x v="204"/>
    <n v="2024"/>
  </r>
  <r>
    <x v="9"/>
    <s v="Tommy"/>
    <n v="5"/>
    <x v="2"/>
    <s v="Kyren Williams"/>
    <x v="63"/>
    <n v="2024"/>
  </r>
  <r>
    <x v="9"/>
    <s v="Tommy"/>
    <n v="5"/>
    <x v="2"/>
    <s v="Rachaad White"/>
    <x v="3"/>
    <n v="2024"/>
  </r>
  <r>
    <x v="9"/>
    <s v="Tommy"/>
    <n v="5"/>
    <x v="3"/>
    <s v="Cade Otton"/>
    <x v="178"/>
    <n v="2024"/>
  </r>
  <r>
    <x v="9"/>
    <s v="Tommy"/>
    <n v="5"/>
    <x v="5"/>
    <s v="Harrison Butker"/>
    <x v="100"/>
    <n v="2024"/>
  </r>
  <r>
    <x v="9"/>
    <s v="Tommy"/>
    <n v="5"/>
    <x v="4"/>
    <s v="Minnesota"/>
    <x v="62"/>
    <n v="2024"/>
  </r>
  <r>
    <x v="9"/>
    <s v="Tommy"/>
    <n v="5"/>
    <x v="6"/>
    <s v="DK Metcalf"/>
    <x v="6"/>
    <n v="2024"/>
  </r>
  <r>
    <x v="7"/>
    <s v="Jay"/>
    <n v="5"/>
    <x v="0"/>
    <s v="Lamar Jackson"/>
    <x v="258"/>
    <n v="2024"/>
  </r>
  <r>
    <x v="7"/>
    <s v="Jay"/>
    <n v="5"/>
    <x v="1"/>
    <s v="Stefon Diggs"/>
    <x v="174"/>
    <n v="2024"/>
  </r>
  <r>
    <x v="7"/>
    <s v="Jay"/>
    <n v="5"/>
    <x v="1"/>
    <s v="Amari Cooper"/>
    <x v="32"/>
    <n v="2024"/>
  </r>
  <r>
    <x v="7"/>
    <s v="Jay"/>
    <n v="5"/>
    <x v="1"/>
    <s v="Jauan Jennings"/>
    <x v="213"/>
    <n v="2024"/>
  </r>
  <r>
    <x v="7"/>
    <s v="Jay"/>
    <n v="5"/>
    <x v="2"/>
    <s v="Trey Sermon"/>
    <x v="259"/>
    <n v="2024"/>
  </r>
  <r>
    <x v="7"/>
    <s v="Jay"/>
    <n v="5"/>
    <x v="2"/>
    <s v="Brian Robinson"/>
    <x v="12"/>
    <n v="2024"/>
  </r>
  <r>
    <x v="7"/>
    <s v="Jay"/>
    <n v="5"/>
    <x v="3"/>
    <s v="Tyler Conklin"/>
    <x v="157"/>
    <n v="2024"/>
  </r>
  <r>
    <x v="7"/>
    <s v="Jay"/>
    <n v="5"/>
    <x v="5"/>
    <s v="Ka'imi Fairbairn"/>
    <x v="101"/>
    <n v="2024"/>
  </r>
  <r>
    <x v="7"/>
    <s v="Jay"/>
    <n v="5"/>
    <x v="4"/>
    <s v="Miami"/>
    <x v="76"/>
    <n v="2024"/>
  </r>
  <r>
    <x v="7"/>
    <s v="Jay"/>
    <n v="5"/>
    <x v="7"/>
    <s v="Alvin Kamara"/>
    <x v="260"/>
    <n v="2024"/>
  </r>
  <r>
    <x v="3"/>
    <s v="Kevin"/>
    <n v="5"/>
    <x v="0"/>
    <s v="CJ Stroud"/>
    <x v="237"/>
    <n v="2024"/>
  </r>
  <r>
    <x v="3"/>
    <s v="Kevin"/>
    <n v="5"/>
    <x v="1"/>
    <s v="Jordan Addison"/>
    <x v="82"/>
    <n v="2024"/>
  </r>
  <r>
    <x v="3"/>
    <s v="Kevin"/>
    <n v="5"/>
    <x v="1"/>
    <s v="Marvin Harrison Jr"/>
    <x v="163"/>
    <n v="2024"/>
  </r>
  <r>
    <x v="3"/>
    <s v="Kevin"/>
    <n v="5"/>
    <x v="1"/>
    <s v="George Pickens"/>
    <x v="86"/>
    <n v="2024"/>
  </r>
  <r>
    <x v="3"/>
    <s v="Kevin"/>
    <n v="5"/>
    <x v="2"/>
    <s v="Chuba Hubbard"/>
    <x v="261"/>
    <n v="2024"/>
  </r>
  <r>
    <x v="3"/>
    <s v="Kevin"/>
    <n v="5"/>
    <x v="2"/>
    <s v="Najee Harris"/>
    <x v="161"/>
    <n v="2024"/>
  </r>
  <r>
    <x v="3"/>
    <s v="Kevin"/>
    <n v="5"/>
    <x v="3"/>
    <s v="Hunter Henry"/>
    <x v="91"/>
    <n v="2024"/>
  </r>
  <r>
    <x v="3"/>
    <s v="Kevin"/>
    <n v="5"/>
    <x v="5"/>
    <s v="Justin Tucker"/>
    <x v="49"/>
    <n v="2024"/>
  </r>
  <r>
    <x v="3"/>
    <s v="Kevin"/>
    <n v="5"/>
    <x v="4"/>
    <s v="Seattle"/>
    <x v="76"/>
    <n v="2024"/>
  </r>
  <r>
    <x v="3"/>
    <s v="Kevin"/>
    <n v="5"/>
    <x v="6"/>
    <s v="Chris Olave"/>
    <x v="139"/>
    <n v="2024"/>
  </r>
  <r>
    <x v="0"/>
    <s v="Brenton"/>
    <n v="6"/>
    <x v="0"/>
    <s v="Daniel Jones"/>
    <x v="69"/>
    <n v="2024"/>
  </r>
  <r>
    <x v="0"/>
    <s v="Brenton"/>
    <n v="6"/>
    <x v="1"/>
    <s v="Jayden Reed"/>
    <x v="69"/>
    <n v="2024"/>
  </r>
  <r>
    <x v="0"/>
    <s v="Brenton"/>
    <n v="6"/>
    <x v="1"/>
    <s v="Courtland Sutton"/>
    <x v="120"/>
    <n v="2024"/>
  </r>
  <r>
    <x v="0"/>
    <s v="Brenton"/>
    <n v="6"/>
    <x v="1"/>
    <s v="Zay Flowers"/>
    <x v="81"/>
    <n v="2024"/>
  </r>
  <r>
    <x v="0"/>
    <s v="Brenton"/>
    <n v="6"/>
    <x v="2"/>
    <s v="Javonte Williams"/>
    <x v="115"/>
    <n v="2024"/>
  </r>
  <r>
    <x v="0"/>
    <s v="Brenton"/>
    <n v="6"/>
    <x v="2"/>
    <s v="Tank Bigsby"/>
    <x v="61"/>
    <n v="2024"/>
  </r>
  <r>
    <x v="0"/>
    <s v="Brenton"/>
    <n v="6"/>
    <x v="3"/>
    <s v="Trey McBride"/>
    <x v="38"/>
    <n v="2024"/>
  </r>
  <r>
    <x v="0"/>
    <s v="Brenton"/>
    <n v="6"/>
    <x v="5"/>
    <s v="Jake Elliott"/>
    <x v="8"/>
    <n v="2024"/>
  </r>
  <r>
    <x v="0"/>
    <s v="Brenton"/>
    <n v="6"/>
    <x v="4"/>
    <s v="Atlanta"/>
    <x v="16"/>
    <n v="2024"/>
  </r>
  <r>
    <x v="0"/>
    <s v="Brenton"/>
    <n v="6"/>
    <x v="6"/>
    <s v="Dontayvion Wicks"/>
    <x v="171"/>
    <n v="2024"/>
  </r>
  <r>
    <x v="11"/>
    <s v="Cam"/>
    <n v="6"/>
    <x v="0"/>
    <s v="Joe Burrow"/>
    <x v="262"/>
    <n v="2024"/>
  </r>
  <r>
    <x v="11"/>
    <s v="Cam"/>
    <n v="6"/>
    <x v="1"/>
    <s v="Josh Downs"/>
    <x v="101"/>
    <n v="2024"/>
  </r>
  <r>
    <x v="11"/>
    <s v="Cam"/>
    <n v="6"/>
    <x v="1"/>
    <s v="Ja'Marr Chase"/>
    <x v="218"/>
    <n v="2024"/>
  </r>
  <r>
    <x v="11"/>
    <s v="Cam"/>
    <n v="6"/>
    <x v="1"/>
    <s v="Wan'Dale Robinson"/>
    <x v="36"/>
    <n v="2024"/>
  </r>
  <r>
    <x v="11"/>
    <s v="Cam"/>
    <n v="6"/>
    <x v="2"/>
    <s v="D'Andre Swift"/>
    <x v="263"/>
    <n v="2024"/>
  </r>
  <r>
    <x v="11"/>
    <s v="Cam"/>
    <n v="6"/>
    <x v="2"/>
    <s v="JK Dobbins"/>
    <x v="264"/>
    <n v="2024"/>
  </r>
  <r>
    <x v="11"/>
    <s v="Cam"/>
    <n v="6"/>
    <x v="3"/>
    <s v="George Kittle"/>
    <x v="265"/>
    <n v="2024"/>
  </r>
  <r>
    <x v="11"/>
    <s v="Cam"/>
    <n v="6"/>
    <x v="5"/>
    <s v="Evan McPherson"/>
    <x v="103"/>
    <n v="2024"/>
  </r>
  <r>
    <x v="11"/>
    <s v="Cam"/>
    <n v="6"/>
    <x v="4"/>
    <s v="Chicago"/>
    <x v="8"/>
    <n v="2024"/>
  </r>
  <r>
    <x v="11"/>
    <s v="Cam"/>
    <n v="6"/>
    <x v="6"/>
    <s v="Brandon Aiyuk"/>
    <x v="15"/>
    <n v="2024"/>
  </r>
  <r>
    <x v="2"/>
    <s v="Mike"/>
    <n v="6"/>
    <x v="0"/>
    <s v="Justin Fields"/>
    <x v="142"/>
    <n v="2024"/>
  </r>
  <r>
    <x v="2"/>
    <s v="Mike"/>
    <n v="6"/>
    <x v="1"/>
    <s v="Tank Dell"/>
    <x v="228"/>
    <n v="2024"/>
  </r>
  <r>
    <x v="2"/>
    <s v="Mike"/>
    <n v="6"/>
    <x v="1"/>
    <s v="Mike Evans"/>
    <x v="75"/>
    <n v="2024"/>
  </r>
  <r>
    <x v="2"/>
    <s v="Mike"/>
    <n v="6"/>
    <x v="1"/>
    <s v="Ray-Ray McCloud"/>
    <x v="5"/>
    <n v="2024"/>
  </r>
  <r>
    <x v="2"/>
    <s v="Mike"/>
    <n v="6"/>
    <x v="2"/>
    <s v="Derrick Henry"/>
    <x v="266"/>
    <n v="2024"/>
  </r>
  <r>
    <x v="2"/>
    <s v="Mike"/>
    <n v="6"/>
    <x v="2"/>
    <s v="Chase Brown"/>
    <x v="267"/>
    <n v="2024"/>
  </r>
  <r>
    <x v="2"/>
    <s v="Mike"/>
    <n v="6"/>
    <x v="3"/>
    <s v="Sam LaPorta"/>
    <x v="20"/>
    <n v="2024"/>
  </r>
  <r>
    <x v="2"/>
    <s v="Mike"/>
    <n v="6"/>
    <x v="5"/>
    <s v="Younghoe Koo"/>
    <x v="122"/>
    <n v="2024"/>
  </r>
  <r>
    <x v="2"/>
    <s v="Mike"/>
    <n v="6"/>
    <x v="4"/>
    <s v="Buffalo"/>
    <x v="103"/>
    <n v="2024"/>
  </r>
  <r>
    <x v="2"/>
    <s v="Mike"/>
    <n v="6"/>
    <x v="8"/>
    <s v="Jake Ferguson"/>
    <x v="59"/>
    <n v="2024"/>
  </r>
  <r>
    <x v="9"/>
    <s v="Tommy"/>
    <n v="6"/>
    <x v="0"/>
    <s v="Josh Allen"/>
    <x v="268"/>
    <n v="2024"/>
  </r>
  <r>
    <x v="9"/>
    <s v="Tommy"/>
    <n v="6"/>
    <x v="1"/>
    <s v="Allen Lazard"/>
    <x v="10"/>
    <n v="2024"/>
  </r>
  <r>
    <x v="9"/>
    <s v="Tommy"/>
    <n v="6"/>
    <x v="1"/>
    <s v="Romeo Doubs"/>
    <x v="194"/>
    <n v="2024"/>
  </r>
  <r>
    <x v="9"/>
    <s v="Tommy"/>
    <n v="6"/>
    <x v="1"/>
    <s v="Michael Wilson"/>
    <x v="74"/>
    <n v="2024"/>
  </r>
  <r>
    <x v="9"/>
    <s v="Tommy"/>
    <n v="6"/>
    <x v="2"/>
    <s v="Alexander Mattison"/>
    <x v="63"/>
    <n v="2024"/>
  </r>
  <r>
    <x v="9"/>
    <s v="Tommy"/>
    <n v="6"/>
    <x v="2"/>
    <s v="Saquon Barkley"/>
    <x v="39"/>
    <n v="2024"/>
  </r>
  <r>
    <x v="9"/>
    <s v="Tommy"/>
    <n v="6"/>
    <x v="3"/>
    <s v="Cade Otton"/>
    <x v="157"/>
    <n v="2024"/>
  </r>
  <r>
    <x v="9"/>
    <s v="Tommy"/>
    <n v="6"/>
    <x v="5"/>
    <s v="Chase McLaughlin"/>
    <x v="24"/>
    <n v="2024"/>
  </r>
  <r>
    <x v="9"/>
    <s v="Tommy"/>
    <n v="6"/>
    <x v="4"/>
    <s v="San Francisco"/>
    <x v="25"/>
    <n v="2024"/>
  </r>
  <r>
    <x v="9"/>
    <s v="Tommy"/>
    <n v="6"/>
    <x v="6"/>
    <s v="DK Metcalf"/>
    <x v="149"/>
    <n v="2024"/>
  </r>
  <r>
    <x v="1"/>
    <s v="Todd"/>
    <n v="6"/>
    <x v="0"/>
    <s v="Dak Prescott"/>
    <x v="269"/>
    <n v="2024"/>
  </r>
  <r>
    <x v="1"/>
    <s v="Todd"/>
    <n v="6"/>
    <x v="1"/>
    <s v="Deebo Samuel"/>
    <x v="270"/>
    <n v="2024"/>
  </r>
  <r>
    <x v="1"/>
    <s v="Todd"/>
    <n v="6"/>
    <x v="1"/>
    <s v="AJ Brown"/>
    <x v="19"/>
    <n v="2024"/>
  </r>
  <r>
    <x v="1"/>
    <s v="Todd"/>
    <n v="6"/>
    <x v="1"/>
    <s v="Darnell Mooney"/>
    <x v="128"/>
    <n v="2024"/>
  </r>
  <r>
    <x v="1"/>
    <s v="Todd"/>
    <n v="6"/>
    <x v="2"/>
    <s v="James Conner"/>
    <x v="163"/>
    <n v="2024"/>
  </r>
  <r>
    <x v="1"/>
    <s v="Todd"/>
    <n v="6"/>
    <x v="2"/>
    <s v="Braelon Allen"/>
    <x v="271"/>
    <n v="2024"/>
  </r>
  <r>
    <x v="1"/>
    <s v="Todd"/>
    <n v="6"/>
    <x v="3"/>
    <s v="Tucker Kraft"/>
    <x v="52"/>
    <n v="2024"/>
  </r>
  <r>
    <x v="1"/>
    <s v="Todd"/>
    <n v="6"/>
    <x v="5"/>
    <s v="Chris Boswell"/>
    <x v="62"/>
    <n v="2024"/>
  </r>
  <r>
    <x v="1"/>
    <s v="Todd"/>
    <n v="6"/>
    <x v="4"/>
    <s v="Green Bay"/>
    <x v="24"/>
    <n v="2024"/>
  </r>
  <r>
    <x v="1"/>
    <s v="Todd"/>
    <n v="6"/>
    <x v="6"/>
    <s v="Brian Thomas Jr"/>
    <x v="91"/>
    <n v="2024"/>
  </r>
  <r>
    <x v="8"/>
    <s v="Schulwolf"/>
    <n v="6"/>
    <x v="0"/>
    <s v="Jayden Daniels"/>
    <x v="272"/>
    <n v="2024"/>
  </r>
  <r>
    <x v="8"/>
    <s v="Schulwolf"/>
    <n v="6"/>
    <x v="1"/>
    <s v="Terry McLaurin"/>
    <x v="265"/>
    <n v="2024"/>
  </r>
  <r>
    <x v="8"/>
    <s v="Schulwolf"/>
    <n v="6"/>
    <x v="1"/>
    <s v="Chris Godwin"/>
    <x v="273"/>
    <n v="2024"/>
  </r>
  <r>
    <x v="8"/>
    <s v="Schulwolf"/>
    <n v="6"/>
    <x v="1"/>
    <s v="DeVonta Smith"/>
    <x v="35"/>
    <n v="2024"/>
  </r>
  <r>
    <x v="8"/>
    <s v="Schulwolf"/>
    <n v="6"/>
    <x v="2"/>
    <s v="Jahmyr Gibbs"/>
    <x v="21"/>
    <n v="2024"/>
  </r>
  <r>
    <x v="8"/>
    <s v="Schulwolf"/>
    <n v="6"/>
    <x v="2"/>
    <s v="Ty Johnson"/>
    <x v="232"/>
    <n v="2024"/>
  </r>
  <r>
    <x v="8"/>
    <s v="Schulwolf"/>
    <n v="6"/>
    <x v="3"/>
    <s v="Dalton Kincaid"/>
    <x v="3"/>
    <n v="2024"/>
  </r>
  <r>
    <x v="8"/>
    <s v="Schulwolf"/>
    <n v="6"/>
    <x v="5"/>
    <s v="Brandon Aubrey"/>
    <x v="122"/>
    <n v="2024"/>
  </r>
  <r>
    <x v="8"/>
    <s v="Schulwolf"/>
    <n v="6"/>
    <x v="4"/>
    <s v="Denver"/>
    <x v="139"/>
    <n v="2024"/>
  </r>
  <r>
    <x v="8"/>
    <s v="Schulwolf"/>
    <n v="6"/>
    <x v="7"/>
    <s v="Zack Moss"/>
    <x v="146"/>
    <n v="2024"/>
  </r>
  <r>
    <x v="4"/>
    <s v="Eli"/>
    <n v="6"/>
    <x v="0"/>
    <s v="Jalen Hurts"/>
    <x v="274"/>
    <n v="2024"/>
  </r>
  <r>
    <x v="4"/>
    <s v="Eli"/>
    <n v="6"/>
    <x v="1"/>
    <s v="Jalen Tolbert"/>
    <x v="149"/>
    <n v="2024"/>
  </r>
  <r>
    <x v="4"/>
    <s v="Eli"/>
    <n v="6"/>
    <x v="1"/>
    <s v="DJ Moore"/>
    <x v="16"/>
    <n v="2024"/>
  </r>
  <r>
    <x v="4"/>
    <s v="Eli"/>
    <n v="6"/>
    <x v="1"/>
    <s v="Rome Odunze"/>
    <x v="103"/>
    <n v="2024"/>
  </r>
  <r>
    <x v="4"/>
    <s v="Eli"/>
    <n v="6"/>
    <x v="2"/>
    <s v="Bijan Robinson"/>
    <x v="275"/>
    <n v="2024"/>
  </r>
  <r>
    <x v="4"/>
    <s v="Eli"/>
    <n v="6"/>
    <x v="2"/>
    <s v="Jordan Mason"/>
    <x v="161"/>
    <n v="2024"/>
  </r>
  <r>
    <x v="4"/>
    <s v="Eli"/>
    <n v="6"/>
    <x v="3"/>
    <s v="Kyle Pitts"/>
    <x v="157"/>
    <n v="2024"/>
  </r>
  <r>
    <x v="4"/>
    <s v="Eli"/>
    <n v="6"/>
    <x v="5"/>
    <s v="Brayden Narveson"/>
    <x v="8"/>
    <n v="2024"/>
  </r>
  <r>
    <x v="4"/>
    <s v="Eli"/>
    <n v="6"/>
    <x v="4"/>
    <s v="NYJ"/>
    <x v="78"/>
    <n v="2024"/>
  </r>
  <r>
    <x v="4"/>
    <s v="Eli"/>
    <n v="6"/>
    <x v="7"/>
    <s v="Tyjae Spears"/>
    <x v="276"/>
    <n v="2024"/>
  </r>
  <r>
    <x v="7"/>
    <s v="Jay"/>
    <n v="6"/>
    <x v="0"/>
    <s v="Lamar Jackson"/>
    <x v="277"/>
    <n v="2024"/>
  </r>
  <r>
    <x v="7"/>
    <s v="Jay"/>
    <n v="6"/>
    <x v="1"/>
    <s v="Stefon Diggs"/>
    <x v="186"/>
    <n v="2024"/>
  </r>
  <r>
    <x v="7"/>
    <s v="Jay"/>
    <n v="6"/>
    <x v="1"/>
    <s v="Amari Cooper"/>
    <x v="45"/>
    <n v="2024"/>
  </r>
  <r>
    <x v="7"/>
    <s v="Jay"/>
    <n v="6"/>
    <x v="1"/>
    <s v="Jauan Jennings"/>
    <x v="91"/>
    <n v="2024"/>
  </r>
  <r>
    <x v="7"/>
    <s v="Jay"/>
    <n v="6"/>
    <x v="2"/>
    <s v="Tony Pollard"/>
    <x v="190"/>
    <n v="2024"/>
  </r>
  <r>
    <x v="7"/>
    <s v="Jay"/>
    <n v="6"/>
    <x v="2"/>
    <s v="Alvin Kamara"/>
    <x v="134"/>
    <n v="2024"/>
  </r>
  <r>
    <x v="7"/>
    <s v="Jay"/>
    <n v="6"/>
    <x v="3"/>
    <s v="Evan Engram"/>
    <x v="145"/>
    <n v="2024"/>
  </r>
  <r>
    <x v="7"/>
    <s v="Jay"/>
    <n v="6"/>
    <x v="5"/>
    <s v="Ka'imi Fairbairn"/>
    <x v="138"/>
    <n v="2024"/>
  </r>
  <r>
    <x v="7"/>
    <s v="Jay"/>
    <n v="6"/>
    <x v="4"/>
    <s v="LA Chargers"/>
    <x v="25"/>
    <n v="2024"/>
  </r>
  <r>
    <x v="7"/>
    <s v="Jay"/>
    <n v="6"/>
    <x v="7"/>
    <s v="Trey Sermon"/>
    <x v="278"/>
    <n v="2024"/>
  </r>
  <r>
    <x v="6"/>
    <s v="Will"/>
    <n v="6"/>
    <x v="0"/>
    <s v="Geno Smith"/>
    <x v="279"/>
    <n v="2024"/>
  </r>
  <r>
    <x v="6"/>
    <s v="Will"/>
    <n v="6"/>
    <x v="1"/>
    <s v="Drake London"/>
    <x v="64"/>
    <n v="2024"/>
  </r>
  <r>
    <x v="6"/>
    <s v="Will"/>
    <n v="6"/>
    <x v="1"/>
    <s v="Amon-Ra St. Brown"/>
    <x v="20"/>
    <n v="2024"/>
  </r>
  <r>
    <x v="6"/>
    <s v="Will"/>
    <n v="6"/>
    <x v="1"/>
    <s v="Jaxon Smith-Njigba"/>
    <x v="280"/>
    <n v="2024"/>
  </r>
  <r>
    <x v="6"/>
    <s v="Will"/>
    <n v="6"/>
    <x v="2"/>
    <s v="Austin Ekeler"/>
    <x v="48"/>
    <n v="2024"/>
  </r>
  <r>
    <x v="6"/>
    <s v="Will"/>
    <n v="6"/>
    <x v="2"/>
    <s v="Travis Etienne"/>
    <x v="281"/>
    <n v="2024"/>
  </r>
  <r>
    <x v="6"/>
    <s v="Will"/>
    <n v="6"/>
    <x v="3"/>
    <s v="Isaiah Likely"/>
    <x v="206"/>
    <n v="2024"/>
  </r>
  <r>
    <x v="6"/>
    <s v="Will"/>
    <n v="6"/>
    <x v="5"/>
    <s v="Jason Myers"/>
    <x v="25"/>
    <n v="2024"/>
  </r>
  <r>
    <x v="6"/>
    <s v="Will"/>
    <n v="6"/>
    <x v="4"/>
    <s v="Houston"/>
    <x v="49"/>
    <n v="2024"/>
  </r>
  <r>
    <x v="6"/>
    <s v="Will"/>
    <n v="6"/>
    <x v="6"/>
    <s v="Ladd McConkey"/>
    <x v="149"/>
    <n v="2024"/>
  </r>
  <r>
    <x v="10"/>
    <s v="Brand"/>
    <n v="6"/>
    <x v="0"/>
    <s v="Kirk Cousins"/>
    <x v="224"/>
    <n v="2024"/>
  </r>
  <r>
    <x v="10"/>
    <s v="Brand"/>
    <n v="6"/>
    <x v="1"/>
    <s v="Garrett Wilson"/>
    <x v="238"/>
    <n v="2024"/>
  </r>
  <r>
    <x v="10"/>
    <s v="Brand"/>
    <n v="6"/>
    <x v="1"/>
    <s v="Jameson Williams"/>
    <x v="11"/>
    <n v="2024"/>
  </r>
  <r>
    <x v="10"/>
    <s v="Brand"/>
    <n v="6"/>
    <x v="1"/>
    <s v="Michael Pittman"/>
    <x v="138"/>
    <n v="2024"/>
  </r>
  <r>
    <x v="10"/>
    <s v="Brand"/>
    <n v="6"/>
    <x v="2"/>
    <s v="Breece Hall"/>
    <x v="212"/>
    <n v="2024"/>
  </r>
  <r>
    <x v="10"/>
    <s v="Brand"/>
    <n v="6"/>
    <x v="2"/>
    <s v="Bucky Irving"/>
    <x v="217"/>
    <n v="2024"/>
  </r>
  <r>
    <x v="10"/>
    <s v="Brand"/>
    <n v="6"/>
    <x v="3"/>
    <s v="Dallas Goedert"/>
    <x v="146"/>
    <n v="2024"/>
  </r>
  <r>
    <x v="10"/>
    <s v="Brand"/>
    <n v="6"/>
    <x v="5"/>
    <s v="Cairo Santos"/>
    <x v="16"/>
    <n v="2024"/>
  </r>
  <r>
    <x v="10"/>
    <s v="Brand"/>
    <n v="6"/>
    <x v="4"/>
    <s v="Indianapolis"/>
    <x v="16"/>
    <n v="2024"/>
  </r>
  <r>
    <x v="10"/>
    <s v="Brand"/>
    <n v="6"/>
    <x v="7"/>
    <s v="Kenneth Walker"/>
    <x v="114"/>
    <n v="2024"/>
  </r>
  <r>
    <x v="3"/>
    <s v="Kevin"/>
    <n v="6"/>
    <x v="0"/>
    <s v="CJ Stroud"/>
    <x v="282"/>
    <n v="2024"/>
  </r>
  <r>
    <x v="3"/>
    <s v="Kevin"/>
    <n v="6"/>
    <x v="1"/>
    <s v="DeAndre Hopkins"/>
    <x v="223"/>
    <n v="2024"/>
  </r>
  <r>
    <x v="3"/>
    <s v="Kevin"/>
    <n v="6"/>
    <x v="1"/>
    <s v="George Pickens"/>
    <x v="283"/>
    <n v="2024"/>
  </r>
  <r>
    <x v="3"/>
    <s v="Kevin"/>
    <n v="6"/>
    <x v="1"/>
    <s v="Marvin Harrison Jr"/>
    <x v="146"/>
    <n v="2024"/>
  </r>
  <r>
    <x v="3"/>
    <s v="Kevin"/>
    <n v="6"/>
    <x v="2"/>
    <s v="Najee Harris"/>
    <x v="270"/>
    <n v="2024"/>
  </r>
  <r>
    <x v="3"/>
    <s v="Kevin"/>
    <n v="6"/>
    <x v="2"/>
    <s v="Chuba Hubbard"/>
    <x v="233"/>
    <n v="2024"/>
  </r>
  <r>
    <x v="3"/>
    <s v="Kevin"/>
    <n v="6"/>
    <x v="3"/>
    <s v="Hunter Henry"/>
    <x v="187"/>
    <n v="2024"/>
  </r>
  <r>
    <x v="3"/>
    <s v="Kevin"/>
    <n v="6"/>
    <x v="5"/>
    <s v="Justin Tucker"/>
    <x v="49"/>
    <n v="2024"/>
  </r>
  <r>
    <x v="3"/>
    <s v="Kevin"/>
    <n v="6"/>
    <x v="4"/>
    <s v="Tampa Bay"/>
    <x v="101"/>
    <n v="2024"/>
  </r>
  <r>
    <x v="3"/>
    <s v="Kevin"/>
    <n v="6"/>
    <x v="6"/>
    <s v="Chris Olave"/>
    <x v="284"/>
    <n v="2024"/>
  </r>
  <r>
    <x v="5"/>
    <s v="Burnett/Jasjaap"/>
    <n v="6"/>
    <x v="0"/>
    <s v="Brock Purdy"/>
    <x v="165"/>
    <n v="2024"/>
  </r>
  <r>
    <x v="5"/>
    <s v="Burnett/Jasjaap"/>
    <n v="6"/>
    <x v="1"/>
    <s v="CeeDee Lamb"/>
    <x v="229"/>
    <n v="2024"/>
  </r>
  <r>
    <x v="5"/>
    <s v="Burnett/Jasjaap"/>
    <n v="6"/>
    <x v="1"/>
    <s v="Rashid Shaheed"/>
    <x v="280"/>
    <n v="2024"/>
  </r>
  <r>
    <x v="5"/>
    <s v="Burnett/Jasjaap"/>
    <n v="6"/>
    <x v="1"/>
    <s v="Alec Pierce"/>
    <x v="146"/>
    <n v="2024"/>
  </r>
  <r>
    <x v="5"/>
    <s v="Burnett/Jasjaap"/>
    <n v="6"/>
    <x v="2"/>
    <s v="Josh Jacobs"/>
    <x v="27"/>
    <n v="2024"/>
  </r>
  <r>
    <x v="5"/>
    <s v="Burnett/Jasjaap"/>
    <n v="6"/>
    <x v="2"/>
    <s v="David Montgomery"/>
    <x v="285"/>
    <n v="2024"/>
  </r>
  <r>
    <x v="5"/>
    <s v="Burnett/Jasjaap"/>
    <n v="6"/>
    <x v="3"/>
    <s v="Brock Bowers"/>
    <x v="187"/>
    <n v="2024"/>
  </r>
  <r>
    <x v="5"/>
    <s v="Burnett/Jasjaap"/>
    <n v="6"/>
    <x v="5"/>
    <s v="Austin Seibert"/>
    <x v="63"/>
    <n v="2024"/>
  </r>
  <r>
    <x v="5"/>
    <s v="Burnett/Jasjaap"/>
    <n v="6"/>
    <x v="4"/>
    <s v="Pittsburgh"/>
    <x v="100"/>
    <n v="2024"/>
  </r>
  <r>
    <x v="5"/>
    <s v="Burnett/Jasjaap"/>
    <n v="6"/>
    <x v="7"/>
    <s v="Rico Dowdle"/>
    <x v="32"/>
    <n v="2024"/>
  </r>
  <r>
    <x v="0"/>
    <s v="Brenton"/>
    <n v="7"/>
    <x v="0"/>
    <s v="Baker Mayfield"/>
    <x v="131"/>
    <n v="2024"/>
  </r>
  <r>
    <x v="0"/>
    <s v="Brenton"/>
    <n v="7"/>
    <x v="1"/>
    <s v="Zay Flowers"/>
    <x v="58"/>
    <n v="2024"/>
  </r>
  <r>
    <x v="0"/>
    <s v="Brenton"/>
    <n v="7"/>
    <x v="1"/>
    <s v="DeMario Douglas"/>
    <x v="61"/>
    <n v="2024"/>
  </r>
  <r>
    <x v="0"/>
    <s v="Brenton"/>
    <n v="7"/>
    <x v="1"/>
    <s v="Jayden Reed"/>
    <x v="139"/>
    <n v="2024"/>
  </r>
  <r>
    <x v="0"/>
    <s v="Brenton"/>
    <n v="7"/>
    <x v="2"/>
    <s v="Tank Bigsby"/>
    <x v="286"/>
    <n v="2024"/>
  </r>
  <r>
    <x v="0"/>
    <s v="Brenton"/>
    <n v="7"/>
    <x v="2"/>
    <s v="Tyrone Tracy"/>
    <x v="15"/>
    <n v="2024"/>
  </r>
  <r>
    <x v="0"/>
    <s v="Brenton"/>
    <n v="7"/>
    <x v="3"/>
    <s v="Trey McBride"/>
    <x v="287"/>
    <n v="2024"/>
  </r>
  <r>
    <x v="0"/>
    <s v="Brenton"/>
    <n v="7"/>
    <x v="5"/>
    <s v="Jake Elliott"/>
    <x v="16"/>
    <n v="2024"/>
  </r>
  <r>
    <x v="0"/>
    <s v="Brenton"/>
    <n v="7"/>
    <x v="4"/>
    <s v="Cincinnati"/>
    <x v="100"/>
    <n v="2024"/>
  </r>
  <r>
    <x v="0"/>
    <s v="Brenton"/>
    <n v="7"/>
    <x v="6"/>
    <s v="Tyreek Hill"/>
    <x v="213"/>
    <n v="2024"/>
  </r>
  <r>
    <x v="9"/>
    <s v="Tommy"/>
    <n v="7"/>
    <x v="0"/>
    <s v="Josh Allen"/>
    <x v="288"/>
    <n v="2024"/>
  </r>
  <r>
    <x v="9"/>
    <s v="Tommy"/>
    <n v="7"/>
    <x v="1"/>
    <s v="DK Metcalf"/>
    <x v="81"/>
    <n v="2024"/>
  </r>
  <r>
    <x v="9"/>
    <s v="Tommy"/>
    <n v="7"/>
    <x v="1"/>
    <s v="Allen Lazard"/>
    <x v="280"/>
    <n v="2024"/>
  </r>
  <r>
    <x v="9"/>
    <s v="Tommy"/>
    <n v="7"/>
    <x v="1"/>
    <s v="Malik Nabers"/>
    <x v="289"/>
    <n v="2024"/>
  </r>
  <r>
    <x v="9"/>
    <s v="Tommy"/>
    <n v="7"/>
    <x v="2"/>
    <s v="Saquon Barkley"/>
    <x v="290"/>
    <n v="2024"/>
  </r>
  <r>
    <x v="9"/>
    <s v="Tommy"/>
    <n v="7"/>
    <x v="2"/>
    <s v="Kyren Williams"/>
    <x v="150"/>
    <n v="2024"/>
  </r>
  <r>
    <x v="9"/>
    <s v="Tommy"/>
    <n v="7"/>
    <x v="3"/>
    <s v="Mark Andrews"/>
    <x v="291"/>
    <n v="2024"/>
  </r>
  <r>
    <x v="9"/>
    <s v="Tommy"/>
    <n v="7"/>
    <x v="5"/>
    <s v="Harrison Butker"/>
    <x v="16"/>
    <n v="2024"/>
  </r>
  <r>
    <x v="9"/>
    <s v="Tommy"/>
    <n v="7"/>
    <x v="4"/>
    <s v="Minnesota"/>
    <x v="8"/>
    <n v="2024"/>
  </r>
  <r>
    <x v="9"/>
    <s v="Tommy"/>
    <n v="7"/>
    <x v="6"/>
    <s v="Xavier Worthy"/>
    <x v="132"/>
    <n v="2024"/>
  </r>
  <r>
    <x v="2"/>
    <s v="Mike"/>
    <n v="7"/>
    <x v="0"/>
    <s v="Patrick Mahomes"/>
    <x v="292"/>
    <n v="2024"/>
  </r>
  <r>
    <x v="2"/>
    <s v="Mike"/>
    <n v="7"/>
    <x v="1"/>
    <s v="Mike Evans"/>
    <x v="24"/>
    <n v="2024"/>
  </r>
  <r>
    <x v="2"/>
    <s v="Mike"/>
    <n v="7"/>
    <x v="1"/>
    <s v="Khalil Shakir"/>
    <x v="8"/>
    <n v="2024"/>
  </r>
  <r>
    <x v="2"/>
    <s v="Mike"/>
    <n v="7"/>
    <x v="1"/>
    <s v="Davante Adams"/>
    <x v="254"/>
    <n v="2024"/>
  </r>
  <r>
    <x v="2"/>
    <s v="Mike"/>
    <n v="7"/>
    <x v="2"/>
    <s v="Derrick Henry"/>
    <x v="293"/>
    <n v="2024"/>
  </r>
  <r>
    <x v="2"/>
    <s v="Mike"/>
    <n v="7"/>
    <x v="2"/>
    <s v="Kareem Hunt"/>
    <x v="111"/>
    <n v="2024"/>
  </r>
  <r>
    <x v="2"/>
    <s v="Mike"/>
    <n v="7"/>
    <x v="3"/>
    <s v="Sam LaPorta"/>
    <x v="7"/>
    <n v="2024"/>
  </r>
  <r>
    <x v="2"/>
    <s v="Mike"/>
    <n v="7"/>
    <x v="5"/>
    <s v="Younghoe Koo"/>
    <x v="139"/>
    <n v="2024"/>
  </r>
  <r>
    <x v="2"/>
    <s v="Mike"/>
    <n v="7"/>
    <x v="4"/>
    <s v="Buffalo"/>
    <x v="122"/>
    <n v="2024"/>
  </r>
  <r>
    <x v="2"/>
    <s v="Mike"/>
    <n v="7"/>
    <x v="6"/>
    <s v="Tank Dell"/>
    <x v="146"/>
    <n v="2024"/>
  </r>
  <r>
    <x v="8"/>
    <s v="Schulwolf"/>
    <n v="7"/>
    <x v="0"/>
    <s v="Jayden Daniels"/>
    <x v="231"/>
    <n v="2024"/>
  </r>
  <r>
    <x v="8"/>
    <s v="Schulwolf"/>
    <n v="7"/>
    <x v="1"/>
    <s v="Terry McLaurin"/>
    <x v="233"/>
    <n v="2024"/>
  </r>
  <r>
    <x v="8"/>
    <s v="Schulwolf"/>
    <n v="7"/>
    <x v="1"/>
    <s v="Chris Godwin"/>
    <x v="8"/>
    <n v="2024"/>
  </r>
  <r>
    <x v="8"/>
    <s v="Schulwolf"/>
    <n v="7"/>
    <x v="1"/>
    <s v="Tyler Lockett"/>
    <x v="23"/>
    <n v="2024"/>
  </r>
  <r>
    <x v="8"/>
    <s v="Schulwolf"/>
    <n v="7"/>
    <x v="2"/>
    <s v="Jahmyr Gibbs"/>
    <x v="273"/>
    <n v="2024"/>
  </r>
  <r>
    <x v="8"/>
    <s v="Schulwolf"/>
    <n v="7"/>
    <x v="2"/>
    <s v="James Cook"/>
    <x v="84"/>
    <n v="2024"/>
  </r>
  <r>
    <x v="8"/>
    <s v="Schulwolf"/>
    <n v="7"/>
    <x v="3"/>
    <s v="Dalton Kincaid"/>
    <x v="184"/>
    <n v="2024"/>
  </r>
  <r>
    <x v="8"/>
    <s v="Schulwolf"/>
    <n v="7"/>
    <x v="5"/>
    <s v="Brandon McManus"/>
    <x v="76"/>
    <n v="2024"/>
  </r>
  <r>
    <x v="8"/>
    <s v="Schulwolf"/>
    <n v="7"/>
    <x v="4"/>
    <s v="Denver"/>
    <x v="71"/>
    <n v="2024"/>
  </r>
  <r>
    <x v="8"/>
    <s v="Schulwolf"/>
    <n v="7"/>
    <x v="6"/>
    <s v="DeVonta Smith"/>
    <x v="294"/>
    <n v="2024"/>
  </r>
  <r>
    <x v="1"/>
    <s v="Todd"/>
    <n v="7"/>
    <x v="0"/>
    <s v="Sam Darnold"/>
    <x v="295"/>
    <n v="2024"/>
  </r>
  <r>
    <x v="1"/>
    <s v="Todd"/>
    <n v="7"/>
    <x v="1"/>
    <s v="AJ Brown"/>
    <x v="117"/>
    <n v="2024"/>
  </r>
  <r>
    <x v="1"/>
    <s v="Todd"/>
    <n v="7"/>
    <x v="1"/>
    <s v="Brian Thomas Jr"/>
    <x v="150"/>
    <n v="2024"/>
  </r>
  <r>
    <x v="1"/>
    <s v="Todd"/>
    <n v="7"/>
    <x v="1"/>
    <s v="Diontae Johnson"/>
    <x v="37"/>
    <n v="2024"/>
  </r>
  <r>
    <x v="1"/>
    <s v="Todd"/>
    <n v="7"/>
    <x v="2"/>
    <s v="James Conner"/>
    <x v="11"/>
    <n v="2024"/>
  </r>
  <r>
    <x v="1"/>
    <s v="Todd"/>
    <n v="7"/>
    <x v="2"/>
    <s v="De'Von Achane"/>
    <x v="239"/>
    <n v="2024"/>
  </r>
  <r>
    <x v="1"/>
    <s v="Todd"/>
    <n v="7"/>
    <x v="3"/>
    <s v="Tucker Kraft"/>
    <x v="60"/>
    <n v="2024"/>
  </r>
  <r>
    <x v="1"/>
    <s v="Todd"/>
    <n v="7"/>
    <x v="5"/>
    <s v="Chris Boswell"/>
    <x v="100"/>
    <n v="2024"/>
  </r>
  <r>
    <x v="1"/>
    <s v="Todd"/>
    <n v="7"/>
    <x v="4"/>
    <s v="LA Chargers"/>
    <x v="139"/>
    <n v="2024"/>
  </r>
  <r>
    <x v="1"/>
    <s v="Todd"/>
    <n v="7"/>
    <x v="6"/>
    <s v="Deebo Samuel"/>
    <x v="146"/>
    <n v="2024"/>
  </r>
  <r>
    <x v="10"/>
    <s v="Brand"/>
    <n v="7"/>
    <x v="0"/>
    <s v="Anthony Richardson"/>
    <x v="296"/>
    <n v="2024"/>
  </r>
  <r>
    <x v="10"/>
    <s v="Brand"/>
    <n v="7"/>
    <x v="1"/>
    <s v="Garrett Wilson"/>
    <x v="21"/>
    <n v="2024"/>
  </r>
  <r>
    <x v="10"/>
    <s v="Brand"/>
    <n v="7"/>
    <x v="1"/>
    <s v="Michael Pittman"/>
    <x v="280"/>
    <n v="2024"/>
  </r>
  <r>
    <x v="10"/>
    <s v="Brand"/>
    <n v="7"/>
    <x v="1"/>
    <s v="Jameson Williams"/>
    <x v="297"/>
    <n v="2024"/>
  </r>
  <r>
    <x v="10"/>
    <s v="Brand"/>
    <n v="7"/>
    <x v="2"/>
    <s v="Breece Hall"/>
    <x v="169"/>
    <n v="2024"/>
  </r>
  <r>
    <x v="10"/>
    <s v="Brand"/>
    <n v="7"/>
    <x v="2"/>
    <s v="Kenneth Walker"/>
    <x v="298"/>
    <n v="2024"/>
  </r>
  <r>
    <x v="10"/>
    <s v="Brand"/>
    <n v="7"/>
    <x v="3"/>
    <s v="Colby Parkinson"/>
    <x v="91"/>
    <n v="2024"/>
  </r>
  <r>
    <x v="10"/>
    <s v="Brand"/>
    <n v="7"/>
    <x v="5"/>
    <s v="Cameron Dicker"/>
    <x v="71"/>
    <n v="2024"/>
  </r>
  <r>
    <x v="10"/>
    <s v="Brand"/>
    <n v="7"/>
    <x v="4"/>
    <s v="Indianapolis"/>
    <x v="24"/>
    <n v="2024"/>
  </r>
  <r>
    <x v="10"/>
    <s v="Brand"/>
    <n v="7"/>
    <x v="7"/>
    <s v="Bucky Irving"/>
    <x v="228"/>
    <n v="2024"/>
  </r>
  <r>
    <x v="4"/>
    <s v="Eli"/>
    <n v="7"/>
    <x v="0"/>
    <s v="Jalen Hurts"/>
    <x v="299"/>
    <n v="2024"/>
  </r>
  <r>
    <x v="4"/>
    <s v="Eli"/>
    <n v="7"/>
    <x v="1"/>
    <s v="Justin Jefferson"/>
    <x v="81"/>
    <n v="2024"/>
  </r>
  <r>
    <x v="4"/>
    <s v="Eli"/>
    <n v="7"/>
    <x v="1"/>
    <s v="Tre Tucker"/>
    <x v="45"/>
    <n v="2024"/>
  </r>
  <r>
    <x v="4"/>
    <s v="Eli"/>
    <n v="7"/>
    <x v="1"/>
    <s v="Xavier Legette"/>
    <x v="160"/>
    <n v="2024"/>
  </r>
  <r>
    <x v="4"/>
    <s v="Eli"/>
    <n v="7"/>
    <x v="2"/>
    <s v="Bijan Robinson"/>
    <x v="300"/>
    <n v="2024"/>
  </r>
  <r>
    <x v="4"/>
    <s v="Eli"/>
    <n v="7"/>
    <x v="2"/>
    <s v="Jordan Mason"/>
    <x v="133"/>
    <n v="2024"/>
  </r>
  <r>
    <x v="4"/>
    <s v="Eli"/>
    <n v="7"/>
    <x v="3"/>
    <s v="David Njoku"/>
    <x v="89"/>
    <n v="2024"/>
  </r>
  <r>
    <x v="4"/>
    <s v="Eli"/>
    <n v="7"/>
    <x v="5"/>
    <s v="Tyler Bass"/>
    <x v="8"/>
    <n v="2024"/>
  </r>
  <r>
    <x v="4"/>
    <s v="Eli"/>
    <n v="7"/>
    <x v="4"/>
    <s v="NYJ"/>
    <x v="301"/>
    <n v="2024"/>
  </r>
  <r>
    <x v="4"/>
    <s v="Eli"/>
    <n v="7"/>
    <x v="8"/>
    <s v="Kyle Pitts"/>
    <x v="8"/>
    <n v="2024"/>
  </r>
  <r>
    <x v="3"/>
    <s v="Kevin"/>
    <n v="7"/>
    <x v="0"/>
    <s v="CJ Stroud"/>
    <x v="302"/>
    <n v="2024"/>
  </r>
  <r>
    <x v="3"/>
    <s v="Kevin"/>
    <n v="7"/>
    <x v="1"/>
    <s v="George Pickens"/>
    <x v="150"/>
    <n v="2024"/>
  </r>
  <r>
    <x v="3"/>
    <s v="Kevin"/>
    <n v="7"/>
    <x v="1"/>
    <s v="Jordan Addison"/>
    <x v="3"/>
    <n v="2024"/>
  </r>
  <r>
    <x v="3"/>
    <s v="Kevin"/>
    <n v="7"/>
    <x v="1"/>
    <s v="Marvin Harrison Jr"/>
    <x v="54"/>
    <n v="2024"/>
  </r>
  <r>
    <x v="3"/>
    <s v="Kevin"/>
    <n v="7"/>
    <x v="2"/>
    <s v="Joe Mixon"/>
    <x v="303"/>
    <n v="2024"/>
  </r>
  <r>
    <x v="3"/>
    <s v="Kevin"/>
    <n v="7"/>
    <x v="2"/>
    <s v="Najee Harris"/>
    <x v="11"/>
    <n v="2024"/>
  </r>
  <r>
    <x v="3"/>
    <s v="Kevin"/>
    <n v="7"/>
    <x v="3"/>
    <s v="Hunter Henry"/>
    <x v="145"/>
    <n v="2024"/>
  </r>
  <r>
    <x v="3"/>
    <s v="Kevin"/>
    <n v="7"/>
    <x v="5"/>
    <s v="Justin Tucker"/>
    <x v="49"/>
    <n v="2024"/>
  </r>
  <r>
    <x v="3"/>
    <s v="Kevin"/>
    <n v="7"/>
    <x v="4"/>
    <s v="LA Rams"/>
    <x v="101"/>
    <n v="2024"/>
  </r>
  <r>
    <x v="3"/>
    <s v="Kevin"/>
    <n v="7"/>
    <x v="7"/>
    <s v="Chuba Hubbard"/>
    <x v="174"/>
    <n v="2024"/>
  </r>
  <r>
    <x v="6"/>
    <s v="Will"/>
    <n v="7"/>
    <x v="0"/>
    <s v="Geno Smith"/>
    <x v="227"/>
    <n v="2024"/>
  </r>
  <r>
    <x v="6"/>
    <s v="Will"/>
    <n v="7"/>
    <x v="1"/>
    <s v="Drake London"/>
    <x v="259"/>
    <n v="2024"/>
  </r>
  <r>
    <x v="6"/>
    <s v="Will"/>
    <n v="7"/>
    <x v="1"/>
    <s v="Amon-Ra St. Brown"/>
    <x v="124"/>
    <n v="2024"/>
  </r>
  <r>
    <x v="6"/>
    <s v="Will"/>
    <n v="7"/>
    <x v="1"/>
    <s v="Ladd McConkey"/>
    <x v="108"/>
    <n v="2024"/>
  </r>
  <r>
    <x v="6"/>
    <s v="Will"/>
    <n v="7"/>
    <x v="2"/>
    <s v="Austin Ekeler"/>
    <x v="7"/>
    <n v="2024"/>
  </r>
  <r>
    <x v="6"/>
    <s v="Will"/>
    <n v="7"/>
    <x v="2"/>
    <s v="Zach Charbonet"/>
    <x v="171"/>
    <n v="2024"/>
  </r>
  <r>
    <x v="6"/>
    <s v="Will"/>
    <n v="7"/>
    <x v="3"/>
    <s v="Travis Kelce"/>
    <x v="206"/>
    <n v="2024"/>
  </r>
  <r>
    <x v="6"/>
    <s v="Will"/>
    <n v="7"/>
    <x v="5"/>
    <s v="Jason Myers"/>
    <x v="122"/>
    <n v="2024"/>
  </r>
  <r>
    <x v="6"/>
    <s v="Will"/>
    <n v="7"/>
    <x v="4"/>
    <s v="Houston"/>
    <x v="8"/>
    <n v="2024"/>
  </r>
  <r>
    <x v="6"/>
    <s v="Will"/>
    <n v="7"/>
    <x v="6"/>
    <s v="Jaxon Smith-Njigba"/>
    <x v="154"/>
    <n v="2024"/>
  </r>
  <r>
    <x v="5"/>
    <s v="Burnett/Jasjaap"/>
    <n v="7"/>
    <x v="0"/>
    <s v="Brock Purdy"/>
    <x v="304"/>
    <n v="2024"/>
  </r>
  <r>
    <x v="5"/>
    <s v="Burnett/Jasjaap"/>
    <n v="7"/>
    <x v="1"/>
    <s v="Bub Means"/>
    <x v="22"/>
    <n v="2024"/>
  </r>
  <r>
    <x v="5"/>
    <s v="Burnett/Jasjaap"/>
    <n v="7"/>
    <x v="1"/>
    <s v="Alec Pierce"/>
    <x v="52"/>
    <n v="2024"/>
  </r>
  <r>
    <x v="5"/>
    <s v="Burnett/Jasjaap"/>
    <n v="7"/>
    <x v="1"/>
    <s v="Jaylen Waddle"/>
    <x v="70"/>
    <n v="2024"/>
  </r>
  <r>
    <x v="5"/>
    <s v="Burnett/Jasjaap"/>
    <n v="7"/>
    <x v="2"/>
    <s v="Josh Jacobs"/>
    <x v="119"/>
    <n v="2024"/>
  </r>
  <r>
    <x v="5"/>
    <s v="Burnett/Jasjaap"/>
    <n v="7"/>
    <x v="2"/>
    <s v="David Montgomery"/>
    <x v="23"/>
    <n v="2024"/>
  </r>
  <r>
    <x v="5"/>
    <s v="Burnett/Jasjaap"/>
    <n v="7"/>
    <x v="3"/>
    <s v="Brock Bowers"/>
    <x v="130"/>
    <n v="2024"/>
  </r>
  <r>
    <x v="5"/>
    <s v="Burnett/Jasjaap"/>
    <n v="7"/>
    <x v="5"/>
    <s v="Austin Seibert"/>
    <x v="62"/>
    <n v="2024"/>
  </r>
  <r>
    <x v="5"/>
    <s v="Burnett/Jasjaap"/>
    <n v="7"/>
    <x v="4"/>
    <s v="Philadelphia"/>
    <x v="72"/>
    <n v="2024"/>
  </r>
  <r>
    <x v="5"/>
    <s v="Burnett/Jasjaap"/>
    <n v="7"/>
    <x v="6"/>
    <s v="Jordan Whittington"/>
    <x v="146"/>
    <n v="2024"/>
  </r>
  <r>
    <x v="7"/>
    <s v="Jay"/>
    <n v="7"/>
    <x v="0"/>
    <s v="Lamar Jackson"/>
    <x v="305"/>
    <n v="2024"/>
  </r>
  <r>
    <x v="7"/>
    <s v="Jay"/>
    <n v="7"/>
    <x v="1"/>
    <s v="Tee Higgins"/>
    <x v="11"/>
    <n v="2024"/>
  </r>
  <r>
    <x v="7"/>
    <s v="Jay"/>
    <n v="7"/>
    <x v="1"/>
    <s v="Amari Cooper"/>
    <x v="306"/>
    <n v="2024"/>
  </r>
  <r>
    <x v="7"/>
    <s v="Jay"/>
    <n v="7"/>
    <x v="1"/>
    <s v="Stefon Diggs"/>
    <x v="245"/>
    <n v="2024"/>
  </r>
  <r>
    <x v="7"/>
    <s v="Jay"/>
    <n v="7"/>
    <x v="2"/>
    <s v="Tony Pollard"/>
    <x v="36"/>
    <n v="2024"/>
  </r>
  <r>
    <x v="7"/>
    <s v="Jay"/>
    <n v="7"/>
    <x v="2"/>
    <s v="Alvin Kamara"/>
    <x v="167"/>
    <n v="2024"/>
  </r>
  <r>
    <x v="7"/>
    <s v="Jay"/>
    <n v="7"/>
    <x v="3"/>
    <s v="Evan Engram"/>
    <x v="25"/>
    <n v="2024"/>
  </r>
  <r>
    <x v="7"/>
    <s v="Jay"/>
    <n v="7"/>
    <x v="5"/>
    <s v="Ka'imi Fairbairn"/>
    <x v="122"/>
    <n v="2024"/>
  </r>
  <r>
    <x v="7"/>
    <s v="Jay"/>
    <n v="7"/>
    <x v="4"/>
    <s v="Jacksonville"/>
    <x v="8"/>
    <n v="2024"/>
  </r>
  <r>
    <x v="7"/>
    <s v="Jay"/>
    <n v="7"/>
    <x v="7"/>
    <s v="Trey Sermon"/>
    <x v="167"/>
    <n v="2024"/>
  </r>
  <r>
    <x v="11"/>
    <s v="Cam"/>
    <n v="7"/>
    <x v="0"/>
    <s v="Joe Burrow"/>
    <x v="307"/>
    <n v="2024"/>
  </r>
  <r>
    <x v="11"/>
    <s v="Cam"/>
    <n v="7"/>
    <x v="1"/>
    <s v="Ja'Marr Chase"/>
    <x v="308"/>
    <n v="2024"/>
  </r>
  <r>
    <x v="11"/>
    <s v="Cam"/>
    <n v="7"/>
    <x v="1"/>
    <s v="Wan'Dale Robinson"/>
    <x v="128"/>
    <n v="2024"/>
  </r>
  <r>
    <x v="11"/>
    <s v="Cam"/>
    <n v="7"/>
    <x v="1"/>
    <s v="Brandon Aiyuk"/>
    <x v="309"/>
    <n v="2024"/>
  </r>
  <r>
    <x v="11"/>
    <s v="Cam"/>
    <n v="7"/>
    <x v="2"/>
    <s v="Aaron Jones"/>
    <x v="310"/>
    <n v="2024"/>
  </r>
  <r>
    <x v="11"/>
    <s v="Cam"/>
    <n v="7"/>
    <x v="2"/>
    <s v="JK Dobbins"/>
    <x v="3"/>
    <n v="2024"/>
  </r>
  <r>
    <x v="11"/>
    <s v="Cam"/>
    <n v="7"/>
    <x v="3"/>
    <s v="George Kittle"/>
    <x v="175"/>
    <n v="2024"/>
  </r>
  <r>
    <x v="11"/>
    <s v="Cam"/>
    <n v="7"/>
    <x v="5"/>
    <s v="Evan McPherson"/>
    <x v="7"/>
    <n v="2024"/>
  </r>
  <r>
    <x v="11"/>
    <s v="Cam"/>
    <n v="7"/>
    <x v="4"/>
    <s v="New Orleans"/>
    <x v="78"/>
    <n v="2024"/>
  </r>
  <r>
    <x v="11"/>
    <s v="Cam"/>
    <n v="7"/>
    <x v="7"/>
    <s v="Rhamondre Stevenson"/>
    <x v="58"/>
    <n v="2024"/>
  </r>
  <r>
    <x v="0"/>
    <s v="Brenton"/>
    <n v="8"/>
    <x v="0"/>
    <s v="Baker Mayfield"/>
    <x v="298"/>
    <n v="2024"/>
  </r>
  <r>
    <x v="0"/>
    <s v="Brenton"/>
    <n v="8"/>
    <x v="1"/>
    <s v="Zay Flowers"/>
    <x v="63"/>
    <n v="2024"/>
  </r>
  <r>
    <x v="0"/>
    <s v="Brenton"/>
    <n v="8"/>
    <x v="1"/>
    <s v="Courtland Sutton"/>
    <x v="311"/>
    <n v="2024"/>
  </r>
  <r>
    <x v="0"/>
    <s v="Brenton"/>
    <n v="8"/>
    <x v="1"/>
    <s v="Tyreek Hill"/>
    <x v="208"/>
    <n v="2024"/>
  </r>
  <r>
    <x v="0"/>
    <s v="Brenton"/>
    <n v="8"/>
    <x v="2"/>
    <s v="Tank Bigsby"/>
    <x v="260"/>
    <n v="2024"/>
  </r>
  <r>
    <x v="0"/>
    <s v="Brenton"/>
    <n v="8"/>
    <x v="2"/>
    <s v="Javonte Williams"/>
    <x v="210"/>
    <n v="2024"/>
  </r>
  <r>
    <x v="0"/>
    <s v="Brenton"/>
    <n v="8"/>
    <x v="3"/>
    <s v="Trey McBride"/>
    <x v="114"/>
    <n v="2024"/>
  </r>
  <r>
    <x v="0"/>
    <s v="Brenton"/>
    <n v="8"/>
    <x v="5"/>
    <s v="Will Reichard"/>
    <x v="32"/>
    <n v="2024"/>
  </r>
  <r>
    <x v="0"/>
    <s v="Brenton"/>
    <n v="8"/>
    <x v="4"/>
    <s v="Detroit"/>
    <x v="122"/>
    <n v="2024"/>
  </r>
  <r>
    <x v="0"/>
    <s v="Brenton"/>
    <n v="8"/>
    <x v="6"/>
    <s v="Jayden Reed"/>
    <x v="23"/>
    <n v="2024"/>
  </r>
  <r>
    <x v="8"/>
    <s v="Schulwolf"/>
    <n v="8"/>
    <x v="0"/>
    <s v="Jordan Love"/>
    <x v="312"/>
    <n v="2024"/>
  </r>
  <r>
    <x v="8"/>
    <s v="Schulwolf"/>
    <n v="8"/>
    <x v="1"/>
    <s v="Terry McLaurin"/>
    <x v="63"/>
    <n v="2024"/>
  </r>
  <r>
    <x v="8"/>
    <s v="Schulwolf"/>
    <n v="8"/>
    <x v="1"/>
    <s v="Devonta Smith"/>
    <x v="217"/>
    <n v="2024"/>
  </r>
  <r>
    <x v="8"/>
    <s v="Schulwolf"/>
    <n v="8"/>
    <x v="1"/>
    <s v="Cooper Kupp"/>
    <x v="38"/>
    <n v="2024"/>
  </r>
  <r>
    <x v="8"/>
    <s v="Schulwolf"/>
    <n v="8"/>
    <x v="2"/>
    <s v="Jahmyr Gibbs"/>
    <x v="209"/>
    <n v="2024"/>
  </r>
  <r>
    <x v="8"/>
    <s v="Schulwolf"/>
    <n v="8"/>
    <x v="2"/>
    <s v="James Cook"/>
    <x v="181"/>
    <n v="2024"/>
  </r>
  <r>
    <x v="8"/>
    <s v="Schulwolf"/>
    <n v="8"/>
    <x v="3"/>
    <s v="Dalton Kincaid"/>
    <x v="43"/>
    <n v="2024"/>
  </r>
  <r>
    <x v="8"/>
    <s v="Schulwolf"/>
    <n v="8"/>
    <x v="5"/>
    <s v="Brandon Aubrey"/>
    <x v="25"/>
    <n v="2024"/>
  </r>
  <r>
    <x v="8"/>
    <s v="Schulwolf"/>
    <n v="8"/>
    <x v="4"/>
    <s v="Denver"/>
    <x v="32"/>
    <n v="2024"/>
  </r>
  <r>
    <x v="8"/>
    <s v="Schulwolf"/>
    <n v="8"/>
    <x v="6"/>
    <s v="Tyler Lockett"/>
    <x v="171"/>
    <n v="2024"/>
  </r>
  <r>
    <x v="2"/>
    <s v="Mike"/>
    <n v="8"/>
    <x v="0"/>
    <s v="Tua Tagovailoa"/>
    <x v="313"/>
    <n v="2024"/>
  </r>
  <r>
    <x v="2"/>
    <s v="Mike"/>
    <n v="8"/>
    <x v="1"/>
    <s v="Khalil Shakir"/>
    <x v="68"/>
    <n v="2024"/>
  </r>
  <r>
    <x v="2"/>
    <s v="Mike"/>
    <n v="8"/>
    <x v="1"/>
    <s v="Tank Dell"/>
    <x v="253"/>
    <n v="2024"/>
  </r>
  <r>
    <x v="2"/>
    <s v="Mike"/>
    <n v="8"/>
    <x v="1"/>
    <s v="Davante Adams"/>
    <x v="223"/>
    <n v="2024"/>
  </r>
  <r>
    <x v="2"/>
    <s v="Mike"/>
    <n v="8"/>
    <x v="2"/>
    <s v="Derrick Henry"/>
    <x v="113"/>
    <n v="2024"/>
  </r>
  <r>
    <x v="2"/>
    <s v="Mike"/>
    <n v="8"/>
    <x v="2"/>
    <s v="Kareem Hunt"/>
    <x v="233"/>
    <n v="2024"/>
  </r>
  <r>
    <x v="2"/>
    <s v="Mike"/>
    <n v="8"/>
    <x v="3"/>
    <s v="Jake Ferguson"/>
    <x v="128"/>
    <n v="2024"/>
  </r>
  <r>
    <x v="2"/>
    <s v="Mike"/>
    <n v="8"/>
    <x v="5"/>
    <s v="Younghoe Koo"/>
    <x v="25"/>
    <n v="2024"/>
  </r>
  <r>
    <x v="2"/>
    <s v="Mike"/>
    <n v="8"/>
    <x v="4"/>
    <s v="Buffalo"/>
    <x v="8"/>
    <n v="2024"/>
  </r>
  <r>
    <x v="2"/>
    <s v="Mike"/>
    <n v="8"/>
    <x v="7"/>
    <s v="Nick Chubb"/>
    <x v="22"/>
    <n v="2024"/>
  </r>
  <r>
    <x v="10"/>
    <s v="Brand"/>
    <n v="8"/>
    <x v="0"/>
    <s v="Anthony Richardson"/>
    <x v="253"/>
    <n v="2024"/>
  </r>
  <r>
    <x v="10"/>
    <s v="Brand"/>
    <n v="8"/>
    <x v="1"/>
    <s v="Garrett Wilson"/>
    <x v="12"/>
    <n v="2024"/>
  </r>
  <r>
    <x v="10"/>
    <s v="Brand"/>
    <n v="8"/>
    <x v="1"/>
    <s v="Keenan Allen"/>
    <x v="219"/>
    <n v="2024"/>
  </r>
  <r>
    <x v="10"/>
    <s v="Brand"/>
    <n v="8"/>
    <x v="1"/>
    <s v="Michael Pittman"/>
    <x v="28"/>
    <n v="2024"/>
  </r>
  <r>
    <x v="10"/>
    <s v="Brand"/>
    <n v="8"/>
    <x v="2"/>
    <s v="Bucky Irving"/>
    <x v="66"/>
    <n v="2024"/>
  </r>
  <r>
    <x v="10"/>
    <s v="Brand"/>
    <n v="8"/>
    <x v="2"/>
    <s v="Breece Hall"/>
    <x v="156"/>
    <n v="2024"/>
  </r>
  <r>
    <x v="10"/>
    <s v="Brand"/>
    <n v="8"/>
    <x v="3"/>
    <s v="Taysom Hill"/>
    <x v="314"/>
    <n v="2024"/>
  </r>
  <r>
    <x v="10"/>
    <s v="Brand"/>
    <n v="8"/>
    <x v="5"/>
    <s v="Cameron Dicker"/>
    <x v="32"/>
    <n v="2024"/>
  </r>
  <r>
    <x v="10"/>
    <s v="Brand"/>
    <n v="8"/>
    <x v="4"/>
    <s v="San Francisco"/>
    <x v="76"/>
    <n v="2024"/>
  </r>
  <r>
    <x v="10"/>
    <s v="Brand"/>
    <n v="8"/>
    <x v="7"/>
    <s v="Kenneth Walker"/>
    <x v="23"/>
    <n v="2024"/>
  </r>
  <r>
    <x v="1"/>
    <s v="Todd"/>
    <n v="8"/>
    <x v="0"/>
    <s v="Sam Darnold"/>
    <x v="185"/>
    <n v="2024"/>
  </r>
  <r>
    <x v="1"/>
    <s v="Todd"/>
    <n v="8"/>
    <x v="1"/>
    <s v="Darnell Mooney"/>
    <x v="248"/>
    <n v="2024"/>
  </r>
  <r>
    <x v="1"/>
    <s v="Todd"/>
    <n v="8"/>
    <x v="1"/>
    <s v="Brian Thomas Jr"/>
    <x v="201"/>
    <n v="2024"/>
  </r>
  <r>
    <x v="1"/>
    <s v="Todd"/>
    <n v="8"/>
    <x v="1"/>
    <s v="AJ Brown"/>
    <x v="53"/>
    <n v="2024"/>
  </r>
  <r>
    <x v="1"/>
    <s v="Todd"/>
    <n v="8"/>
    <x v="2"/>
    <s v="De'Von Achane"/>
    <x v="142"/>
    <n v="2024"/>
  </r>
  <r>
    <x v="1"/>
    <s v="Todd"/>
    <n v="8"/>
    <x v="2"/>
    <s v="James Conner"/>
    <x v="35"/>
    <n v="2024"/>
  </r>
  <r>
    <x v="1"/>
    <s v="Todd"/>
    <n v="8"/>
    <x v="3"/>
    <s v="Tucker Kraft"/>
    <x v="259"/>
    <n v="2024"/>
  </r>
  <r>
    <x v="1"/>
    <s v="Todd"/>
    <n v="8"/>
    <x v="5"/>
    <s v="Chris Boswell"/>
    <x v="100"/>
    <n v="2024"/>
  </r>
  <r>
    <x v="1"/>
    <s v="Todd"/>
    <n v="8"/>
    <x v="4"/>
    <s v="LA Chargers"/>
    <x v="138"/>
    <n v="2024"/>
  </r>
  <r>
    <x v="1"/>
    <s v="Todd"/>
    <n v="8"/>
    <x v="6"/>
    <s v="Deebo Samuel"/>
    <x v="21"/>
    <n v="2024"/>
  </r>
  <r>
    <x v="5"/>
    <s v="Burnett/Jasjaap"/>
    <n v="8"/>
    <x v="0"/>
    <s v="Brock Purdy"/>
    <x v="40"/>
    <n v="2024"/>
  </r>
  <r>
    <x v="5"/>
    <s v="Burnett/Jasjaap"/>
    <n v="8"/>
    <x v="1"/>
    <s v="CeeDee Lamb"/>
    <x v="315"/>
    <n v="2024"/>
  </r>
  <r>
    <x v="5"/>
    <s v="Burnett/Jasjaap"/>
    <n v="8"/>
    <x v="1"/>
    <s v="Jerry Jeudy"/>
    <x v="316"/>
    <n v="2024"/>
  </r>
  <r>
    <x v="5"/>
    <s v="Burnett/Jasjaap"/>
    <n v="8"/>
    <x v="1"/>
    <s v="Ricky Pearsall"/>
    <x v="218"/>
    <n v="2024"/>
  </r>
  <r>
    <x v="5"/>
    <s v="Burnett/Jasjaap"/>
    <n v="8"/>
    <x v="2"/>
    <s v="Josh Jacobs"/>
    <x v="65"/>
    <n v="2024"/>
  </r>
  <r>
    <x v="5"/>
    <s v="Burnett/Jasjaap"/>
    <n v="8"/>
    <x v="2"/>
    <s v="David Montgomery"/>
    <x v="317"/>
    <n v="2024"/>
  </r>
  <r>
    <x v="5"/>
    <s v="Burnett/Jasjaap"/>
    <n v="8"/>
    <x v="3"/>
    <s v="Brock Bowers"/>
    <x v="112"/>
    <n v="2024"/>
  </r>
  <r>
    <x v="5"/>
    <s v="Burnett/Jasjaap"/>
    <n v="8"/>
    <x v="5"/>
    <s v="Austin Seibert"/>
    <x v="49"/>
    <n v="2024"/>
  </r>
  <r>
    <x v="5"/>
    <s v="Burnett/Jasjaap"/>
    <n v="8"/>
    <x v="4"/>
    <s v="Kansas City"/>
    <x v="24"/>
    <n v="2024"/>
  </r>
  <r>
    <x v="5"/>
    <s v="Burnett/Jasjaap"/>
    <n v="8"/>
    <x v="6"/>
    <s v="Jaylen Waddle"/>
    <x v="23"/>
    <n v="2024"/>
  </r>
  <r>
    <x v="4"/>
    <s v="Eli"/>
    <n v="8"/>
    <x v="0"/>
    <s v="Jalen Hurts"/>
    <x v="318"/>
    <n v="2024"/>
  </r>
  <r>
    <x v="4"/>
    <s v="Eli"/>
    <n v="8"/>
    <x v="1"/>
    <s v="Justin Jefferson"/>
    <x v="261"/>
    <n v="2024"/>
  </r>
  <r>
    <x v="4"/>
    <s v="Eli"/>
    <n v="8"/>
    <x v="1"/>
    <s v="Jalen McMillan"/>
    <x v="210"/>
    <n v="2024"/>
  </r>
  <r>
    <x v="4"/>
    <s v="Eli"/>
    <n v="8"/>
    <x v="1"/>
    <s v="DJ Moore"/>
    <x v="75"/>
    <n v="2024"/>
  </r>
  <r>
    <x v="4"/>
    <s v="Eli"/>
    <n v="8"/>
    <x v="2"/>
    <s v="Bijan Robinson"/>
    <x v="87"/>
    <n v="2024"/>
  </r>
  <r>
    <x v="4"/>
    <s v="Eli"/>
    <n v="8"/>
    <x v="2"/>
    <s v="Jordan Mason"/>
    <x v="213"/>
    <n v="2024"/>
  </r>
  <r>
    <x v="4"/>
    <s v="Eli"/>
    <n v="8"/>
    <x v="3"/>
    <s v="Kyle Pitts"/>
    <x v="169"/>
    <n v="2024"/>
  </r>
  <r>
    <x v="4"/>
    <s v="Eli"/>
    <n v="8"/>
    <x v="5"/>
    <s v="Tyler Bass"/>
    <x v="76"/>
    <n v="2024"/>
  </r>
  <r>
    <x v="4"/>
    <s v="Eli"/>
    <n v="8"/>
    <x v="4"/>
    <s v="NYJ"/>
    <x v="7"/>
    <n v="2024"/>
  </r>
  <r>
    <x v="4"/>
    <s v="Eli"/>
    <n v="8"/>
    <x v="8"/>
    <s v="David Njoku"/>
    <x v="306"/>
    <n v="2024"/>
  </r>
  <r>
    <x v="11"/>
    <s v="Cam"/>
    <n v="8"/>
    <x v="0"/>
    <s v="Joe Burrow"/>
    <x v="319"/>
    <n v="2024"/>
  </r>
  <r>
    <x v="11"/>
    <s v="Cam"/>
    <n v="8"/>
    <x v="1"/>
    <s v="Ja'Marr Chase"/>
    <x v="4"/>
    <n v="2024"/>
  </r>
  <r>
    <x v="11"/>
    <s v="Cam"/>
    <n v="8"/>
    <x v="1"/>
    <s v="Jakobi Meyers"/>
    <x v="113"/>
    <n v="2024"/>
  </r>
  <r>
    <x v="11"/>
    <s v="Cam"/>
    <n v="8"/>
    <x v="1"/>
    <s v="Wan'Dale Robinson"/>
    <x v="6"/>
    <n v="2024"/>
  </r>
  <r>
    <x v="11"/>
    <s v="Cam"/>
    <n v="8"/>
    <x v="2"/>
    <s v="D'Andre Swift"/>
    <x v="57"/>
    <n v="2024"/>
  </r>
  <r>
    <x v="11"/>
    <s v="Cam"/>
    <n v="8"/>
    <x v="2"/>
    <s v="JK Dobbins"/>
    <x v="31"/>
    <n v="2024"/>
  </r>
  <r>
    <x v="11"/>
    <s v="Cam"/>
    <n v="8"/>
    <x v="3"/>
    <s v="George Kittle"/>
    <x v="300"/>
    <n v="2024"/>
  </r>
  <r>
    <x v="11"/>
    <s v="Cam"/>
    <n v="8"/>
    <x v="5"/>
    <s v="Evan McPherson"/>
    <x v="103"/>
    <n v="2024"/>
  </r>
  <r>
    <x v="11"/>
    <s v="Cam"/>
    <n v="8"/>
    <x v="4"/>
    <s v="Green Bay"/>
    <x v="16"/>
    <n v="2024"/>
  </r>
  <r>
    <x v="11"/>
    <s v="Cam"/>
    <n v="8"/>
    <x v="7"/>
    <s v="Aaron Jones"/>
    <x v="27"/>
    <n v="2024"/>
  </r>
  <r>
    <x v="6"/>
    <s v="Will"/>
    <n v="8"/>
    <x v="0"/>
    <s v="Caleb Williams"/>
    <x v="320"/>
    <n v="2024"/>
  </r>
  <r>
    <x v="6"/>
    <s v="Will"/>
    <n v="8"/>
    <x v="1"/>
    <s v="Ladd McConkey"/>
    <x v="321"/>
    <n v="2024"/>
  </r>
  <r>
    <x v="6"/>
    <s v="Will"/>
    <n v="8"/>
    <x v="1"/>
    <s v="Jaxon Smith-Njigba"/>
    <x v="191"/>
    <n v="2024"/>
  </r>
  <r>
    <x v="6"/>
    <s v="Will"/>
    <n v="8"/>
    <x v="1"/>
    <s v="Amon-Ra St. Brown"/>
    <x v="322"/>
    <n v="2024"/>
  </r>
  <r>
    <x v="6"/>
    <s v="Will"/>
    <n v="8"/>
    <x v="2"/>
    <s v="Austin Ekeler"/>
    <x v="283"/>
    <n v="2024"/>
  </r>
  <r>
    <x v="6"/>
    <s v="Will"/>
    <n v="8"/>
    <x v="2"/>
    <s v="D'Ernest Johnson"/>
    <x v="5"/>
    <n v="2024"/>
  </r>
  <r>
    <x v="6"/>
    <s v="Will"/>
    <n v="8"/>
    <x v="3"/>
    <s v="Travis Kelce"/>
    <x v="109"/>
    <n v="2024"/>
  </r>
  <r>
    <x v="6"/>
    <s v="Will"/>
    <n v="8"/>
    <x v="5"/>
    <s v="Jason Myers"/>
    <x v="16"/>
    <n v="2024"/>
  </r>
  <r>
    <x v="6"/>
    <s v="Will"/>
    <n v="8"/>
    <x v="4"/>
    <s v="Houston"/>
    <x v="24"/>
    <n v="2024"/>
  </r>
  <r>
    <x v="6"/>
    <s v="Will"/>
    <n v="8"/>
    <x v="6"/>
    <s v="Drake London"/>
    <x v="167"/>
    <n v="2024"/>
  </r>
  <r>
    <x v="3"/>
    <s v="Kevin"/>
    <n v="8"/>
    <x v="0"/>
    <s v="CJ Stroud"/>
    <x v="51"/>
    <n v="2024"/>
  </r>
  <r>
    <x v="3"/>
    <s v="Kevin"/>
    <n v="8"/>
    <x v="1"/>
    <s v="Marvin Harrison Jr"/>
    <x v="87"/>
    <n v="2024"/>
  </r>
  <r>
    <x v="3"/>
    <s v="Kevin"/>
    <n v="8"/>
    <x v="1"/>
    <s v="George Pickens"/>
    <x v="156"/>
    <n v="2024"/>
  </r>
  <r>
    <x v="3"/>
    <s v="Kevin"/>
    <n v="8"/>
    <x v="1"/>
    <s v="Jordan Addison"/>
    <x v="143"/>
    <n v="2024"/>
  </r>
  <r>
    <x v="3"/>
    <s v="Kevin"/>
    <n v="8"/>
    <x v="2"/>
    <s v="Joe Mixon"/>
    <x v="205"/>
    <n v="2024"/>
  </r>
  <r>
    <x v="3"/>
    <s v="Kevin"/>
    <n v="8"/>
    <x v="2"/>
    <s v="Najee Harris"/>
    <x v="306"/>
    <n v="2024"/>
  </r>
  <r>
    <x v="3"/>
    <s v="Kevin"/>
    <n v="8"/>
    <x v="3"/>
    <s v="Hunter Henry"/>
    <x v="76"/>
    <n v="2024"/>
  </r>
  <r>
    <x v="3"/>
    <s v="Kevin"/>
    <n v="8"/>
    <x v="5"/>
    <s v="Justin Tucker"/>
    <x v="76"/>
    <n v="2024"/>
  </r>
  <r>
    <x v="3"/>
    <s v="Kevin"/>
    <n v="8"/>
    <x v="4"/>
    <s v="NY Giants"/>
    <x v="139"/>
    <n v="2024"/>
  </r>
  <r>
    <x v="3"/>
    <s v="Kevin"/>
    <n v="8"/>
    <x v="7"/>
    <s v="Chuba Hubbard"/>
    <x v="3"/>
    <n v="2024"/>
  </r>
  <r>
    <x v="7"/>
    <s v="Jay"/>
    <n v="8"/>
    <x v="0"/>
    <s v="Lamar Jackson"/>
    <x v="323"/>
    <n v="2024"/>
  </r>
  <r>
    <x v="7"/>
    <s v="Jay"/>
    <n v="8"/>
    <x v="1"/>
    <s v="Stefon Diggs"/>
    <x v="208"/>
    <n v="2024"/>
  </r>
  <r>
    <x v="7"/>
    <s v="Jay"/>
    <n v="8"/>
    <x v="1"/>
    <s v="Christian Kirk"/>
    <x v="92"/>
    <n v="2024"/>
  </r>
  <r>
    <x v="7"/>
    <s v="Jay"/>
    <n v="8"/>
    <x v="1"/>
    <s v="Amari Cooper"/>
    <x v="271"/>
    <n v="2024"/>
  </r>
  <r>
    <x v="7"/>
    <s v="Jay"/>
    <n v="8"/>
    <x v="2"/>
    <s v="Jonathan Taylor"/>
    <x v="185"/>
    <n v="2024"/>
  </r>
  <r>
    <x v="7"/>
    <s v="Jay"/>
    <n v="8"/>
    <x v="2"/>
    <s v="Alvin Kamara"/>
    <x v="228"/>
    <n v="2024"/>
  </r>
  <r>
    <x v="7"/>
    <s v="Jay"/>
    <n v="8"/>
    <x v="3"/>
    <s v="Evan Engram"/>
    <x v="187"/>
    <n v="2024"/>
  </r>
  <r>
    <x v="7"/>
    <s v="Jay"/>
    <n v="8"/>
    <x v="5"/>
    <s v="Ka'imi Fairbairn"/>
    <x v="138"/>
    <n v="2024"/>
  </r>
  <r>
    <x v="7"/>
    <s v="Jay"/>
    <n v="8"/>
    <x v="4"/>
    <s v="Miami"/>
    <x v="284"/>
    <n v="2024"/>
  </r>
  <r>
    <x v="7"/>
    <s v="Jay"/>
    <n v="8"/>
    <x v="7"/>
    <s v="Brian Robinson"/>
    <x v="3"/>
    <n v="2024"/>
  </r>
  <r>
    <x v="9"/>
    <s v="Tommy"/>
    <n v="8"/>
    <x v="0"/>
    <s v="Josh Allen"/>
    <x v="262"/>
    <n v="2024"/>
  </r>
  <r>
    <x v="9"/>
    <s v="Tommy"/>
    <n v="8"/>
    <x v="1"/>
    <s v="Malik Nabers"/>
    <x v="21"/>
    <n v="2024"/>
  </r>
  <r>
    <x v="9"/>
    <s v="Tommy"/>
    <n v="8"/>
    <x v="1"/>
    <s v="Xavier Worthy"/>
    <x v="20"/>
    <n v="2024"/>
  </r>
  <r>
    <x v="9"/>
    <s v="Tommy"/>
    <n v="8"/>
    <x v="1"/>
    <s v="Romeo Doubs"/>
    <x v="161"/>
    <n v="2024"/>
  </r>
  <r>
    <x v="9"/>
    <s v="Tommy"/>
    <n v="8"/>
    <x v="2"/>
    <s v="Kyren Williams"/>
    <x v="87"/>
    <n v="2024"/>
  </r>
  <r>
    <x v="9"/>
    <s v="Tommy"/>
    <n v="8"/>
    <x v="2"/>
    <s v="Rachaad White"/>
    <x v="145"/>
    <n v="2024"/>
  </r>
  <r>
    <x v="9"/>
    <s v="Tommy"/>
    <n v="8"/>
    <x v="3"/>
    <s v="Mark Andrews"/>
    <x v="324"/>
    <n v="2024"/>
  </r>
  <r>
    <x v="9"/>
    <s v="Tommy"/>
    <n v="8"/>
    <x v="5"/>
    <s v="Harrison Butker"/>
    <x v="8"/>
    <n v="2024"/>
  </r>
  <r>
    <x v="9"/>
    <s v="Tommy"/>
    <n v="8"/>
    <x v="4"/>
    <s v="Minnesota"/>
    <x v="146"/>
    <n v="2024"/>
  </r>
  <r>
    <x v="9"/>
    <s v="Tommy"/>
    <n v="8"/>
    <x v="7"/>
    <s v="Saquon Barkley"/>
    <x v="187"/>
    <n v="2024"/>
  </r>
  <r>
    <x v="0"/>
    <s v="Brenton"/>
    <n v="9"/>
    <x v="0"/>
    <s v="Baker Mayfield"/>
    <x v="72"/>
    <n v="2024"/>
  </r>
  <r>
    <x v="0"/>
    <s v="Brenton"/>
    <n v="9"/>
    <x v="1"/>
    <s v="Courtland Sutton"/>
    <x v="325"/>
    <n v="2024"/>
  </r>
  <r>
    <x v="0"/>
    <s v="Brenton"/>
    <n v="9"/>
    <x v="1"/>
    <s v="Cedric Tillman"/>
    <x v="326"/>
    <n v="2024"/>
  </r>
  <r>
    <x v="0"/>
    <s v="Brenton"/>
    <n v="9"/>
    <x v="1"/>
    <s v="Jayden Reed"/>
    <x v="12"/>
    <n v="2024"/>
  </r>
  <r>
    <x v="0"/>
    <s v="Brenton"/>
    <n v="9"/>
    <x v="2"/>
    <s v="Javonte Williams"/>
    <x v="156"/>
    <n v="2024"/>
  </r>
  <r>
    <x v="0"/>
    <s v="Brenton"/>
    <n v="9"/>
    <x v="2"/>
    <s v="Tyrone Tracy"/>
    <x v="223"/>
    <n v="2024"/>
  </r>
  <r>
    <x v="0"/>
    <s v="Brenton"/>
    <n v="9"/>
    <x v="3"/>
    <s v="Trey McBride"/>
    <x v="174"/>
    <n v="2024"/>
  </r>
  <r>
    <x v="0"/>
    <s v="Brenton"/>
    <n v="9"/>
    <x v="5"/>
    <s v="Will Reichard"/>
    <x v="139"/>
    <n v="2024"/>
  </r>
  <r>
    <x v="0"/>
    <s v="Brenton"/>
    <n v="9"/>
    <x v="4"/>
    <s v="Baltimore"/>
    <x v="24"/>
    <n v="2024"/>
  </r>
  <r>
    <x v="0"/>
    <s v="Brenton"/>
    <n v="9"/>
    <x v="6"/>
    <s v="Tyreek Hill"/>
    <x v="8"/>
    <n v="2024"/>
  </r>
  <r>
    <x v="10"/>
    <s v="Brand"/>
    <n v="9"/>
    <x v="0"/>
    <s v="Kirk Cousins"/>
    <x v="227"/>
    <n v="2024"/>
  </r>
  <r>
    <x v="10"/>
    <s v="Brand"/>
    <n v="9"/>
    <x v="1"/>
    <s v="Garrett Wilson"/>
    <x v="327"/>
    <n v="2024"/>
  </r>
  <r>
    <x v="10"/>
    <s v="Brand"/>
    <n v="9"/>
    <x v="1"/>
    <s v="Keenan Allen"/>
    <x v="90"/>
    <n v="2024"/>
  </r>
  <r>
    <x v="10"/>
    <s v="Brand"/>
    <n v="9"/>
    <x v="1"/>
    <s v="Michael Pittman"/>
    <x v="160"/>
    <n v="2024"/>
  </r>
  <r>
    <x v="10"/>
    <s v="Brand"/>
    <n v="9"/>
    <x v="2"/>
    <s v="Kenneth Walker"/>
    <x v="175"/>
    <n v="2024"/>
  </r>
  <r>
    <x v="10"/>
    <s v="Brand"/>
    <n v="9"/>
    <x v="2"/>
    <s v="Breece Hall"/>
    <x v="239"/>
    <n v="2024"/>
  </r>
  <r>
    <x v="10"/>
    <s v="Brand"/>
    <n v="9"/>
    <x v="3"/>
    <s v="Taysom Hill"/>
    <x v="100"/>
    <n v="2024"/>
  </r>
  <r>
    <x v="10"/>
    <s v="Brand"/>
    <n v="9"/>
    <x v="5"/>
    <s v="Cameron Dicker"/>
    <x v="78"/>
    <n v="2024"/>
  </r>
  <r>
    <x v="10"/>
    <s v="Brand"/>
    <n v="9"/>
    <x v="4"/>
    <s v="LA Chargers"/>
    <x v="176"/>
    <n v="2024"/>
  </r>
  <r>
    <x v="10"/>
    <s v="Brand"/>
    <n v="9"/>
    <x v="7"/>
    <s v="Bucky Irving"/>
    <x v="219"/>
    <n v="2024"/>
  </r>
  <r>
    <x v="2"/>
    <s v="Mike"/>
    <n v="9"/>
    <x v="0"/>
    <s v="Patrick Mahomes"/>
    <x v="328"/>
    <n v="2024"/>
  </r>
  <r>
    <x v="2"/>
    <s v="Mike"/>
    <n v="9"/>
    <x v="1"/>
    <s v="Davante Adams"/>
    <x v="89"/>
    <n v="2024"/>
  </r>
  <r>
    <x v="2"/>
    <s v="Mike"/>
    <n v="9"/>
    <x v="1"/>
    <s v="Tank Dell"/>
    <x v="144"/>
    <n v="2024"/>
  </r>
  <r>
    <x v="2"/>
    <s v="Mike"/>
    <n v="9"/>
    <x v="1"/>
    <s v="Khalil Shakir"/>
    <x v="32"/>
    <n v="2024"/>
  </r>
  <r>
    <x v="2"/>
    <s v="Mike"/>
    <n v="9"/>
    <x v="2"/>
    <s v="Derrick Henry"/>
    <x v="329"/>
    <n v="2024"/>
  </r>
  <r>
    <x v="2"/>
    <s v="Mike"/>
    <n v="9"/>
    <x v="2"/>
    <s v="Kareem Hunt"/>
    <x v="185"/>
    <n v="2024"/>
  </r>
  <r>
    <x v="2"/>
    <s v="Mike"/>
    <n v="9"/>
    <x v="3"/>
    <s v="Sam LaPorta"/>
    <x v="154"/>
    <n v="2024"/>
  </r>
  <r>
    <x v="2"/>
    <s v="Mike"/>
    <n v="9"/>
    <x v="5"/>
    <s v="Younghoe Koo"/>
    <x v="7"/>
    <n v="2024"/>
  </r>
  <r>
    <x v="2"/>
    <s v="Mike"/>
    <n v="9"/>
    <x v="4"/>
    <s v="Buffalo"/>
    <x v="139"/>
    <n v="2024"/>
  </r>
  <r>
    <x v="2"/>
    <s v="Mike"/>
    <n v="9"/>
    <x v="7"/>
    <s v="Nick Chubb"/>
    <x v="16"/>
    <n v="2024"/>
  </r>
  <r>
    <x v="5"/>
    <s v="Burnett/Jasjaap"/>
    <n v="9"/>
    <x v="0"/>
    <s v="Bo Nix"/>
    <x v="330"/>
    <n v="2024"/>
  </r>
  <r>
    <x v="5"/>
    <s v="Burnett/Jasjaap"/>
    <n v="9"/>
    <x v="1"/>
    <s v="CeeDee Lamb"/>
    <x v="175"/>
    <n v="2024"/>
  </r>
  <r>
    <x v="5"/>
    <s v="Burnett/Jasjaap"/>
    <n v="9"/>
    <x v="1"/>
    <s v="Jaylen Waddle"/>
    <x v="249"/>
    <n v="2024"/>
  </r>
  <r>
    <x v="5"/>
    <s v="Burnett/Jasjaap"/>
    <n v="9"/>
    <x v="1"/>
    <s v="Jerry Jeudy"/>
    <x v="60"/>
    <n v="2024"/>
  </r>
  <r>
    <x v="5"/>
    <s v="Burnett/Jasjaap"/>
    <n v="9"/>
    <x v="2"/>
    <s v="Josh Jacobs"/>
    <x v="69"/>
    <n v="2024"/>
  </r>
  <r>
    <x v="5"/>
    <s v="Burnett/Jasjaap"/>
    <n v="9"/>
    <x v="2"/>
    <s v="David Montgomery"/>
    <x v="43"/>
    <n v="2024"/>
  </r>
  <r>
    <x v="5"/>
    <s v="Burnett/Jasjaap"/>
    <n v="9"/>
    <x v="3"/>
    <s v="Brock Bowers"/>
    <x v="49"/>
    <n v="2024"/>
  </r>
  <r>
    <x v="5"/>
    <s v="Burnett/Jasjaap"/>
    <n v="9"/>
    <x v="5"/>
    <s v="Austin Seibert"/>
    <x v="24"/>
    <n v="2024"/>
  </r>
  <r>
    <x v="5"/>
    <s v="Burnett/Jasjaap"/>
    <n v="9"/>
    <x v="4"/>
    <s v="Kansas City"/>
    <x v="7"/>
    <n v="2024"/>
  </r>
  <r>
    <x v="5"/>
    <s v="Burnett/Jasjaap"/>
    <n v="9"/>
    <x v="6"/>
    <s v="Puka Nacua"/>
    <x v="70"/>
    <n v="2024"/>
  </r>
  <r>
    <x v="1"/>
    <s v="Todd"/>
    <n v="9"/>
    <x v="0"/>
    <s v="Sam Darnold"/>
    <x v="176"/>
    <n v="2024"/>
  </r>
  <r>
    <x v="1"/>
    <s v="Todd"/>
    <n v="9"/>
    <x v="1"/>
    <s v="Darnell Mooney"/>
    <x v="331"/>
    <n v="2024"/>
  </r>
  <r>
    <x v="1"/>
    <s v="Todd"/>
    <n v="9"/>
    <x v="1"/>
    <s v="AJ Brown"/>
    <x v="163"/>
    <n v="2024"/>
  </r>
  <r>
    <x v="1"/>
    <s v="Todd"/>
    <n v="9"/>
    <x v="1"/>
    <s v="Brian Thomas Jr"/>
    <x v="22"/>
    <n v="2024"/>
  </r>
  <r>
    <x v="1"/>
    <s v="Todd"/>
    <n v="9"/>
    <x v="2"/>
    <s v="De'Von Achane"/>
    <x v="332"/>
    <n v="2024"/>
  </r>
  <r>
    <x v="1"/>
    <s v="Todd"/>
    <n v="9"/>
    <x v="2"/>
    <s v="James Conner"/>
    <x v="267"/>
    <n v="2024"/>
  </r>
  <r>
    <x v="1"/>
    <s v="Todd"/>
    <n v="9"/>
    <x v="3"/>
    <s v="Tucker Kraft"/>
    <x v="90"/>
    <n v="2024"/>
  </r>
  <r>
    <x v="1"/>
    <s v="Todd"/>
    <n v="9"/>
    <x v="5"/>
    <s v="Jake Elliott"/>
    <x v="103"/>
    <n v="2024"/>
  </r>
  <r>
    <x v="1"/>
    <s v="Todd"/>
    <n v="9"/>
    <x v="4"/>
    <s v="New Orleans"/>
    <x v="16"/>
    <n v="2024"/>
  </r>
  <r>
    <x v="1"/>
    <s v="Todd"/>
    <n v="9"/>
    <x v="6"/>
    <s v="Diontae Johnson"/>
    <x v="146"/>
    <n v="2024"/>
  </r>
  <r>
    <x v="6"/>
    <s v="Will"/>
    <n v="9"/>
    <x v="0"/>
    <s v="Caleb Williams"/>
    <x v="333"/>
    <n v="2024"/>
  </r>
  <r>
    <x v="6"/>
    <s v="Will"/>
    <n v="9"/>
    <x v="1"/>
    <s v="Drake London"/>
    <x v="218"/>
    <n v="2024"/>
  </r>
  <r>
    <x v="6"/>
    <s v="Will"/>
    <n v="9"/>
    <x v="1"/>
    <s v="Amon-Ra St. Brown"/>
    <x v="308"/>
    <n v="2024"/>
  </r>
  <r>
    <x v="6"/>
    <s v="Will"/>
    <n v="9"/>
    <x v="1"/>
    <s v="Josh Downs"/>
    <x v="24"/>
    <n v="2024"/>
  </r>
  <r>
    <x v="6"/>
    <s v="Will"/>
    <n v="9"/>
    <x v="2"/>
    <s v="Tony Pollard"/>
    <x v="114"/>
    <n v="2024"/>
  </r>
  <r>
    <x v="6"/>
    <s v="Will"/>
    <n v="9"/>
    <x v="2"/>
    <s v="Travis Etienne"/>
    <x v="16"/>
    <n v="2024"/>
  </r>
  <r>
    <x v="6"/>
    <s v="Will"/>
    <n v="9"/>
    <x v="3"/>
    <s v="Travis Kelce"/>
    <x v="63"/>
    <n v="2024"/>
  </r>
  <r>
    <x v="6"/>
    <s v="Will"/>
    <n v="9"/>
    <x v="5"/>
    <s v="Jason Myers"/>
    <x v="78"/>
    <n v="2024"/>
  </r>
  <r>
    <x v="6"/>
    <s v="Will"/>
    <n v="9"/>
    <x v="4"/>
    <s v="Houston"/>
    <x v="7"/>
    <n v="2024"/>
  </r>
  <r>
    <x v="6"/>
    <s v="Will"/>
    <n v="9"/>
    <x v="6"/>
    <s v="Ladd McConkey"/>
    <x v="155"/>
    <n v="2024"/>
  </r>
  <r>
    <x v="4"/>
    <s v="Eli"/>
    <n v="9"/>
    <x v="0"/>
    <s v="Jalen Hurts"/>
    <x v="162"/>
    <n v="2024"/>
  </r>
  <r>
    <x v="4"/>
    <s v="Eli"/>
    <n v="9"/>
    <x v="1"/>
    <s v="Justin Jefferson"/>
    <x v="334"/>
    <n v="2024"/>
  </r>
  <r>
    <x v="4"/>
    <s v="Eli"/>
    <n v="9"/>
    <x v="1"/>
    <s v="Xavier Legette"/>
    <x v="66"/>
    <n v="2024"/>
  </r>
  <r>
    <x v="4"/>
    <s v="Eli"/>
    <n v="9"/>
    <x v="1"/>
    <s v="DJ Moore"/>
    <x v="128"/>
    <n v="2024"/>
  </r>
  <r>
    <x v="4"/>
    <s v="Eli"/>
    <n v="9"/>
    <x v="2"/>
    <s v="Bijan Robinson"/>
    <x v="72"/>
    <n v="2024"/>
  </r>
  <r>
    <x v="4"/>
    <s v="Eli"/>
    <n v="9"/>
    <x v="2"/>
    <s v="Roschon Johnson"/>
    <x v="115"/>
    <n v="2024"/>
  </r>
  <r>
    <x v="4"/>
    <s v="Eli"/>
    <n v="9"/>
    <x v="3"/>
    <s v="David Njoku"/>
    <x v="167"/>
    <n v="2024"/>
  </r>
  <r>
    <x v="4"/>
    <s v="Eli"/>
    <n v="9"/>
    <x v="5"/>
    <s v="Tyler Bass"/>
    <x v="49"/>
    <n v="2024"/>
  </r>
  <r>
    <x v="4"/>
    <s v="Eli"/>
    <n v="9"/>
    <x v="4"/>
    <s v="NYJ"/>
    <x v="49"/>
    <n v="2024"/>
  </r>
  <r>
    <x v="4"/>
    <s v="Eli"/>
    <n v="9"/>
    <x v="8"/>
    <s v="Kyle Pitts"/>
    <x v="70"/>
    <n v="2024"/>
  </r>
  <r>
    <x v="9"/>
    <s v="Tommy"/>
    <n v="9"/>
    <x v="0"/>
    <s v="Josh Allen"/>
    <x v="335"/>
    <n v="2024"/>
  </r>
  <r>
    <x v="9"/>
    <s v="Tommy"/>
    <n v="9"/>
    <x v="1"/>
    <s v="Malik Nabers"/>
    <x v="316"/>
    <n v="2024"/>
  </r>
  <r>
    <x v="9"/>
    <s v="Tommy"/>
    <n v="9"/>
    <x v="1"/>
    <s v="Romeo Doubs"/>
    <x v="245"/>
    <n v="2024"/>
  </r>
  <r>
    <x v="9"/>
    <s v="Tommy"/>
    <n v="9"/>
    <x v="1"/>
    <s v="Xavier Worthy"/>
    <x v="284"/>
    <n v="2024"/>
  </r>
  <r>
    <x v="9"/>
    <s v="Tommy"/>
    <n v="9"/>
    <x v="2"/>
    <s v="Saquon Barkley"/>
    <x v="336"/>
    <n v="2024"/>
  </r>
  <r>
    <x v="9"/>
    <s v="Tommy"/>
    <n v="9"/>
    <x v="2"/>
    <s v="Kyren Williams"/>
    <x v="8"/>
    <n v="2024"/>
  </r>
  <r>
    <x v="9"/>
    <s v="Tommy"/>
    <n v="9"/>
    <x v="3"/>
    <s v="Mark Andrews"/>
    <x v="54"/>
    <n v="2024"/>
  </r>
  <r>
    <x v="9"/>
    <s v="Tommy"/>
    <n v="9"/>
    <x v="5"/>
    <s v="Harrison Butker"/>
    <x v="76"/>
    <n v="2024"/>
  </r>
  <r>
    <x v="9"/>
    <s v="Tommy"/>
    <n v="9"/>
    <x v="4"/>
    <s v="Minnesota"/>
    <x v="122"/>
    <n v="2024"/>
  </r>
  <r>
    <x v="9"/>
    <s v="Tommy"/>
    <n v="9"/>
    <x v="7"/>
    <s v="Alexander Mattison"/>
    <x v="54"/>
    <n v="2024"/>
  </r>
  <r>
    <x v="8"/>
    <s v="Schulwolf"/>
    <n v="9"/>
    <x v="0"/>
    <s v="Jayden Daniels"/>
    <x v="337"/>
    <n v="2024"/>
  </r>
  <r>
    <x v="8"/>
    <s v="Schulwolf"/>
    <n v="9"/>
    <x v="1"/>
    <s v="Devonta Smith"/>
    <x v="186"/>
    <n v="2024"/>
  </r>
  <r>
    <x v="8"/>
    <s v="Schulwolf"/>
    <n v="9"/>
    <x v="1"/>
    <s v="Cooper Kupp"/>
    <x v="4"/>
    <n v="2024"/>
  </r>
  <r>
    <x v="8"/>
    <s v="Schulwolf"/>
    <n v="9"/>
    <x v="1"/>
    <s v="Terry McLaurin"/>
    <x v="134"/>
    <n v="2024"/>
  </r>
  <r>
    <x v="8"/>
    <s v="Schulwolf"/>
    <n v="9"/>
    <x v="2"/>
    <s v="Jahmyr Gibbs"/>
    <x v="127"/>
    <n v="2024"/>
  </r>
  <r>
    <x v="8"/>
    <s v="Schulwolf"/>
    <n v="9"/>
    <x v="2"/>
    <s v="James Cook"/>
    <x v="156"/>
    <n v="2024"/>
  </r>
  <r>
    <x v="8"/>
    <s v="Schulwolf"/>
    <n v="9"/>
    <x v="3"/>
    <s v="Dalton Kincaid"/>
    <x v="22"/>
    <n v="2024"/>
  </r>
  <r>
    <x v="8"/>
    <s v="Schulwolf"/>
    <n v="9"/>
    <x v="5"/>
    <s v="Brandon Aubrey"/>
    <x v="24"/>
    <n v="2024"/>
  </r>
  <r>
    <x v="8"/>
    <s v="Schulwolf"/>
    <n v="9"/>
    <x v="4"/>
    <s v="Philadelphia"/>
    <x v="8"/>
    <n v="2024"/>
  </r>
  <r>
    <x v="8"/>
    <s v="Schulwolf"/>
    <n v="9"/>
    <x v="6"/>
    <s v="Tyler Lockett"/>
    <x v="12"/>
    <n v="2024"/>
  </r>
  <r>
    <x v="7"/>
    <s v="Jay"/>
    <n v="9"/>
    <x v="0"/>
    <s v="Lamar Jackson"/>
    <x v="200"/>
    <n v="2024"/>
  </r>
  <r>
    <x v="7"/>
    <s v="Jay"/>
    <n v="9"/>
    <x v="1"/>
    <s v="Quentin Johnston"/>
    <x v="109"/>
    <n v="2024"/>
  </r>
  <r>
    <x v="7"/>
    <s v="Jay"/>
    <n v="9"/>
    <x v="1"/>
    <s v="Parker Washington"/>
    <x v="90"/>
    <n v="2024"/>
  </r>
  <r>
    <x v="7"/>
    <s v="Jay"/>
    <n v="9"/>
    <x v="1"/>
    <s v="Keon Coleman"/>
    <x v="163"/>
    <n v="2024"/>
  </r>
  <r>
    <x v="7"/>
    <s v="Jay"/>
    <n v="9"/>
    <x v="2"/>
    <s v="Alvin Kamara"/>
    <x v="338"/>
    <n v="2024"/>
  </r>
  <r>
    <x v="7"/>
    <s v="Jay"/>
    <n v="9"/>
    <x v="2"/>
    <s v="Jonathan Taylor"/>
    <x v="223"/>
    <n v="2024"/>
  </r>
  <r>
    <x v="7"/>
    <s v="Jay"/>
    <n v="9"/>
    <x v="3"/>
    <s v="Evan Engram"/>
    <x v="24"/>
    <n v="2024"/>
  </r>
  <r>
    <x v="7"/>
    <s v="Jay"/>
    <n v="9"/>
    <x v="5"/>
    <s v="Ka'imi Fairbairn"/>
    <x v="32"/>
    <n v="2024"/>
  </r>
  <r>
    <x v="7"/>
    <s v="Jay"/>
    <n v="9"/>
    <x v="4"/>
    <s v="Tennessee"/>
    <x v="122"/>
    <n v="2024"/>
  </r>
  <r>
    <x v="7"/>
    <s v="Jay"/>
    <n v="9"/>
    <x v="7"/>
    <s v="Devin Singletary"/>
    <x v="309"/>
    <n v="2024"/>
  </r>
  <r>
    <x v="11"/>
    <s v="Cam"/>
    <n v="9"/>
    <x v="0"/>
    <s v="Joe Burrow"/>
    <x v="339"/>
    <n v="2024"/>
  </r>
  <r>
    <x v="11"/>
    <s v="Cam"/>
    <n v="9"/>
    <x v="1"/>
    <s v="Jakobi Meyers"/>
    <x v="107"/>
    <n v="2024"/>
  </r>
  <r>
    <x v="11"/>
    <s v="Cam"/>
    <n v="9"/>
    <x v="1"/>
    <s v="Ja'Marr Chase"/>
    <x v="280"/>
    <n v="2024"/>
  </r>
  <r>
    <x v="11"/>
    <s v="Cam"/>
    <n v="9"/>
    <x v="1"/>
    <s v="Wan'Dale Robinson"/>
    <x v="52"/>
    <n v="2024"/>
  </r>
  <r>
    <x v="11"/>
    <s v="Cam"/>
    <n v="9"/>
    <x v="2"/>
    <s v="JK Dobbins"/>
    <x v="148"/>
    <n v="2024"/>
  </r>
  <r>
    <x v="11"/>
    <s v="Cam"/>
    <n v="9"/>
    <x v="2"/>
    <s v="D'Andre Swift"/>
    <x v="174"/>
    <n v="2024"/>
  </r>
  <r>
    <x v="11"/>
    <s v="Cam"/>
    <n v="9"/>
    <x v="3"/>
    <s v="Zach Ertz"/>
    <x v="78"/>
    <n v="2024"/>
  </r>
  <r>
    <x v="11"/>
    <s v="Cam"/>
    <n v="9"/>
    <x v="5"/>
    <s v="Chase McLaughlin"/>
    <x v="76"/>
    <n v="2024"/>
  </r>
  <r>
    <x v="11"/>
    <s v="Cam"/>
    <n v="9"/>
    <x v="4"/>
    <s v="Chicago"/>
    <x v="25"/>
    <n v="2024"/>
  </r>
  <r>
    <x v="11"/>
    <s v="Cam"/>
    <n v="9"/>
    <x v="7"/>
    <s v="Aaron Jones"/>
    <x v="208"/>
    <n v="2024"/>
  </r>
  <r>
    <x v="3"/>
    <s v="Kevin"/>
    <n v="9"/>
    <x v="0"/>
    <s v="CJ Stroud"/>
    <x v="340"/>
    <n v="2024"/>
  </r>
  <r>
    <x v="3"/>
    <s v="Kevin"/>
    <n v="9"/>
    <x v="1"/>
    <s v="Jordan Addison"/>
    <x v="38"/>
    <n v="2024"/>
  </r>
  <r>
    <x v="3"/>
    <s v="Kevin"/>
    <n v="9"/>
    <x v="1"/>
    <s v="DeAndre Hopkins"/>
    <x v="341"/>
    <n v="2024"/>
  </r>
  <r>
    <x v="3"/>
    <s v="Kevin"/>
    <n v="9"/>
    <x v="1"/>
    <s v="Marvin Harrison Jr"/>
    <x v="61"/>
    <n v="2024"/>
  </r>
  <r>
    <x v="3"/>
    <s v="Kevin"/>
    <n v="9"/>
    <x v="2"/>
    <s v="Chuba Hubbard"/>
    <x v="342"/>
    <n v="2024"/>
  </r>
  <r>
    <x v="3"/>
    <s v="Kevin"/>
    <n v="9"/>
    <x v="2"/>
    <s v="Joe Mixon"/>
    <x v="248"/>
    <n v="2024"/>
  </r>
  <r>
    <x v="3"/>
    <s v="Kevin"/>
    <n v="9"/>
    <x v="3"/>
    <s v="Hunter Henry"/>
    <x v="74"/>
    <n v="2024"/>
  </r>
  <r>
    <x v="3"/>
    <s v="Kevin"/>
    <n v="9"/>
    <x v="5"/>
    <s v="Justin Tucker"/>
    <x v="138"/>
    <n v="2024"/>
  </r>
  <r>
    <x v="3"/>
    <s v="Kevin"/>
    <n v="9"/>
    <x v="4"/>
    <s v="Cincinnati"/>
    <x v="138"/>
    <n v="2024"/>
  </r>
  <r>
    <x v="3"/>
    <s v="Kevin"/>
    <n v="9"/>
    <x v="6"/>
    <s v="Chris Olave"/>
    <x v="213"/>
    <n v="2024"/>
  </r>
  <r>
    <x v="0"/>
    <s v="Brenton"/>
    <n v="10"/>
    <x v="0"/>
    <s v="Baker Mayfield"/>
    <x v="343"/>
    <n v="2024"/>
  </r>
  <r>
    <x v="0"/>
    <s v="Brenton"/>
    <n v="10"/>
    <x v="1"/>
    <s v="Courtland Sutton"/>
    <x v="101"/>
    <n v="2024"/>
  </r>
  <r>
    <x v="0"/>
    <s v="Brenton"/>
    <n v="10"/>
    <x v="1"/>
    <s v="Tyreek Hill"/>
    <x v="208"/>
    <n v="2024"/>
  </r>
  <r>
    <x v="0"/>
    <s v="Brenton"/>
    <n v="10"/>
    <x v="1"/>
    <s v="Zay Flowers"/>
    <x v="167"/>
    <n v="2024"/>
  </r>
  <r>
    <x v="0"/>
    <s v="Brenton"/>
    <n v="10"/>
    <x v="2"/>
    <s v="Tyrone Tracy"/>
    <x v="134"/>
    <n v="2024"/>
  </r>
  <r>
    <x v="0"/>
    <s v="Brenton"/>
    <n v="10"/>
    <x v="2"/>
    <s v="Christian McCaffrey"/>
    <x v="44"/>
    <n v="2024"/>
  </r>
  <r>
    <x v="0"/>
    <s v="Brenton"/>
    <n v="10"/>
    <x v="3"/>
    <s v="Trey McBride"/>
    <x v="74"/>
    <n v="2024"/>
  </r>
  <r>
    <x v="0"/>
    <s v="Brenton"/>
    <n v="10"/>
    <x v="5"/>
    <s v="Jake Elliott"/>
    <x v="8"/>
    <n v="2024"/>
  </r>
  <r>
    <x v="0"/>
    <s v="Brenton"/>
    <n v="10"/>
    <x v="4"/>
    <s v="NY Giants"/>
    <x v="7"/>
    <n v="2024"/>
  </r>
  <r>
    <x v="0"/>
    <s v="Brenton"/>
    <n v="10"/>
    <x v="7"/>
    <s v="Javonte Williams"/>
    <x v="344"/>
    <n v="2024"/>
  </r>
  <r>
    <x v="5"/>
    <s v="Burnett/Jasjaap"/>
    <n v="10"/>
    <x v="0"/>
    <s v="Brock Purdy"/>
    <x v="110"/>
    <n v="2024"/>
  </r>
  <r>
    <x v="5"/>
    <s v="Burnett/Jasjaap"/>
    <n v="10"/>
    <x v="1"/>
    <s v="Puka Nacua"/>
    <x v="130"/>
    <n v="2024"/>
  </r>
  <r>
    <x v="5"/>
    <s v="Burnett/Jasjaap"/>
    <n v="10"/>
    <x v="1"/>
    <s v="Jaylen Waddle"/>
    <x v="108"/>
    <n v="2024"/>
  </r>
  <r>
    <x v="5"/>
    <s v="Burnett/Jasjaap"/>
    <n v="10"/>
    <x v="1"/>
    <s v="Ricky Pearsall"/>
    <x v="259"/>
    <n v="2024"/>
  </r>
  <r>
    <x v="5"/>
    <s v="Burnett/Jasjaap"/>
    <n v="10"/>
    <x v="2"/>
    <s v="David Montgomery"/>
    <x v="324"/>
    <n v="2024"/>
  </r>
  <r>
    <x v="5"/>
    <s v="Burnett/Jasjaap"/>
    <n v="10"/>
    <x v="2"/>
    <s v="Rico Dowdle"/>
    <x v="108"/>
    <n v="2024"/>
  </r>
  <r>
    <x v="5"/>
    <s v="Burnett/Jasjaap"/>
    <n v="10"/>
    <x v="3"/>
    <s v="Cole Kmet"/>
    <x v="98"/>
    <n v="2024"/>
  </r>
  <r>
    <x v="5"/>
    <s v="Burnett/Jasjaap"/>
    <n v="10"/>
    <x v="5"/>
    <s v="Jake Bates"/>
    <x v="122"/>
    <n v="2024"/>
  </r>
  <r>
    <x v="5"/>
    <s v="Burnett/Jasjaap"/>
    <n v="10"/>
    <x v="4"/>
    <s v="Kansas City"/>
    <x v="25"/>
    <n v="2024"/>
  </r>
  <r>
    <x v="5"/>
    <s v="Burnett/Jasjaap"/>
    <n v="10"/>
    <x v="6"/>
    <s v="CeeDee Lamb"/>
    <x v="167"/>
    <n v="2024"/>
  </r>
  <r>
    <x v="2"/>
    <s v="Mike"/>
    <n v="10"/>
    <x v="0"/>
    <s v="Patrick Mahomes"/>
    <x v="345"/>
    <n v="2024"/>
  </r>
  <r>
    <x v="2"/>
    <s v="Mike"/>
    <n v="10"/>
    <x v="1"/>
    <s v="Khalil Shakir"/>
    <x v="48"/>
    <n v="2024"/>
  </r>
  <r>
    <x v="2"/>
    <s v="Mike"/>
    <n v="10"/>
    <x v="1"/>
    <s v="Davante Adams"/>
    <x v="289"/>
    <n v="2024"/>
  </r>
  <r>
    <x v="2"/>
    <s v="Mike"/>
    <n v="10"/>
    <x v="1"/>
    <s v="Tank Dell"/>
    <x v="225"/>
    <n v="2024"/>
  </r>
  <r>
    <x v="2"/>
    <s v="Mike"/>
    <n v="10"/>
    <x v="2"/>
    <s v="Chase Brown"/>
    <x v="81"/>
    <n v="2024"/>
  </r>
  <r>
    <x v="2"/>
    <s v="Mike"/>
    <n v="10"/>
    <x v="2"/>
    <s v="Derrick Henry"/>
    <x v="38"/>
    <n v="2024"/>
  </r>
  <r>
    <x v="2"/>
    <s v="Mike"/>
    <n v="10"/>
    <x v="3"/>
    <s v="Sam LaPorta"/>
    <x v="127"/>
    <n v="2024"/>
  </r>
  <r>
    <x v="2"/>
    <s v="Mike"/>
    <n v="10"/>
    <x v="5"/>
    <s v="Younghoe Koo"/>
    <x v="7"/>
    <n v="2024"/>
  </r>
  <r>
    <x v="2"/>
    <s v="Mike"/>
    <n v="10"/>
    <x v="4"/>
    <s v="Buffalo"/>
    <x v="72"/>
    <n v="2024"/>
  </r>
  <r>
    <x v="2"/>
    <s v="Mike"/>
    <n v="10"/>
    <x v="7"/>
    <s v="Kareem Hunt"/>
    <x v="201"/>
    <n v="2024"/>
  </r>
  <r>
    <x v="6"/>
    <s v="Will"/>
    <n v="10"/>
    <x v="0"/>
    <s v="Caleb Williams"/>
    <x v="149"/>
    <n v="2024"/>
  </r>
  <r>
    <x v="6"/>
    <s v="Will"/>
    <n v="10"/>
    <x v="1"/>
    <s v="Drake London"/>
    <x v="44"/>
    <n v="2024"/>
  </r>
  <r>
    <x v="6"/>
    <s v="Will"/>
    <n v="10"/>
    <x v="1"/>
    <s v="Amon-Ra St. Brown"/>
    <x v="63"/>
    <n v="2024"/>
  </r>
  <r>
    <x v="6"/>
    <s v="Will"/>
    <n v="10"/>
    <x v="1"/>
    <s v="Josh Downs"/>
    <x v="252"/>
    <n v="2024"/>
  </r>
  <r>
    <x v="6"/>
    <s v="Will"/>
    <n v="10"/>
    <x v="2"/>
    <s v="Austin Ekeler"/>
    <x v="159"/>
    <n v="2024"/>
  </r>
  <r>
    <x v="6"/>
    <s v="Will"/>
    <n v="10"/>
    <x v="2"/>
    <s v="Tony Pollard"/>
    <x v="112"/>
    <n v="2024"/>
  </r>
  <r>
    <x v="6"/>
    <s v="Will"/>
    <n v="10"/>
    <x v="3"/>
    <s v="Travis Kelce"/>
    <x v="64"/>
    <n v="2024"/>
  </r>
  <r>
    <x v="6"/>
    <s v="Will"/>
    <n v="10"/>
    <x v="5"/>
    <s v="Jake Moody"/>
    <x v="8"/>
    <n v="2024"/>
  </r>
  <r>
    <x v="6"/>
    <s v="Will"/>
    <n v="10"/>
    <x v="4"/>
    <s v="Houston"/>
    <x v="24"/>
    <n v="2024"/>
  </r>
  <r>
    <x v="6"/>
    <s v="Will"/>
    <n v="10"/>
    <x v="6"/>
    <s v="Ladd McConkey"/>
    <x v="45"/>
    <n v="2024"/>
  </r>
  <r>
    <x v="1"/>
    <s v="Todd"/>
    <n v="10"/>
    <x v="0"/>
    <s v="Sam Darnold"/>
    <x v="346"/>
    <n v="2024"/>
  </r>
  <r>
    <x v="1"/>
    <s v="Todd"/>
    <n v="10"/>
    <x v="1"/>
    <s v="AJ Brown"/>
    <x v="267"/>
    <n v="2024"/>
  </r>
  <r>
    <x v="1"/>
    <s v="Todd"/>
    <n v="10"/>
    <x v="1"/>
    <s v="Darnell Mooney"/>
    <x v="324"/>
    <n v="2024"/>
  </r>
  <r>
    <x v="1"/>
    <s v="Todd"/>
    <n v="10"/>
    <x v="1"/>
    <s v="Deebo Samuel"/>
    <x v="55"/>
    <n v="2024"/>
  </r>
  <r>
    <x v="1"/>
    <s v="Todd"/>
    <n v="10"/>
    <x v="2"/>
    <s v="James Conner"/>
    <x v="209"/>
    <n v="2024"/>
  </r>
  <r>
    <x v="1"/>
    <s v="Todd"/>
    <n v="10"/>
    <x v="2"/>
    <s v="De'Von Achane"/>
    <x v="322"/>
    <n v="2024"/>
  </r>
  <r>
    <x v="1"/>
    <s v="Todd"/>
    <n v="10"/>
    <x v="3"/>
    <s v="Mike Gesicki"/>
    <x v="103"/>
    <n v="2024"/>
  </r>
  <r>
    <x v="1"/>
    <s v="Todd"/>
    <n v="10"/>
    <x v="5"/>
    <s v="Chris Boswell"/>
    <x v="16"/>
    <n v="2024"/>
  </r>
  <r>
    <x v="1"/>
    <s v="Todd"/>
    <n v="10"/>
    <x v="4"/>
    <s v="Atlanta"/>
    <x v="146"/>
    <n v="2024"/>
  </r>
  <r>
    <x v="1"/>
    <s v="Todd"/>
    <n v="10"/>
    <x v="6"/>
    <s v="Brian Thomas Jr"/>
    <x v="37"/>
    <n v="2024"/>
  </r>
  <r>
    <x v="3"/>
    <s v="Kevin"/>
    <n v="10"/>
    <x v="0"/>
    <s v="CJ Stroud"/>
    <x v="347"/>
    <n v="2024"/>
  </r>
  <r>
    <x v="3"/>
    <s v="Kevin"/>
    <n v="10"/>
    <x v="1"/>
    <s v="Marvin Harrison Jr"/>
    <x v="35"/>
    <n v="2024"/>
  </r>
  <r>
    <x v="3"/>
    <s v="Kevin"/>
    <n v="10"/>
    <x v="1"/>
    <s v="George Pickens"/>
    <x v="72"/>
    <n v="2024"/>
  </r>
  <r>
    <x v="3"/>
    <s v="Kevin"/>
    <n v="10"/>
    <x v="1"/>
    <s v="DeAndre Hopkins"/>
    <x v="287"/>
    <n v="2024"/>
  </r>
  <r>
    <x v="3"/>
    <s v="Kevin"/>
    <n v="10"/>
    <x v="2"/>
    <s v="Chuba Hubbard"/>
    <x v="348"/>
    <n v="2024"/>
  </r>
  <r>
    <x v="3"/>
    <s v="Kevin"/>
    <n v="10"/>
    <x v="2"/>
    <s v="Joe Mixon"/>
    <x v="101"/>
    <n v="2024"/>
  </r>
  <r>
    <x v="3"/>
    <s v="Kevin"/>
    <n v="10"/>
    <x v="3"/>
    <s v="Hunter Henry"/>
    <x v="160"/>
    <n v="2024"/>
  </r>
  <r>
    <x v="3"/>
    <s v="Kevin"/>
    <n v="10"/>
    <x v="5"/>
    <s v="Justin Tucker"/>
    <x v="139"/>
    <n v="2024"/>
  </r>
  <r>
    <x v="3"/>
    <s v="Kevin"/>
    <n v="10"/>
    <x v="4"/>
    <s v="LA Rams"/>
    <x v="32"/>
    <n v="2024"/>
  </r>
  <r>
    <x v="3"/>
    <s v="Kevin"/>
    <n v="10"/>
    <x v="7"/>
    <s v="Najee Harris"/>
    <x v="349"/>
    <n v="2024"/>
  </r>
  <r>
    <x v="4"/>
    <s v="Eli"/>
    <n v="10"/>
    <x v="0"/>
    <s v="Jalen Hurts"/>
    <x v="350"/>
    <n v="2024"/>
  </r>
  <r>
    <x v="4"/>
    <s v="Eli"/>
    <n v="10"/>
    <x v="1"/>
    <s v="Justin Jefferson"/>
    <x v="170"/>
    <n v="2024"/>
  </r>
  <r>
    <x v="4"/>
    <s v="Eli"/>
    <n v="10"/>
    <x v="1"/>
    <s v="Xavier Legette"/>
    <x v="6"/>
    <n v="2024"/>
  </r>
  <r>
    <x v="4"/>
    <s v="Eli"/>
    <n v="10"/>
    <x v="1"/>
    <s v="DJ Moore"/>
    <x v="91"/>
    <n v="2024"/>
  </r>
  <r>
    <x v="4"/>
    <s v="Eli"/>
    <n v="10"/>
    <x v="2"/>
    <s v="Bijan Robinson"/>
    <x v="351"/>
    <n v="2024"/>
  </r>
  <r>
    <x v="4"/>
    <s v="Eli"/>
    <n v="10"/>
    <x v="2"/>
    <s v="Tyjae Spears"/>
    <x v="249"/>
    <n v="2024"/>
  </r>
  <r>
    <x v="4"/>
    <s v="Eli"/>
    <n v="10"/>
    <x v="3"/>
    <s v="Kyle Pitts"/>
    <x v="36"/>
    <n v="2024"/>
  </r>
  <r>
    <x v="4"/>
    <s v="Eli"/>
    <n v="10"/>
    <x v="5"/>
    <s v="Tyler Bass"/>
    <x v="49"/>
    <n v="2024"/>
  </r>
  <r>
    <x v="4"/>
    <s v="Eli"/>
    <n v="10"/>
    <x v="4"/>
    <s v="NYJ"/>
    <x v="246"/>
    <n v="2024"/>
  </r>
  <r>
    <x v="4"/>
    <s v="Eli"/>
    <n v="10"/>
    <x v="6"/>
    <s v="Rome Odunze"/>
    <x v="154"/>
    <n v="2024"/>
  </r>
  <r>
    <x v="8"/>
    <s v="Schulwolf"/>
    <n v="10"/>
    <x v="0"/>
    <s v="Jayden Daniels"/>
    <x v="352"/>
    <n v="2024"/>
  </r>
  <r>
    <x v="8"/>
    <s v="Schulwolf"/>
    <n v="10"/>
    <x v="1"/>
    <s v="Terry McLaurin"/>
    <x v="12"/>
    <n v="2024"/>
  </r>
  <r>
    <x v="8"/>
    <s v="Schulwolf"/>
    <n v="10"/>
    <x v="1"/>
    <s v="Cooper Kupp"/>
    <x v="253"/>
    <n v="2024"/>
  </r>
  <r>
    <x v="8"/>
    <s v="Schulwolf"/>
    <n v="10"/>
    <x v="1"/>
    <s v="Devonta Smith"/>
    <x v="61"/>
    <n v="2024"/>
  </r>
  <r>
    <x v="8"/>
    <s v="Schulwolf"/>
    <n v="10"/>
    <x v="2"/>
    <s v="James Cook"/>
    <x v="63"/>
    <n v="2024"/>
  </r>
  <r>
    <x v="8"/>
    <s v="Schulwolf"/>
    <n v="10"/>
    <x v="2"/>
    <s v="Jahmyr Gibbs"/>
    <x v="69"/>
    <n v="2024"/>
  </r>
  <r>
    <x v="8"/>
    <s v="Schulwolf"/>
    <n v="10"/>
    <x v="3"/>
    <s v="Dalton Kincaid"/>
    <x v="232"/>
    <n v="2024"/>
  </r>
  <r>
    <x v="8"/>
    <s v="Schulwolf"/>
    <n v="10"/>
    <x v="5"/>
    <s v="Brandon Aubrey"/>
    <x v="76"/>
    <n v="2024"/>
  </r>
  <r>
    <x v="8"/>
    <s v="Schulwolf"/>
    <n v="10"/>
    <x v="4"/>
    <s v="Philadelphia"/>
    <x v="33"/>
    <n v="2024"/>
  </r>
  <r>
    <x v="8"/>
    <s v="Schulwolf"/>
    <n v="10"/>
    <x v="7"/>
    <s v="Ray Davis"/>
    <x v="353"/>
    <n v="2024"/>
  </r>
  <r>
    <x v="10"/>
    <s v="Brand"/>
    <n v="10"/>
    <x v="0"/>
    <s v="Kirk Cousins"/>
    <x v="354"/>
    <n v="2024"/>
  </r>
  <r>
    <x v="10"/>
    <s v="Brand"/>
    <n v="10"/>
    <x v="1"/>
    <s v="Keenan Allen"/>
    <x v="92"/>
    <n v="2024"/>
  </r>
  <r>
    <x v="10"/>
    <s v="Brand"/>
    <n v="10"/>
    <x v="1"/>
    <s v="Garrett Wilson"/>
    <x v="249"/>
    <n v="2024"/>
  </r>
  <r>
    <x v="10"/>
    <s v="Brand"/>
    <n v="10"/>
    <x v="1"/>
    <s v="Jameson Williams"/>
    <x v="283"/>
    <n v="2024"/>
  </r>
  <r>
    <x v="10"/>
    <s v="Brand"/>
    <n v="10"/>
    <x v="2"/>
    <s v="Bucky Irving"/>
    <x v="11"/>
    <n v="2024"/>
  </r>
  <r>
    <x v="10"/>
    <s v="Brand"/>
    <n v="10"/>
    <x v="2"/>
    <s v="Breece Hall"/>
    <x v="204"/>
    <n v="2024"/>
  </r>
  <r>
    <x v="10"/>
    <s v="Brand"/>
    <n v="10"/>
    <x v="3"/>
    <s v="TJ Hockenson"/>
    <x v="174"/>
    <n v="2024"/>
  </r>
  <r>
    <x v="10"/>
    <s v="Brand"/>
    <n v="10"/>
    <x v="5"/>
    <s v="Cameron Dicker"/>
    <x v="24"/>
    <n v="2024"/>
  </r>
  <r>
    <x v="10"/>
    <s v="Brand"/>
    <n v="10"/>
    <x v="4"/>
    <s v="LA Chargers"/>
    <x v="24"/>
    <n v="2024"/>
  </r>
  <r>
    <x v="10"/>
    <s v="Brand"/>
    <n v="10"/>
    <x v="8"/>
    <s v="Taysom Hill"/>
    <x v="25"/>
    <n v="2024"/>
  </r>
  <r>
    <x v="7"/>
    <s v="Jay"/>
    <n v="10"/>
    <x v="0"/>
    <s v="Lamar Jackson"/>
    <x v="355"/>
    <n v="2024"/>
  </r>
  <r>
    <x v="7"/>
    <s v="Jay"/>
    <n v="10"/>
    <x v="1"/>
    <s v="Jauan Jennings"/>
    <x v="233"/>
    <n v="2024"/>
  </r>
  <r>
    <x v="7"/>
    <s v="Jay"/>
    <n v="10"/>
    <x v="1"/>
    <s v="Quentin Johnston"/>
    <x v="156"/>
    <n v="2024"/>
  </r>
  <r>
    <x v="7"/>
    <s v="Jay"/>
    <n v="10"/>
    <x v="1"/>
    <s v="Demarcus Robinson"/>
    <x v="5"/>
    <n v="2024"/>
  </r>
  <r>
    <x v="7"/>
    <s v="Jay"/>
    <n v="10"/>
    <x v="2"/>
    <s v="Alvin Kamara"/>
    <x v="267"/>
    <n v="2024"/>
  </r>
  <r>
    <x v="7"/>
    <s v="Jay"/>
    <n v="10"/>
    <x v="2"/>
    <s v="Jonathan Taylor"/>
    <x v="145"/>
    <n v="2024"/>
  </r>
  <r>
    <x v="7"/>
    <s v="Jay"/>
    <n v="10"/>
    <x v="3"/>
    <s v="Evan Engram"/>
    <x v="76"/>
    <n v="2024"/>
  </r>
  <r>
    <x v="7"/>
    <s v="Jay"/>
    <n v="10"/>
    <x v="5"/>
    <s v="Ka'imi Fairbairn"/>
    <x v="49"/>
    <n v="2024"/>
  </r>
  <r>
    <x v="7"/>
    <s v="Jay"/>
    <n v="10"/>
    <x v="4"/>
    <s v="New England"/>
    <x v="176"/>
    <n v="2024"/>
  </r>
  <r>
    <x v="7"/>
    <s v="Jay"/>
    <n v="10"/>
    <x v="6"/>
    <s v="Sterling Shepard"/>
    <x v="202"/>
    <n v="2024"/>
  </r>
  <r>
    <x v="11"/>
    <s v="Cam"/>
    <n v="10"/>
    <x v="0"/>
    <s v="Joe Burrow"/>
    <x v="356"/>
    <n v="2024"/>
  </r>
  <r>
    <x v="11"/>
    <s v="Cam"/>
    <n v="10"/>
    <x v="1"/>
    <s v="Ja'Marr Chase"/>
    <x v="357"/>
    <n v="2024"/>
  </r>
  <r>
    <x v="11"/>
    <s v="Cam"/>
    <n v="10"/>
    <x v="1"/>
    <s v="Wan'Dale Robinson"/>
    <x v="287"/>
    <n v="2024"/>
  </r>
  <r>
    <x v="11"/>
    <s v="Cam"/>
    <n v="10"/>
    <x v="1"/>
    <s v="Nico Collins"/>
    <x v="146"/>
    <n v="2024"/>
  </r>
  <r>
    <x v="11"/>
    <s v="Cam"/>
    <n v="10"/>
    <x v="2"/>
    <s v="Aaron Jones"/>
    <x v="43"/>
    <n v="2024"/>
  </r>
  <r>
    <x v="11"/>
    <s v="Cam"/>
    <n v="10"/>
    <x v="2"/>
    <s v="JK Dobbins"/>
    <x v="76"/>
    <n v="2024"/>
  </r>
  <r>
    <x v="11"/>
    <s v="Cam"/>
    <n v="10"/>
    <x v="3"/>
    <s v="George Kittle"/>
    <x v="145"/>
    <n v="2024"/>
  </r>
  <r>
    <x v="11"/>
    <s v="Cam"/>
    <n v="10"/>
    <x v="5"/>
    <s v="Evan McPherson"/>
    <x v="16"/>
    <n v="2024"/>
  </r>
  <r>
    <x v="11"/>
    <s v="Cam"/>
    <n v="10"/>
    <x v="4"/>
    <s v="Chicago"/>
    <x v="7"/>
    <n v="2024"/>
  </r>
  <r>
    <x v="11"/>
    <s v="Cam"/>
    <n v="10"/>
    <x v="7"/>
    <s v="D'Andre Swift"/>
    <x v="76"/>
    <n v="2024"/>
  </r>
  <r>
    <x v="9"/>
    <s v="Tommy"/>
    <n v="10"/>
    <x v="0"/>
    <s v="Josh Allen"/>
    <x v="185"/>
    <n v="2024"/>
  </r>
  <r>
    <x v="9"/>
    <s v="Tommy"/>
    <n v="10"/>
    <x v="1"/>
    <s v="Malik Nabers"/>
    <x v="280"/>
    <n v="2024"/>
  </r>
  <r>
    <x v="9"/>
    <s v="Tommy"/>
    <n v="10"/>
    <x v="1"/>
    <s v="Michael Wilson"/>
    <x v="132"/>
    <n v="2024"/>
  </r>
  <r>
    <x v="9"/>
    <s v="Tommy"/>
    <n v="10"/>
    <x v="1"/>
    <s v="Xavier Worthy"/>
    <x v="70"/>
    <n v="2024"/>
  </r>
  <r>
    <x v="9"/>
    <s v="Tommy"/>
    <n v="10"/>
    <x v="2"/>
    <s v="Saquon Barkley"/>
    <x v="112"/>
    <n v="2024"/>
  </r>
  <r>
    <x v="9"/>
    <s v="Tommy"/>
    <n v="10"/>
    <x v="2"/>
    <s v="Kyren Williams"/>
    <x v="161"/>
    <n v="2024"/>
  </r>
  <r>
    <x v="9"/>
    <s v="Tommy"/>
    <n v="10"/>
    <x v="3"/>
    <s v="Mark Andrews"/>
    <x v="47"/>
    <n v="2024"/>
  </r>
  <r>
    <x v="9"/>
    <s v="Tommy"/>
    <n v="10"/>
    <x v="5"/>
    <s v="Harrison Butker"/>
    <x v="8"/>
    <n v="2024"/>
  </r>
  <r>
    <x v="9"/>
    <s v="Tommy"/>
    <n v="10"/>
    <x v="4"/>
    <s v="Minnesota"/>
    <x v="101"/>
    <n v="2024"/>
  </r>
  <r>
    <x v="9"/>
    <s v="Tommy"/>
    <n v="10"/>
    <x v="8"/>
    <s v="Cade Otton"/>
    <x v="25"/>
    <n v="2024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1284">
  <r>
    <x v="0"/>
    <s v="Brenton"/>
    <n v="1"/>
    <x v="0"/>
    <s v="Trevor Lawrence"/>
    <n v="11.28"/>
    <n v="2024"/>
  </r>
  <r>
    <x v="0"/>
    <s v="Brenton"/>
    <n v="1"/>
    <x v="1"/>
    <s v="Jayden Reed"/>
    <n v="31.1"/>
    <n v="2024"/>
  </r>
  <r>
    <x v="0"/>
    <s v="Brenton"/>
    <n v="1"/>
    <x v="1"/>
    <s v="Tyreek Hill"/>
    <n v="22.5"/>
    <n v="2024"/>
  </r>
  <r>
    <x v="0"/>
    <s v="Brenton"/>
    <n v="1"/>
    <x v="1"/>
    <s v="Zay Flowers"/>
    <n v="8.1"/>
    <n v="2024"/>
  </r>
  <r>
    <x v="0"/>
    <s v="Brenton"/>
    <n v="1"/>
    <x v="2"/>
    <s v="Jerome Ford"/>
    <n v="15.9"/>
    <n v="2024"/>
  </r>
  <r>
    <x v="0"/>
    <s v="Brenton"/>
    <n v="1"/>
    <x v="2"/>
    <s v="Javonte Williams"/>
    <n v="2.8"/>
    <n v="2024"/>
  </r>
  <r>
    <x v="0"/>
    <s v="Brenton"/>
    <n v="1"/>
    <x v="3"/>
    <s v="Trey McBride"/>
    <n v="5.5"/>
    <n v="2024"/>
  </r>
  <r>
    <x v="0"/>
    <s v="Brenton"/>
    <n v="1"/>
    <x v="4"/>
    <s v="Cincinnati"/>
    <n v="3"/>
    <n v="2024"/>
  </r>
  <r>
    <x v="0"/>
    <s v="Brenton"/>
    <n v="1"/>
    <x v="5"/>
    <s v="Tyler Bass"/>
    <n v="10"/>
    <n v="2024"/>
  </r>
  <r>
    <x v="1"/>
    <s v="Todd"/>
    <n v="1"/>
    <x v="0"/>
    <s v="Dak Prescott"/>
    <n v="11.46"/>
    <n v="2024"/>
  </r>
  <r>
    <x v="1"/>
    <s v="Todd"/>
    <n v="1"/>
    <x v="1"/>
    <s v="AJ Brown"/>
    <n v="20.399999999999999"/>
    <n v="2024"/>
  </r>
  <r>
    <x v="1"/>
    <s v="Todd"/>
    <n v="1"/>
    <x v="1"/>
    <s v="Deebo Samuel"/>
    <n v="16.2"/>
    <n v="2024"/>
  </r>
  <r>
    <x v="1"/>
    <s v="Todd"/>
    <n v="1"/>
    <x v="1"/>
    <s v="Rashee Rice"/>
    <n v="13.8"/>
    <n v="2024"/>
  </r>
  <r>
    <x v="1"/>
    <s v="Todd"/>
    <n v="1"/>
    <x v="2"/>
    <s v="De'Von Achane"/>
    <n v="19.5"/>
    <n v="2024"/>
  </r>
  <r>
    <x v="1"/>
    <s v="Todd"/>
    <n v="1"/>
    <x v="2"/>
    <s v="James Conner"/>
    <n v="17.8"/>
    <n v="2024"/>
  </r>
  <r>
    <x v="1"/>
    <s v="Todd"/>
    <n v="1"/>
    <x v="3"/>
    <s v="Pat Freiermuth"/>
    <n v="4.7"/>
    <n v="2024"/>
  </r>
  <r>
    <x v="1"/>
    <s v="Todd"/>
    <n v="1"/>
    <x v="4"/>
    <s v="Seattle"/>
    <n v="10"/>
    <n v="2024"/>
  </r>
  <r>
    <x v="1"/>
    <s v="Todd"/>
    <n v="1"/>
    <x v="5"/>
    <s v="Younghoe Koo"/>
    <n v="4"/>
    <n v="2024"/>
  </r>
  <r>
    <x v="2"/>
    <s v="Mike"/>
    <n v="1"/>
    <x v="0"/>
    <s v="Patrick Mahomes"/>
    <n v="14.64"/>
    <n v="2024"/>
  </r>
  <r>
    <x v="2"/>
    <s v="Mike"/>
    <n v="1"/>
    <x v="1"/>
    <s v="Davante Adams"/>
    <n v="8.4"/>
    <n v="2024"/>
  </r>
  <r>
    <x v="2"/>
    <s v="Mike"/>
    <n v="1"/>
    <x v="1"/>
    <s v="Mike Evans"/>
    <n v="20.6"/>
    <n v="2024"/>
  </r>
  <r>
    <x v="2"/>
    <s v="Mike"/>
    <n v="1"/>
    <x v="1"/>
    <s v="Khalil Shakir"/>
    <n v="11.7"/>
    <n v="2024"/>
  </r>
  <r>
    <x v="2"/>
    <s v="Mike"/>
    <n v="1"/>
    <x v="2"/>
    <s v="Derrick Henry"/>
    <n v="10.6"/>
    <n v="2024"/>
  </r>
  <r>
    <x v="2"/>
    <s v="Mike"/>
    <n v="1"/>
    <x v="2"/>
    <s v="Tyjae Spears"/>
    <n v="5.2"/>
    <n v="2024"/>
  </r>
  <r>
    <x v="2"/>
    <s v="Mike"/>
    <n v="1"/>
    <x v="3"/>
    <s v="Sam LaPorta"/>
    <n v="6.5"/>
    <n v="2024"/>
  </r>
  <r>
    <x v="2"/>
    <s v="Mike"/>
    <n v="1"/>
    <x v="5"/>
    <s v="Jason Sanders"/>
    <n v="9"/>
    <n v="2024"/>
  </r>
  <r>
    <x v="2"/>
    <s v="Mike"/>
    <n v="1"/>
    <x v="4"/>
    <s v="Buffalo"/>
    <n v="6"/>
    <n v="2024"/>
  </r>
  <r>
    <x v="3"/>
    <s v="Kevin"/>
    <n v="1"/>
    <x v="0"/>
    <s v="CJ Stroud"/>
    <n v="18.66"/>
    <n v="2024"/>
  </r>
  <r>
    <x v="3"/>
    <s v="Kevin"/>
    <n v="1"/>
    <x v="1"/>
    <s v="George Pickens"/>
    <n v="10.5"/>
    <n v="2024"/>
  </r>
  <r>
    <x v="3"/>
    <s v="Kevin"/>
    <n v="1"/>
    <x v="1"/>
    <s v="Chris Olave"/>
    <n v="2.1"/>
    <n v="2024"/>
  </r>
  <r>
    <x v="3"/>
    <s v="Kevin"/>
    <n v="1"/>
    <x v="1"/>
    <s v="Marvin Harrison Jr"/>
    <n v="0.9"/>
    <n v="2024"/>
  </r>
  <r>
    <x v="3"/>
    <s v="Kevin"/>
    <n v="1"/>
    <x v="2"/>
    <s v="Joe Mixon"/>
    <n v="25.3"/>
    <n v="2024"/>
  </r>
  <r>
    <x v="3"/>
    <s v="Kevin"/>
    <n v="1"/>
    <x v="2"/>
    <s v="Isiah Pacheco"/>
    <n v="14.8"/>
    <n v="2024"/>
  </r>
  <r>
    <x v="3"/>
    <s v="Kevin"/>
    <n v="1"/>
    <x v="3"/>
    <s v="Hunter Henry"/>
    <n v="2.8"/>
    <n v="2024"/>
  </r>
  <r>
    <x v="3"/>
    <s v="Kevin"/>
    <n v="1"/>
    <x v="5"/>
    <s v="Justin Tucker"/>
    <n v="8"/>
    <n v="2024"/>
  </r>
  <r>
    <x v="3"/>
    <s v="Kevin"/>
    <n v="1"/>
    <x v="4"/>
    <s v="Minnesota"/>
    <n v="23"/>
    <n v="2024"/>
  </r>
  <r>
    <x v="4"/>
    <s v="Eli"/>
    <n v="1"/>
    <x v="0"/>
    <s v="Jalen Hurts"/>
    <n v="16.420000000000002"/>
    <n v="2024"/>
  </r>
  <r>
    <x v="4"/>
    <s v="Eli"/>
    <n v="1"/>
    <x v="1"/>
    <s v="Justin Jefferson"/>
    <n v="13.9"/>
    <n v="2024"/>
  </r>
  <r>
    <x v="4"/>
    <s v="Eli"/>
    <n v="1"/>
    <x v="1"/>
    <s v="DJ Moore"/>
    <n v="7.5"/>
    <n v="2024"/>
  </r>
  <r>
    <x v="4"/>
    <s v="Eli"/>
    <n v="1"/>
    <x v="1"/>
    <s v="DeMario Douglas"/>
    <n v="2.2000000000000002"/>
    <n v="2024"/>
  </r>
  <r>
    <x v="4"/>
    <s v="Eli"/>
    <n v="1"/>
    <x v="2"/>
    <s v="Bijan Robinson"/>
    <n v="13.6"/>
    <n v="2024"/>
  </r>
  <r>
    <x v="4"/>
    <s v="Eli"/>
    <n v="1"/>
    <x v="2"/>
    <s v="Jaylen Warren"/>
    <n v="3"/>
    <n v="2024"/>
  </r>
  <r>
    <x v="4"/>
    <s v="Eli"/>
    <n v="1"/>
    <x v="3"/>
    <s v="David Njoku"/>
    <n v="6.4"/>
    <n v="2024"/>
  </r>
  <r>
    <x v="4"/>
    <s v="Eli"/>
    <n v="1"/>
    <x v="5"/>
    <s v="Jake Moody"/>
    <n v="26"/>
    <n v="2024"/>
  </r>
  <r>
    <x v="4"/>
    <s v="Eli"/>
    <n v="1"/>
    <x v="4"/>
    <s v="NYJ"/>
    <n v="-2"/>
    <n v="2024"/>
  </r>
  <r>
    <x v="5"/>
    <s v="Burnett/Jasjaap"/>
    <n v="1"/>
    <x v="0"/>
    <s v="Brock Purdy"/>
    <n v="10.34"/>
    <n v="2024"/>
  </r>
  <r>
    <x v="5"/>
    <s v="Burnett/Jasjaap"/>
    <n v="1"/>
    <x v="1"/>
    <s v="CeeDee Lamb"/>
    <n v="11.1"/>
    <n v="2024"/>
  </r>
  <r>
    <x v="5"/>
    <s v="Burnett/Jasjaap"/>
    <n v="1"/>
    <x v="1"/>
    <s v="Jaylen Waddle"/>
    <n v="13.7"/>
    <n v="2024"/>
  </r>
  <r>
    <x v="5"/>
    <s v="Burnett/Jasjaap"/>
    <n v="1"/>
    <x v="1"/>
    <s v="Puka Nacua"/>
    <n v="6.2"/>
    <n v="2024"/>
  </r>
  <r>
    <x v="5"/>
    <s v="Burnett/Jasjaap"/>
    <n v="1"/>
    <x v="2"/>
    <s v="Josh Jacobs"/>
    <n v="11.4"/>
    <n v="2024"/>
  </r>
  <r>
    <x v="5"/>
    <s v="Burnett/Jasjaap"/>
    <n v="1"/>
    <x v="2"/>
    <s v="David Montgomery"/>
    <n v="15.8"/>
    <n v="2024"/>
  </r>
  <r>
    <x v="5"/>
    <s v="Burnett/Jasjaap"/>
    <n v="1"/>
    <x v="3"/>
    <s v="Brock Bowers"/>
    <n v="8.8000000000000007"/>
    <n v="2024"/>
  </r>
  <r>
    <x v="5"/>
    <s v="Burnett/Jasjaap"/>
    <n v="1"/>
    <x v="5"/>
    <s v="Jake Elliott"/>
    <n v="10"/>
    <n v="2024"/>
  </r>
  <r>
    <x v="5"/>
    <s v="Burnett/Jasjaap"/>
    <n v="1"/>
    <x v="4"/>
    <s v="Pittsburgh"/>
    <n v="13"/>
    <n v="2024"/>
  </r>
  <r>
    <x v="6"/>
    <s v="Will"/>
    <n v="1"/>
    <x v="0"/>
    <s v="Caleb Williams"/>
    <n v="7.22"/>
    <n v="2024"/>
  </r>
  <r>
    <x v="6"/>
    <s v="Will"/>
    <n v="1"/>
    <x v="1"/>
    <s v="Ladd McConkey"/>
    <n v="12.4"/>
    <n v="2024"/>
  </r>
  <r>
    <x v="6"/>
    <s v="Will"/>
    <n v="1"/>
    <x v="1"/>
    <s v="Amon-Ra St. Brown"/>
    <n v="2.8"/>
    <n v="2024"/>
  </r>
  <r>
    <x v="6"/>
    <s v="Will"/>
    <n v="1"/>
    <x v="1"/>
    <s v="Drake London"/>
    <n v="2.5"/>
    <n v="2024"/>
  </r>
  <r>
    <x v="6"/>
    <s v="Will"/>
    <n v="1"/>
    <x v="2"/>
    <s v="Travis Etienne"/>
    <n v="10.9"/>
    <n v="2024"/>
  </r>
  <r>
    <x v="6"/>
    <s v="Will"/>
    <n v="1"/>
    <x v="2"/>
    <s v="Zamir White"/>
    <n v="3.6"/>
    <n v="2024"/>
  </r>
  <r>
    <x v="6"/>
    <s v="Will"/>
    <n v="1"/>
    <x v="3"/>
    <s v="Kyle Pitts"/>
    <n v="10.1"/>
    <n v="2024"/>
  </r>
  <r>
    <x v="6"/>
    <s v="Will"/>
    <n v="1"/>
    <x v="5"/>
    <s v="Jason Myers"/>
    <n v="10"/>
    <n v="2024"/>
  </r>
  <r>
    <x v="6"/>
    <s v="Will"/>
    <n v="1"/>
    <x v="4"/>
    <s v="Houston"/>
    <n v="3"/>
    <n v="2024"/>
  </r>
  <r>
    <x v="7"/>
    <s v="Jay"/>
    <n v="1"/>
    <x v="0"/>
    <s v="Lamar Jackson"/>
    <n v="25.12"/>
    <n v="2024"/>
  </r>
  <r>
    <x v="7"/>
    <s v="Jay"/>
    <n v="1"/>
    <x v="1"/>
    <s v="Stefon Diggs"/>
    <n v="18.899999999999999"/>
    <n v="2024"/>
  </r>
  <r>
    <x v="7"/>
    <s v="Jay"/>
    <n v="1"/>
    <x v="1"/>
    <s v="Christian Kirk"/>
    <n v="3.5"/>
    <n v="2024"/>
  </r>
  <r>
    <x v="7"/>
    <s v="Jay"/>
    <n v="1"/>
    <x v="1"/>
    <s v="Amari Cooper"/>
    <n v="2.6"/>
    <n v="2024"/>
  </r>
  <r>
    <x v="7"/>
    <s v="Jay"/>
    <n v="1"/>
    <x v="2"/>
    <s v="Alvin Kamara"/>
    <n v="19.5"/>
    <n v="2024"/>
  </r>
  <r>
    <x v="7"/>
    <s v="Jay"/>
    <n v="1"/>
    <x v="2"/>
    <s v="Jonathan Taylor"/>
    <n v="10.8"/>
    <n v="2024"/>
  </r>
  <r>
    <x v="7"/>
    <s v="Jay"/>
    <n v="1"/>
    <x v="3"/>
    <s v="Mark Andrews"/>
    <n v="2.4"/>
    <n v="2024"/>
  </r>
  <r>
    <x v="7"/>
    <s v="Jay"/>
    <n v="1"/>
    <x v="5"/>
    <s v="Ka'imi Fairbairn"/>
    <n v="17"/>
    <n v="2024"/>
  </r>
  <r>
    <x v="7"/>
    <s v="Jay"/>
    <n v="1"/>
    <x v="4"/>
    <s v="LA Chargers"/>
    <n v="15"/>
    <n v="2024"/>
  </r>
  <r>
    <x v="8"/>
    <s v="Schulwolf"/>
    <n v="1"/>
    <x v="0"/>
    <s v="Jordan Love"/>
    <n v="16.399999999999999"/>
    <n v="2024"/>
  </r>
  <r>
    <x v="8"/>
    <s v="Schulwolf"/>
    <n v="1"/>
    <x v="1"/>
    <s v="Cooper Kupp"/>
    <n v="25"/>
    <n v="2024"/>
  </r>
  <r>
    <x v="8"/>
    <s v="Schulwolf"/>
    <n v="1"/>
    <x v="1"/>
    <s v="DeVonta Smith"/>
    <n v="11.9"/>
    <n v="2024"/>
  </r>
  <r>
    <x v="8"/>
    <s v="Schulwolf"/>
    <n v="1"/>
    <x v="1"/>
    <s v="Chris Godwin"/>
    <n v="18.3"/>
    <n v="2024"/>
  </r>
  <r>
    <x v="8"/>
    <s v="Schulwolf"/>
    <n v="1"/>
    <x v="2"/>
    <s v="Jahmyr Gibbs"/>
    <n v="15.4"/>
    <n v="2024"/>
  </r>
  <r>
    <x v="8"/>
    <s v="Schulwolf"/>
    <n v="1"/>
    <x v="2"/>
    <s v="James Cook"/>
    <n v="11.8"/>
    <n v="2024"/>
  </r>
  <r>
    <x v="8"/>
    <s v="Schulwolf"/>
    <n v="1"/>
    <x v="3"/>
    <s v="Dalton Kincaid"/>
    <n v="1.6"/>
    <n v="2024"/>
  </r>
  <r>
    <x v="8"/>
    <s v="Schulwolf"/>
    <n v="1"/>
    <x v="5"/>
    <s v="Brandon Aubrey"/>
    <n v="21"/>
    <n v="2024"/>
  </r>
  <r>
    <x v="8"/>
    <s v="Schulwolf"/>
    <n v="1"/>
    <x v="4"/>
    <s v="Dallas"/>
    <n v="18"/>
    <n v="2024"/>
  </r>
  <r>
    <x v="9"/>
    <s v="Tommy"/>
    <n v="1"/>
    <x v="0"/>
    <s v="Josh Allen"/>
    <n v="31.18"/>
    <n v="2024"/>
  </r>
  <r>
    <x v="9"/>
    <s v="Tommy"/>
    <n v="1"/>
    <x v="1"/>
    <s v="Malik Nabers"/>
    <n v="9.1"/>
    <n v="2024"/>
  </r>
  <r>
    <x v="9"/>
    <s v="Tommy"/>
    <n v="1"/>
    <x v="1"/>
    <s v="DK Metcalf"/>
    <n v="4.4000000000000004"/>
    <n v="2024"/>
  </r>
  <r>
    <x v="9"/>
    <s v="Tommy"/>
    <n v="1"/>
    <x v="1"/>
    <s v="Romeo Doubs"/>
    <n v="7"/>
    <n v="2024"/>
  </r>
  <r>
    <x v="9"/>
    <s v="Tommy"/>
    <n v="1"/>
    <x v="2"/>
    <s v="Saquon Barkley"/>
    <n v="32.200000000000003"/>
    <n v="2024"/>
  </r>
  <r>
    <x v="9"/>
    <s v="Tommy"/>
    <n v="1"/>
    <x v="2"/>
    <s v="Rachaad White"/>
    <n v="13.6"/>
    <n v="2024"/>
  </r>
  <r>
    <x v="9"/>
    <s v="Tommy"/>
    <n v="1"/>
    <x v="3"/>
    <s v="Evan Engram"/>
    <n v="1"/>
    <n v="2024"/>
  </r>
  <r>
    <x v="9"/>
    <s v="Tommy"/>
    <n v="1"/>
    <x v="5"/>
    <s v="Harrison Butker"/>
    <n v="9"/>
    <n v="2024"/>
  </r>
  <r>
    <x v="9"/>
    <s v="Tommy"/>
    <n v="1"/>
    <x v="4"/>
    <s v="San Francisco"/>
    <n v="7"/>
    <n v="2024"/>
  </r>
  <r>
    <x v="10"/>
    <s v="Brand"/>
    <n v="1"/>
    <x v="0"/>
    <s v="Anthony Richardson"/>
    <n v="26.08"/>
    <n v="2024"/>
  </r>
  <r>
    <x v="10"/>
    <s v="Brand"/>
    <n v="1"/>
    <x v="1"/>
    <s v="Jameson Williams"/>
    <n v="21.9"/>
    <n v="2024"/>
  </r>
  <r>
    <x v="10"/>
    <s v="Brand"/>
    <n v="1"/>
    <x v="1"/>
    <s v="Christian Watson"/>
    <n v="8.8000000000000007"/>
    <n v="2024"/>
  </r>
  <r>
    <x v="10"/>
    <s v="Brand"/>
    <n v="1"/>
    <x v="1"/>
    <s v="Garrett Wilson"/>
    <n v="9"/>
    <n v="2024"/>
  </r>
  <r>
    <x v="10"/>
    <s v="Brand"/>
    <n v="1"/>
    <x v="2"/>
    <s v="Kenneth Walker"/>
    <n v="17.899999999999999"/>
    <n v="2024"/>
  </r>
  <r>
    <x v="10"/>
    <s v="Brand"/>
    <n v="1"/>
    <x v="2"/>
    <s v="Breece Hall"/>
    <n v="15.8"/>
    <n v="2024"/>
  </r>
  <r>
    <x v="10"/>
    <s v="Brand"/>
    <n v="1"/>
    <x v="3"/>
    <s v="Dallas Goedert"/>
    <n v="5.0999999999999996"/>
    <n v="2024"/>
  </r>
  <r>
    <x v="10"/>
    <s v="Brand"/>
    <n v="1"/>
    <x v="5"/>
    <s v="Cairo Santos"/>
    <n v="13"/>
    <n v="2024"/>
  </r>
  <r>
    <x v="10"/>
    <s v="Brand"/>
    <n v="1"/>
    <x v="4"/>
    <s v="New Orleans"/>
    <n v="17"/>
    <n v="2024"/>
  </r>
  <r>
    <x v="11"/>
    <s v="Cam"/>
    <n v="1"/>
    <x v="0"/>
    <s v="Joe Burrow"/>
    <n v="8.06"/>
    <n v="2024"/>
  </r>
  <r>
    <x v="11"/>
    <s v="Cam"/>
    <n v="1"/>
    <x v="1"/>
    <s v="Ja'Marr Chase"/>
    <n v="9.1999999999999993"/>
    <n v="2024"/>
  </r>
  <r>
    <x v="11"/>
    <s v="Cam"/>
    <n v="1"/>
    <x v="1"/>
    <s v="Nico Collins"/>
    <n v="14.7"/>
    <n v="2024"/>
  </r>
  <r>
    <x v="11"/>
    <s v="Cam"/>
    <n v="1"/>
    <x v="1"/>
    <s v="Andrei Iosivas"/>
    <n v="4.0999999999999996"/>
    <n v="2024"/>
  </r>
  <r>
    <x v="11"/>
    <s v="Cam"/>
    <n v="1"/>
    <x v="2"/>
    <s v="Rhamondre Stevenson"/>
    <n v="20.100000000000001"/>
    <n v="2024"/>
  </r>
  <r>
    <x v="11"/>
    <s v="Cam"/>
    <n v="1"/>
    <x v="2"/>
    <s v="Aaron Jones"/>
    <n v="17.899999999999999"/>
    <n v="2024"/>
  </r>
  <r>
    <x v="11"/>
    <s v="Cam"/>
    <n v="1"/>
    <x v="3"/>
    <s v="George Kittle"/>
    <n v="6"/>
    <n v="2024"/>
  </r>
  <r>
    <x v="11"/>
    <s v="Cam"/>
    <n v="1"/>
    <x v="5"/>
    <s v="Evan McPherson"/>
    <n v="6"/>
    <n v="2024"/>
  </r>
  <r>
    <x v="11"/>
    <s v="Cam"/>
    <n v="1"/>
    <x v="4"/>
    <s v="Atlanta"/>
    <n v="4"/>
    <n v="2024"/>
  </r>
  <r>
    <x v="0"/>
    <s v="Brenton"/>
    <n v="2"/>
    <x v="0"/>
    <s v="Baker Mayfield"/>
    <n v="18.8"/>
    <n v="2024"/>
  </r>
  <r>
    <x v="0"/>
    <s v="Brenton"/>
    <n v="2"/>
    <x v="1"/>
    <s v="Tyreek Hill"/>
    <n v="5.0999999999999996"/>
    <n v="2024"/>
  </r>
  <r>
    <x v="0"/>
    <s v="Brenton"/>
    <n v="2"/>
    <x v="1"/>
    <s v="Zay Flowers"/>
    <n v="18.600000000000001"/>
    <n v="2024"/>
  </r>
  <r>
    <x v="0"/>
    <s v="Brenton"/>
    <n v="2"/>
    <x v="1"/>
    <s v="Jayden Reed"/>
    <n v="5.6"/>
    <n v="2024"/>
  </r>
  <r>
    <x v="0"/>
    <s v="Brenton"/>
    <n v="2"/>
    <x v="2"/>
    <s v="Ezekiel Elliott"/>
    <n v="4.2"/>
    <n v="2024"/>
  </r>
  <r>
    <x v="0"/>
    <s v="Brenton"/>
    <n v="2"/>
    <x v="2"/>
    <s v="Jerome Ford"/>
    <n v="6.9"/>
    <n v="2024"/>
  </r>
  <r>
    <x v="0"/>
    <s v="Brenton"/>
    <n v="2"/>
    <x v="3"/>
    <s v="Trey McBride"/>
    <n v="15.7"/>
    <n v="2024"/>
  </r>
  <r>
    <x v="0"/>
    <s v="Brenton"/>
    <n v="2"/>
    <x v="4"/>
    <s v="Tyler Bass"/>
    <n v="7"/>
    <n v="2024"/>
  </r>
  <r>
    <x v="0"/>
    <s v="Brenton"/>
    <n v="2"/>
    <x v="5"/>
    <s v="Jacksonville"/>
    <n v="4"/>
    <n v="2024"/>
  </r>
  <r>
    <x v="2"/>
    <s v="Mike"/>
    <n v="2"/>
    <x v="0"/>
    <s v="Patrick Mahomes"/>
    <n v="12.94"/>
    <n v="2024"/>
  </r>
  <r>
    <x v="2"/>
    <s v="Mike"/>
    <n v="2"/>
    <x v="1"/>
    <s v="Davante Adams"/>
    <n v="21.5"/>
    <n v="2024"/>
  </r>
  <r>
    <x v="2"/>
    <s v="Mike"/>
    <n v="2"/>
    <x v="1"/>
    <s v="Mike Evans"/>
    <n v="5.7"/>
    <n v="2024"/>
  </r>
  <r>
    <x v="2"/>
    <s v="Mike"/>
    <n v="2"/>
    <x v="1"/>
    <s v="Khalil Shakir"/>
    <n v="8.1"/>
    <n v="2024"/>
  </r>
  <r>
    <x v="2"/>
    <s v="Mike"/>
    <n v="2"/>
    <x v="2"/>
    <s v="Derrick Henry"/>
    <n v="16.100000000000001"/>
    <n v="2024"/>
  </r>
  <r>
    <x v="2"/>
    <s v="Mike"/>
    <n v="2"/>
    <x v="2"/>
    <s v="Tyjae Spears"/>
    <n v="4.0999999999999996"/>
    <n v="2024"/>
  </r>
  <r>
    <x v="2"/>
    <s v="Mike"/>
    <n v="2"/>
    <x v="3"/>
    <s v="Sam LaPorta"/>
    <n v="2.2999999999999998"/>
    <n v="2024"/>
  </r>
  <r>
    <x v="2"/>
    <s v="Mike"/>
    <n v="2"/>
    <x v="4"/>
    <s v="Buffalo"/>
    <n v="17"/>
    <n v="2024"/>
  </r>
  <r>
    <x v="2"/>
    <s v="Mike"/>
    <n v="2"/>
    <x v="5"/>
    <s v="Jason Sanders"/>
    <n v="4"/>
    <n v="2024"/>
  </r>
  <r>
    <x v="1"/>
    <s v="Todd"/>
    <n v="2"/>
    <x v="0"/>
    <s v="Dak Prescott"/>
    <n v="12.92"/>
    <n v="2024"/>
  </r>
  <r>
    <x v="1"/>
    <s v="Todd"/>
    <n v="2"/>
    <x v="1"/>
    <s v="Deebo Samuel"/>
    <n v="14"/>
    <n v="2024"/>
  </r>
  <r>
    <x v="1"/>
    <s v="Todd"/>
    <n v="2"/>
    <x v="1"/>
    <s v="Rashee Rice"/>
    <n v="16"/>
    <n v="2024"/>
  </r>
  <r>
    <x v="1"/>
    <s v="Todd"/>
    <n v="2"/>
    <x v="1"/>
    <s v="Calvin Ridley"/>
    <n v="22.7"/>
    <n v="2024"/>
  </r>
  <r>
    <x v="1"/>
    <s v="Todd"/>
    <n v="2"/>
    <x v="2"/>
    <s v="De'Von Achane"/>
    <n v="26"/>
    <n v="2024"/>
  </r>
  <r>
    <x v="1"/>
    <s v="Todd"/>
    <n v="2"/>
    <x v="2"/>
    <s v="James Conner"/>
    <n v="18.899999999999999"/>
    <n v="2024"/>
  </r>
  <r>
    <x v="1"/>
    <s v="Todd"/>
    <n v="2"/>
    <x v="3"/>
    <s v="Kyle Pitts"/>
    <n v="3.5"/>
    <n v="2024"/>
  </r>
  <r>
    <x v="1"/>
    <s v="Todd"/>
    <n v="2"/>
    <x v="4"/>
    <s v="Seattle"/>
    <n v="5"/>
    <n v="2024"/>
  </r>
  <r>
    <x v="1"/>
    <s v="Todd"/>
    <n v="2"/>
    <x v="5"/>
    <s v="Chris Boswell"/>
    <n v="9"/>
    <n v="2024"/>
  </r>
  <r>
    <x v="7"/>
    <s v="Jay"/>
    <n v="2"/>
    <x v="0"/>
    <s v="Lamar Jackson"/>
    <n v="16.38"/>
    <n v="2024"/>
  </r>
  <r>
    <x v="7"/>
    <s v="Jay"/>
    <n v="2"/>
    <x v="1"/>
    <s v="Stefon Diggs"/>
    <n v="5.7"/>
    <n v="2024"/>
  </r>
  <r>
    <x v="7"/>
    <s v="Jay"/>
    <n v="2"/>
    <x v="1"/>
    <s v="Amari Cooper"/>
    <n v="2.6"/>
    <n v="2024"/>
  </r>
  <r>
    <x v="7"/>
    <s v="Jay"/>
    <n v="2"/>
    <x v="1"/>
    <s v="Christian Kirk"/>
    <n v="0.4"/>
    <n v="2024"/>
  </r>
  <r>
    <x v="7"/>
    <s v="Jay"/>
    <n v="2"/>
    <x v="2"/>
    <s v="Alvin Kamara"/>
    <n v="43"/>
    <n v="2024"/>
  </r>
  <r>
    <x v="7"/>
    <s v="Jay"/>
    <n v="2"/>
    <x v="2"/>
    <s v="Jonathan Taylor"/>
    <n v="14.5"/>
    <n v="2024"/>
  </r>
  <r>
    <x v="7"/>
    <s v="Jay"/>
    <n v="2"/>
    <x v="3"/>
    <s v="Mark Andrews"/>
    <n v="7.1"/>
    <n v="2024"/>
  </r>
  <r>
    <x v="7"/>
    <s v="Jay"/>
    <n v="2"/>
    <x v="5"/>
    <s v="Ka'imi Fairbairn"/>
    <n v="20"/>
    <n v="2024"/>
  </r>
  <r>
    <x v="7"/>
    <s v="Jay"/>
    <n v="2"/>
    <x v="4"/>
    <s v="LA Chargers"/>
    <n v="14"/>
    <n v="2024"/>
  </r>
  <r>
    <x v="4"/>
    <s v="Eli"/>
    <n v="2"/>
    <x v="0"/>
    <s v="Jalen Hurts"/>
    <n v="23.82"/>
    <n v="2024"/>
  </r>
  <r>
    <x v="4"/>
    <s v="Eli"/>
    <n v="2"/>
    <x v="1"/>
    <s v="Justin Jefferson"/>
    <n v="21.3"/>
    <n v="2024"/>
  </r>
  <r>
    <x v="4"/>
    <s v="Eli"/>
    <n v="2"/>
    <x v="1"/>
    <s v="DJ Moore"/>
    <n v="8.3000000000000007"/>
    <n v="2024"/>
  </r>
  <r>
    <x v="4"/>
    <s v="Eli"/>
    <n v="2"/>
    <x v="1"/>
    <s v="Demarcus Robinson"/>
    <n v="6"/>
    <n v="2024"/>
  </r>
  <r>
    <x v="4"/>
    <s v="Eli"/>
    <n v="2"/>
    <x v="2"/>
    <s v="Bijan Robinson"/>
    <n v="14.2"/>
    <n v="2024"/>
  </r>
  <r>
    <x v="4"/>
    <s v="Eli"/>
    <n v="2"/>
    <x v="2"/>
    <s v="Jordan Mason"/>
    <n v="16.899999999999999"/>
    <n v="2024"/>
  </r>
  <r>
    <x v="4"/>
    <s v="Eli"/>
    <n v="2"/>
    <x v="3"/>
    <s v="Dalton Schultz"/>
    <n v="3.1"/>
    <n v="2024"/>
  </r>
  <r>
    <x v="4"/>
    <s v="Eli"/>
    <n v="2"/>
    <x v="5"/>
    <s v="Jake Moody"/>
    <n v="5"/>
    <n v="2024"/>
  </r>
  <r>
    <x v="4"/>
    <s v="Eli"/>
    <n v="2"/>
    <x v="4"/>
    <s v="NYJ"/>
    <n v="10"/>
    <n v="2024"/>
  </r>
  <r>
    <x v="6"/>
    <s v="Will"/>
    <n v="2"/>
    <x v="0"/>
    <s v="Geno Smith"/>
    <n v="17.88"/>
    <n v="2024"/>
  </r>
  <r>
    <x v="6"/>
    <s v="Will"/>
    <n v="2"/>
    <x v="1"/>
    <s v="Amon-Ra St. Brown"/>
    <n v="17.399999999999999"/>
    <n v="2024"/>
  </r>
  <r>
    <x v="6"/>
    <s v="Will"/>
    <n v="2"/>
    <x v="1"/>
    <s v="Drake London"/>
    <n v="14.4"/>
    <n v="2024"/>
  </r>
  <r>
    <x v="6"/>
    <s v="Will"/>
    <n v="2"/>
    <x v="1"/>
    <s v="Jaxon Smith-Njigba"/>
    <n v="17.7"/>
    <n v="2024"/>
  </r>
  <r>
    <x v="6"/>
    <s v="Will"/>
    <n v="2"/>
    <x v="2"/>
    <s v="Travis Etienne"/>
    <n v="13.3"/>
    <n v="2024"/>
  </r>
  <r>
    <x v="6"/>
    <s v="Will"/>
    <n v="2"/>
    <x v="2"/>
    <s v="Zach Charbonet"/>
    <n v="15.4"/>
    <n v="2024"/>
  </r>
  <r>
    <x v="6"/>
    <s v="Will"/>
    <n v="2"/>
    <x v="3"/>
    <s v="Travis Kelce"/>
    <n v="1.1000000000000001"/>
    <n v="2024"/>
  </r>
  <r>
    <x v="6"/>
    <s v="Will"/>
    <n v="2"/>
    <x v="5"/>
    <s v="Jason Myers"/>
    <n v="12"/>
    <n v="2024"/>
  </r>
  <r>
    <x v="6"/>
    <s v="Will"/>
    <n v="2"/>
    <x v="4"/>
    <s v="Houston"/>
    <n v="16"/>
    <n v="2024"/>
  </r>
  <r>
    <x v="8"/>
    <s v="Schulwolf"/>
    <n v="2"/>
    <x v="0"/>
    <s v="Jayden Daniels"/>
    <n v="13.44"/>
    <n v="2024"/>
  </r>
  <r>
    <x v="8"/>
    <s v="Schulwolf"/>
    <n v="2"/>
    <x v="1"/>
    <s v="Chris Godwin"/>
    <n v="21.2"/>
    <n v="2024"/>
  </r>
  <r>
    <x v="8"/>
    <s v="Schulwolf"/>
    <n v="2"/>
    <x v="1"/>
    <s v="DeVonta Smith"/>
    <n v="17.100000000000001"/>
    <n v="2024"/>
  </r>
  <r>
    <x v="8"/>
    <s v="Schulwolf"/>
    <n v="2"/>
    <x v="1"/>
    <s v="Cooper Kupp"/>
    <n v="5.7"/>
    <n v="2024"/>
  </r>
  <r>
    <x v="8"/>
    <s v="Schulwolf"/>
    <n v="2"/>
    <x v="2"/>
    <s v="James Cook"/>
    <n v="28"/>
    <n v="2024"/>
  </r>
  <r>
    <x v="8"/>
    <s v="Schulwolf"/>
    <n v="2"/>
    <x v="2"/>
    <s v="Jahmyr Gibbs"/>
    <n v="14.1"/>
    <n v="2024"/>
  </r>
  <r>
    <x v="8"/>
    <s v="Schulwolf"/>
    <n v="2"/>
    <x v="3"/>
    <s v="Dalton Kincaid"/>
    <n v="5.3"/>
    <n v="2024"/>
  </r>
  <r>
    <x v="8"/>
    <s v="Schulwolf"/>
    <n v="2"/>
    <x v="5"/>
    <s v="Brandon Aubrey"/>
    <n v="17"/>
    <n v="2024"/>
  </r>
  <r>
    <x v="8"/>
    <s v="Schulwolf"/>
    <n v="2"/>
    <x v="4"/>
    <s v="Dallas"/>
    <n v="-3"/>
    <n v="2024"/>
  </r>
  <r>
    <x v="3"/>
    <s v="Kevin"/>
    <n v="2"/>
    <x v="0"/>
    <s v="CJ Stroud"/>
    <n v="14.3"/>
    <n v="2024"/>
  </r>
  <r>
    <x v="3"/>
    <s v="Kevin"/>
    <n v="2"/>
    <x v="1"/>
    <s v="Marvin Harrison Jr"/>
    <n v="27"/>
    <n v="2024"/>
  </r>
  <r>
    <x v="3"/>
    <s v="Kevin"/>
    <n v="2"/>
    <x v="1"/>
    <s v="Chris Olave"/>
    <n v="10.8"/>
    <n v="2024"/>
  </r>
  <r>
    <x v="3"/>
    <s v="Kevin"/>
    <n v="2"/>
    <x v="1"/>
    <s v="George Pickens"/>
    <n v="3.9"/>
    <n v="2024"/>
  </r>
  <r>
    <x v="3"/>
    <s v="Kevin"/>
    <n v="2"/>
    <x v="2"/>
    <s v="Isiah Pacheco"/>
    <n v="13.6"/>
    <n v="2024"/>
  </r>
  <r>
    <x v="3"/>
    <s v="Kevin"/>
    <n v="2"/>
    <x v="2"/>
    <s v="Najee Harris"/>
    <n v="7.9"/>
    <n v="2024"/>
  </r>
  <r>
    <x v="3"/>
    <s v="Kevin"/>
    <n v="2"/>
    <x v="3"/>
    <s v="Hunter Henry"/>
    <n v="14.9"/>
    <n v="2024"/>
  </r>
  <r>
    <x v="3"/>
    <s v="Kevin"/>
    <n v="2"/>
    <x v="5"/>
    <s v="Justin Tucker"/>
    <n v="13"/>
    <n v="2024"/>
  </r>
  <r>
    <x v="3"/>
    <s v="Kevin"/>
    <n v="2"/>
    <x v="4"/>
    <s v="Cleveland"/>
    <n v="9"/>
    <n v="2024"/>
  </r>
  <r>
    <x v="10"/>
    <s v="Brand"/>
    <n v="2"/>
    <x v="0"/>
    <s v="Anthony Richardson"/>
    <n v="9.86"/>
    <n v="2024"/>
  </r>
  <r>
    <x v="10"/>
    <s v="Brand"/>
    <n v="2"/>
    <x v="1"/>
    <s v="Jameson Williams"/>
    <n v="11.9"/>
    <n v="2024"/>
  </r>
  <r>
    <x v="10"/>
    <s v="Brand"/>
    <n v="2"/>
    <x v="1"/>
    <s v="Garrett Wilson"/>
    <n v="8.1999999999999993"/>
    <n v="2024"/>
  </r>
  <r>
    <x v="10"/>
    <s v="Brand"/>
    <n v="2"/>
    <x v="1"/>
    <s v="Michael Pittman"/>
    <n v="3.6"/>
    <n v="2024"/>
  </r>
  <r>
    <x v="10"/>
    <s v="Brand"/>
    <n v="2"/>
    <x v="2"/>
    <s v="Breece Hall"/>
    <n v="20.9"/>
    <n v="2024"/>
  </r>
  <r>
    <x v="10"/>
    <s v="Brand"/>
    <n v="2"/>
    <x v="2"/>
    <s v="Bucky Irving"/>
    <n v="2.2000000000000002"/>
    <n v="2024"/>
  </r>
  <r>
    <x v="10"/>
    <s v="Brand"/>
    <n v="2"/>
    <x v="3"/>
    <s v="Dallas Goedert"/>
    <n v="5.3"/>
    <n v="2024"/>
  </r>
  <r>
    <x v="10"/>
    <s v="Brand"/>
    <n v="2"/>
    <x v="5"/>
    <s v="Cairo Santos"/>
    <n v="11"/>
    <n v="2024"/>
  </r>
  <r>
    <x v="10"/>
    <s v="Brand"/>
    <n v="2"/>
    <x v="4"/>
    <s v="Indianapolis"/>
    <n v="2"/>
    <n v="2024"/>
  </r>
  <r>
    <x v="9"/>
    <s v="Tommy"/>
    <n v="2"/>
    <x v="0"/>
    <s v="Josh Allen"/>
    <n v="9.76"/>
    <n v="2024"/>
  </r>
  <r>
    <x v="9"/>
    <s v="Tommy"/>
    <n v="2"/>
    <x v="1"/>
    <s v="DK Metcalf"/>
    <n v="23.9"/>
    <n v="2024"/>
  </r>
  <r>
    <x v="9"/>
    <s v="Tommy"/>
    <n v="2"/>
    <x v="1"/>
    <s v="Malik Nabers"/>
    <n v="23.7"/>
    <n v="2024"/>
  </r>
  <r>
    <x v="9"/>
    <s v="Tommy"/>
    <n v="2"/>
    <x v="1"/>
    <s v="Xavier Worthy"/>
    <n v="3.2"/>
    <n v="2024"/>
  </r>
  <r>
    <x v="9"/>
    <s v="Tommy"/>
    <n v="2"/>
    <x v="2"/>
    <s v="Saquon Barkley"/>
    <n v="15.6"/>
    <n v="2024"/>
  </r>
  <r>
    <x v="9"/>
    <s v="Tommy"/>
    <n v="2"/>
    <x v="2"/>
    <s v="Kyren Williams"/>
    <n v="13.2"/>
    <n v="2024"/>
  </r>
  <r>
    <x v="9"/>
    <s v="Tommy"/>
    <n v="2"/>
    <x v="3"/>
    <s v="Evan Engram"/>
    <n v="0"/>
    <n v="2024"/>
  </r>
  <r>
    <x v="9"/>
    <s v="Tommy"/>
    <n v="2"/>
    <x v="5"/>
    <s v="Harrison Butker"/>
    <n v="10"/>
    <n v="2024"/>
  </r>
  <r>
    <x v="9"/>
    <s v="Tommy"/>
    <n v="2"/>
    <x v="4"/>
    <s v="San Francisco"/>
    <n v="4"/>
    <n v="2024"/>
  </r>
  <r>
    <x v="11"/>
    <s v="Cam"/>
    <n v="2"/>
    <x v="0"/>
    <s v="Kyler Murray"/>
    <n v="28.54"/>
    <n v="2024"/>
  </r>
  <r>
    <x v="11"/>
    <s v="Cam"/>
    <n v="2"/>
    <x v="1"/>
    <s v="Nico Collins"/>
    <n v="23.5"/>
    <n v="2024"/>
  </r>
  <r>
    <x v="11"/>
    <s v="Cam"/>
    <n v="2"/>
    <x v="1"/>
    <s v="Ja'Marr Chase"/>
    <n v="5.5"/>
    <n v="2024"/>
  </r>
  <r>
    <x v="11"/>
    <s v="Cam"/>
    <n v="2"/>
    <x v="1"/>
    <s v="Brandon Aiyuk"/>
    <n v="6.3"/>
    <n v="2024"/>
  </r>
  <r>
    <x v="11"/>
    <s v="Cam"/>
    <n v="2"/>
    <x v="2"/>
    <s v="Rhamondre Stevenson"/>
    <n v="16"/>
    <n v="2024"/>
  </r>
  <r>
    <x v="11"/>
    <s v="Cam"/>
    <n v="2"/>
    <x v="2"/>
    <s v="JK Dobbins"/>
    <n v="19.600000000000001"/>
    <n v="2024"/>
  </r>
  <r>
    <x v="11"/>
    <s v="Cam"/>
    <n v="2"/>
    <x v="3"/>
    <s v="George Kittle"/>
    <n v="17.100000000000001"/>
    <n v="2024"/>
  </r>
  <r>
    <x v="11"/>
    <s v="Cam"/>
    <n v="2"/>
    <x v="5"/>
    <s v="Evan McPherson"/>
    <n v="15"/>
    <n v="2024"/>
  </r>
  <r>
    <x v="11"/>
    <s v="Cam"/>
    <n v="2"/>
    <x v="4"/>
    <s v="Baltimore"/>
    <n v="8"/>
    <n v="2024"/>
  </r>
  <r>
    <x v="5"/>
    <s v="Burnett/Jasjaap"/>
    <n v="2"/>
    <x v="0"/>
    <s v="Brock Purdy"/>
    <n v="13.96"/>
    <n v="2024"/>
  </r>
  <r>
    <x v="5"/>
    <s v="Burnett/Jasjaap"/>
    <n v="2"/>
    <x v="1"/>
    <s v="CeeDee Lamb"/>
    <n v="17"/>
    <n v="2024"/>
  </r>
  <r>
    <x v="5"/>
    <s v="Burnett/Jasjaap"/>
    <n v="2"/>
    <x v="1"/>
    <s v="Jaylen Waddle"/>
    <n v="6.5"/>
    <n v="2024"/>
  </r>
  <r>
    <x v="5"/>
    <s v="Burnett/Jasjaap"/>
    <n v="2"/>
    <x v="1"/>
    <s v="Rashid Shaheed"/>
    <n v="18.899999999999999"/>
    <n v="2024"/>
  </r>
  <r>
    <x v="5"/>
    <s v="Burnett/Jasjaap"/>
    <n v="2"/>
    <x v="2"/>
    <s v="David Montgomery"/>
    <n v="15"/>
    <n v="2024"/>
  </r>
  <r>
    <x v="5"/>
    <s v="Burnett/Jasjaap"/>
    <n v="2"/>
    <x v="2"/>
    <s v="Josh Jacobs"/>
    <n v="13.1"/>
    <n v="2024"/>
  </r>
  <r>
    <x v="5"/>
    <s v="Burnett/Jasjaap"/>
    <n v="2"/>
    <x v="3"/>
    <s v="Brock Bowers"/>
    <n v="14.3"/>
    <n v="2024"/>
  </r>
  <r>
    <x v="5"/>
    <s v="Burnett/Jasjaap"/>
    <n v="2"/>
    <x v="5"/>
    <s v="Jake Elliott"/>
    <n v="7"/>
    <n v="2024"/>
  </r>
  <r>
    <x v="5"/>
    <s v="Burnett/Jasjaap"/>
    <n v="2"/>
    <x v="4"/>
    <s v="Pittsburgh"/>
    <n v="14"/>
    <n v="2024"/>
  </r>
  <r>
    <x v="0"/>
    <s v="Brenton"/>
    <n v="3"/>
    <x v="0"/>
    <s v="Derek Carr"/>
    <n v="7.98"/>
    <n v="2024"/>
  </r>
  <r>
    <x v="0"/>
    <s v="Brenton"/>
    <n v="3"/>
    <x v="1"/>
    <s v="Tyreek Hill"/>
    <n v="5.5"/>
    <n v="2024"/>
  </r>
  <r>
    <x v="0"/>
    <s v="Brenton"/>
    <n v="3"/>
    <x v="1"/>
    <s v="Zay Flowers"/>
    <n v="3.8"/>
    <n v="2024"/>
  </r>
  <r>
    <x v="0"/>
    <s v="Brenton"/>
    <n v="3"/>
    <x v="1"/>
    <s v="Jayden Reed"/>
    <n v="8.9"/>
    <n v="2024"/>
  </r>
  <r>
    <x v="0"/>
    <s v="Brenton"/>
    <n v="3"/>
    <x v="2"/>
    <s v="Cam Akers"/>
    <n v="9.4"/>
    <n v="2024"/>
  </r>
  <r>
    <x v="0"/>
    <s v="Brenton"/>
    <n v="3"/>
    <x v="2"/>
    <s v="Jerome Ford"/>
    <n v="8.5"/>
    <n v="2024"/>
  </r>
  <r>
    <x v="0"/>
    <s v="Brenton"/>
    <n v="3"/>
    <x v="3"/>
    <s v="Trey McBride"/>
    <n v="4"/>
    <n v="2024"/>
  </r>
  <r>
    <x v="0"/>
    <s v="Brenton"/>
    <n v="3"/>
    <x v="5"/>
    <s v="Tyler Bass"/>
    <n v="11"/>
    <n v="2024"/>
  </r>
  <r>
    <x v="0"/>
    <s v="Brenton"/>
    <n v="3"/>
    <x v="4"/>
    <s v="Tampa Bay"/>
    <n v="1"/>
    <n v="2024"/>
  </r>
  <r>
    <x v="3"/>
    <s v="Kevin"/>
    <n v="3"/>
    <x v="0"/>
    <s v="CJ Stroud"/>
    <n v="9.8000000000000007"/>
    <n v="2024"/>
  </r>
  <r>
    <x v="3"/>
    <s v="Kevin"/>
    <n v="3"/>
    <x v="1"/>
    <s v="Chris Olave"/>
    <n v="17.600000000000001"/>
    <n v="2024"/>
  </r>
  <r>
    <x v="3"/>
    <s v="Kevin"/>
    <n v="3"/>
    <x v="1"/>
    <s v="Marvin Harrison Jr"/>
    <n v="14.9"/>
    <n v="2024"/>
  </r>
  <r>
    <x v="3"/>
    <s v="Kevin"/>
    <n v="3"/>
    <x v="1"/>
    <s v="George Pickens"/>
    <n v="8.1999999999999993"/>
    <n v="2024"/>
  </r>
  <r>
    <x v="3"/>
    <s v="Kevin"/>
    <n v="3"/>
    <x v="2"/>
    <s v="Najee Harris"/>
    <n v="11.1"/>
    <n v="2024"/>
  </r>
  <r>
    <x v="3"/>
    <s v="Kevin"/>
    <n v="3"/>
    <x v="2"/>
    <s v="Joe Mixon"/>
    <n v="0"/>
    <n v="2024"/>
  </r>
  <r>
    <x v="3"/>
    <s v="Kevin"/>
    <n v="3"/>
    <x v="3"/>
    <s v="Hunter Henry"/>
    <n v="1.9"/>
    <n v="2024"/>
  </r>
  <r>
    <x v="3"/>
    <s v="Kevin"/>
    <n v="3"/>
    <x v="5"/>
    <s v="Justin Tucker"/>
    <n v="3"/>
    <n v="2024"/>
  </r>
  <r>
    <x v="3"/>
    <s v="Kevin"/>
    <n v="3"/>
    <x v="4"/>
    <s v="Cleveland"/>
    <n v="5"/>
    <n v="2024"/>
  </r>
  <r>
    <x v="2"/>
    <s v="Mike"/>
    <n v="3"/>
    <x v="0"/>
    <s v="Patrick Mahomes"/>
    <n v="16.38"/>
    <n v="2024"/>
  </r>
  <r>
    <x v="2"/>
    <s v="Mike"/>
    <n v="3"/>
    <x v="1"/>
    <s v="Tank Dell"/>
    <n v="8.6999999999999993"/>
    <n v="2024"/>
  </r>
  <r>
    <x v="2"/>
    <s v="Mike"/>
    <n v="3"/>
    <x v="1"/>
    <s v="Davante Adams"/>
    <n v="6"/>
    <n v="2024"/>
  </r>
  <r>
    <x v="2"/>
    <s v="Mike"/>
    <n v="3"/>
    <x v="1"/>
    <s v="Khalil Shakir"/>
    <n v="16.2"/>
    <n v="2024"/>
  </r>
  <r>
    <x v="2"/>
    <s v="Mike"/>
    <n v="3"/>
    <x v="2"/>
    <s v="Derrick Henry"/>
    <n v="29.9"/>
    <n v="2024"/>
  </r>
  <r>
    <x v="2"/>
    <s v="Mike"/>
    <n v="3"/>
    <x v="2"/>
    <s v="Carson Steele"/>
    <n v="7.9"/>
    <n v="2024"/>
  </r>
  <r>
    <x v="2"/>
    <s v="Mike"/>
    <n v="3"/>
    <x v="3"/>
    <s v="Sam LaPorta"/>
    <n v="4.5999999999999996"/>
    <n v="2024"/>
  </r>
  <r>
    <x v="2"/>
    <s v="Mike"/>
    <n v="3"/>
    <x v="5"/>
    <s v="Younghoe Koo"/>
    <n v="7"/>
    <n v="2024"/>
  </r>
  <r>
    <x v="2"/>
    <s v="Mike"/>
    <n v="3"/>
    <x v="4"/>
    <s v="Buffalo"/>
    <n v="14"/>
    <n v="2024"/>
  </r>
  <r>
    <x v="7"/>
    <s v="Jay"/>
    <n v="3"/>
    <x v="0"/>
    <s v="Lamar Jackson"/>
    <n v="25.98"/>
    <n v="2024"/>
  </r>
  <r>
    <x v="7"/>
    <s v="Jay"/>
    <n v="3"/>
    <x v="1"/>
    <s v="Amari Cooper"/>
    <n v="24.1"/>
    <n v="2024"/>
  </r>
  <r>
    <x v="7"/>
    <s v="Jay"/>
    <n v="3"/>
    <x v="1"/>
    <s v="Stefon Diggs"/>
    <n v="14.92"/>
    <n v="2024"/>
  </r>
  <r>
    <x v="7"/>
    <s v="Jay"/>
    <n v="3"/>
    <x v="1"/>
    <s v="Tee Higgins"/>
    <n v="5.4"/>
    <n v="2024"/>
  </r>
  <r>
    <x v="7"/>
    <s v="Jay"/>
    <n v="3"/>
    <x v="2"/>
    <s v="Jonathan Taylor"/>
    <n v="26"/>
    <n v="2024"/>
  </r>
  <r>
    <x v="7"/>
    <s v="Jay"/>
    <n v="3"/>
    <x v="2"/>
    <s v="Alvin Kamara"/>
    <n v="14.2"/>
    <n v="2024"/>
  </r>
  <r>
    <x v="7"/>
    <s v="Jay"/>
    <n v="3"/>
    <x v="3"/>
    <s v="Mark Andrews"/>
    <n v="0"/>
    <n v="2024"/>
  </r>
  <r>
    <x v="7"/>
    <s v="Jay"/>
    <n v="3"/>
    <x v="5"/>
    <s v="Ka'imi Fairbairn"/>
    <n v="1"/>
    <n v="2024"/>
  </r>
  <r>
    <x v="7"/>
    <s v="Jay"/>
    <n v="3"/>
    <x v="4"/>
    <s v="Cincinnati"/>
    <n v="-3"/>
    <n v="2024"/>
  </r>
  <r>
    <x v="1"/>
    <s v="Todd"/>
    <n v="3"/>
    <x v="0"/>
    <s v="Dak Prescott"/>
    <n v="29.86"/>
    <n v="2024"/>
  </r>
  <r>
    <x v="1"/>
    <s v="Todd"/>
    <n v="3"/>
    <x v="1"/>
    <s v="Rashee Rice"/>
    <n v="23.1"/>
    <n v="2024"/>
  </r>
  <r>
    <x v="1"/>
    <s v="Todd"/>
    <n v="3"/>
    <x v="1"/>
    <s v="Brian Thomas Jr"/>
    <n v="7.3"/>
    <n v="2024"/>
  </r>
  <r>
    <x v="1"/>
    <s v="Todd"/>
    <n v="3"/>
    <x v="1"/>
    <s v="Calvin Ridley"/>
    <n v="1.4"/>
    <n v="2024"/>
  </r>
  <r>
    <x v="1"/>
    <s v="Todd"/>
    <n v="3"/>
    <x v="2"/>
    <s v="De'Von Achane"/>
    <n v="7.3"/>
    <n v="2024"/>
  </r>
  <r>
    <x v="1"/>
    <s v="Todd"/>
    <n v="3"/>
    <x v="2"/>
    <s v="D'Andre Swift"/>
    <n v="5.2"/>
    <n v="2024"/>
  </r>
  <r>
    <x v="1"/>
    <s v="Todd"/>
    <n v="3"/>
    <x v="3"/>
    <s v="Kyle Pitts"/>
    <n v="6.9"/>
    <n v="2024"/>
  </r>
  <r>
    <x v="1"/>
    <s v="Todd"/>
    <n v="3"/>
    <x v="5"/>
    <s v="Chris Boswell"/>
    <n v="8"/>
    <n v="2024"/>
  </r>
  <r>
    <x v="1"/>
    <s v="Todd"/>
    <n v="3"/>
    <x v="4"/>
    <s v="Las Vegas"/>
    <n v="-6"/>
    <n v="2024"/>
  </r>
  <r>
    <x v="4"/>
    <s v="Eli"/>
    <n v="3"/>
    <x v="0"/>
    <s v="Jalen Hurts"/>
    <n v="10.94"/>
    <n v="2024"/>
  </r>
  <r>
    <x v="4"/>
    <s v="Eli"/>
    <n v="3"/>
    <x v="1"/>
    <s v="Justin Jefferson"/>
    <n v="17.100000000000001"/>
    <n v="2024"/>
  </r>
  <r>
    <x v="4"/>
    <s v="Eli"/>
    <n v="3"/>
    <x v="1"/>
    <s v="Rome Odunze"/>
    <n v="20.399999999999999"/>
    <n v="2024"/>
  </r>
  <r>
    <x v="4"/>
    <s v="Eli"/>
    <n v="3"/>
    <x v="1"/>
    <s v="DJ Moore"/>
    <n v="11.2"/>
    <n v="2024"/>
  </r>
  <r>
    <x v="4"/>
    <s v="Eli"/>
    <n v="3"/>
    <x v="2"/>
    <s v="Bijan Robinson"/>
    <n v="12.2"/>
    <n v="2024"/>
  </r>
  <r>
    <x v="4"/>
    <s v="Eli"/>
    <n v="3"/>
    <x v="2"/>
    <s v="Jordan Mason"/>
    <n v="9.8000000000000007"/>
    <n v="2024"/>
  </r>
  <r>
    <x v="4"/>
    <s v="Eli"/>
    <n v="3"/>
    <x v="3"/>
    <s v="Dalton Schultz"/>
    <n v="2.1"/>
    <n v="2024"/>
  </r>
  <r>
    <x v="4"/>
    <s v="Eli"/>
    <n v="3"/>
    <x v="5"/>
    <s v="Jake Moody"/>
    <n v="6"/>
    <n v="2024"/>
  </r>
  <r>
    <x v="4"/>
    <s v="Eli"/>
    <n v="3"/>
    <x v="4"/>
    <s v="NYJ"/>
    <n v="19"/>
    <n v="2024"/>
  </r>
  <r>
    <x v="6"/>
    <s v="Will"/>
    <n v="3"/>
    <x v="0"/>
    <s v="Geno Smith"/>
    <n v="11.36"/>
    <n v="2024"/>
  </r>
  <r>
    <x v="6"/>
    <s v="Will"/>
    <n v="3"/>
    <x v="1"/>
    <s v="Amon-Ra St. Brown"/>
    <n v="17"/>
    <n v="2024"/>
  </r>
  <r>
    <x v="6"/>
    <s v="Will"/>
    <n v="3"/>
    <x v="1"/>
    <s v="Drake London"/>
    <n v="15.7"/>
    <n v="2024"/>
  </r>
  <r>
    <x v="6"/>
    <s v="Will"/>
    <n v="3"/>
    <x v="1"/>
    <s v="Ladd McConkey"/>
    <n v="5.9"/>
    <n v="2024"/>
  </r>
  <r>
    <x v="6"/>
    <s v="Will"/>
    <n v="3"/>
    <x v="2"/>
    <s v="Zach Charbonet"/>
    <n v="24.2"/>
    <n v="2024"/>
  </r>
  <r>
    <x v="6"/>
    <s v="Will"/>
    <n v="3"/>
    <x v="2"/>
    <s v="Travis Etienne"/>
    <n v="10.5"/>
    <n v="2024"/>
  </r>
  <r>
    <x v="6"/>
    <s v="Will"/>
    <n v="3"/>
    <x v="3"/>
    <s v="Travis Kelce"/>
    <n v="5"/>
    <n v="2024"/>
  </r>
  <r>
    <x v="6"/>
    <s v="Will"/>
    <n v="3"/>
    <x v="5"/>
    <s v="Jason Myers"/>
    <n v="8"/>
    <n v="2024"/>
  </r>
  <r>
    <x v="6"/>
    <s v="Will"/>
    <n v="3"/>
    <x v="4"/>
    <s v="Houston"/>
    <n v="4"/>
    <n v="2024"/>
  </r>
  <r>
    <x v="11"/>
    <s v="Cam"/>
    <n v="3"/>
    <x v="0"/>
    <s v="Joe Burrow"/>
    <n v="25.36"/>
    <n v="2024"/>
  </r>
  <r>
    <x v="11"/>
    <s v="Cam"/>
    <n v="3"/>
    <x v="1"/>
    <s v="Ja'Marr Chase"/>
    <n v="26.8"/>
    <n v="2024"/>
  </r>
  <r>
    <x v="11"/>
    <s v="Cam"/>
    <n v="3"/>
    <x v="1"/>
    <s v="Nico Collins"/>
    <n v="10.6"/>
    <n v="2024"/>
  </r>
  <r>
    <x v="11"/>
    <s v="Cam"/>
    <n v="3"/>
    <x v="1"/>
    <s v="Brandon Aiyuk"/>
    <n v="7.3"/>
    <n v="2024"/>
  </r>
  <r>
    <x v="11"/>
    <s v="Cam"/>
    <n v="3"/>
    <x v="2"/>
    <s v="Aaron Jones"/>
    <n v="23.3"/>
    <n v="2024"/>
  </r>
  <r>
    <x v="11"/>
    <s v="Cam"/>
    <n v="3"/>
    <x v="2"/>
    <s v="JK Dobbins"/>
    <n v="6.9"/>
    <n v="2024"/>
  </r>
  <r>
    <x v="11"/>
    <s v="Cam"/>
    <n v="3"/>
    <x v="3"/>
    <s v="Pat Freiermuth"/>
    <n v="5.3"/>
    <n v="2024"/>
  </r>
  <r>
    <x v="11"/>
    <s v="Cam"/>
    <n v="3"/>
    <x v="5"/>
    <s v="Evan McPherson"/>
    <n v="8"/>
    <n v="2024"/>
  </r>
  <r>
    <x v="11"/>
    <s v="Cam"/>
    <n v="3"/>
    <x v="4"/>
    <s v="Chicago"/>
    <n v="4"/>
    <n v="2024"/>
  </r>
  <r>
    <x v="8"/>
    <s v="Schulwolf"/>
    <n v="3"/>
    <x v="0"/>
    <s v="Jayden Daniels"/>
    <n v="28.06"/>
    <n v="2024"/>
  </r>
  <r>
    <x v="8"/>
    <s v="Schulwolf"/>
    <n v="3"/>
    <x v="1"/>
    <s v="Chris Godwin"/>
    <n v="14.3"/>
    <n v="2024"/>
  </r>
  <r>
    <x v="8"/>
    <s v="Schulwolf"/>
    <n v="3"/>
    <x v="1"/>
    <s v="DeVonta Smith"/>
    <n v="11.4"/>
    <n v="2024"/>
  </r>
  <r>
    <x v="8"/>
    <s v="Schulwolf"/>
    <n v="3"/>
    <x v="1"/>
    <s v="Jerry Jeudy"/>
    <n v="6.7"/>
    <n v="2024"/>
  </r>
  <r>
    <x v="8"/>
    <s v="Schulwolf"/>
    <n v="3"/>
    <x v="2"/>
    <s v="Zack Moss"/>
    <n v="18.2"/>
    <n v="2024"/>
  </r>
  <r>
    <x v="8"/>
    <s v="Schulwolf"/>
    <n v="3"/>
    <x v="2"/>
    <s v="James Cook"/>
    <n v="16.7"/>
    <n v="2024"/>
  </r>
  <r>
    <x v="8"/>
    <s v="Schulwolf"/>
    <n v="3"/>
    <x v="3"/>
    <s v="Dalton Kincaid"/>
    <n v="11.6"/>
    <n v="2024"/>
  </r>
  <r>
    <x v="8"/>
    <s v="Schulwolf"/>
    <n v="3"/>
    <x v="5"/>
    <s v="Brandon Aubrey"/>
    <n v="11"/>
    <n v="2024"/>
  </r>
  <r>
    <x v="8"/>
    <s v="Schulwolf"/>
    <n v="3"/>
    <x v="4"/>
    <s v="Dallas"/>
    <n v="-5"/>
    <n v="2024"/>
  </r>
  <r>
    <x v="10"/>
    <s v="Brand"/>
    <n v="3"/>
    <x v="0"/>
    <s v="Anthony Richardson"/>
    <n v="5.08"/>
    <n v="2024"/>
  </r>
  <r>
    <x v="10"/>
    <s v="Brand"/>
    <n v="3"/>
    <x v="1"/>
    <s v="Garrett Wilson"/>
    <n v="11.8"/>
    <n v="2024"/>
  </r>
  <r>
    <x v="10"/>
    <s v="Brand"/>
    <n v="3"/>
    <x v="1"/>
    <s v="Michael Pittman"/>
    <n v="5.6"/>
    <n v="2024"/>
  </r>
  <r>
    <x v="10"/>
    <s v="Brand"/>
    <n v="3"/>
    <x v="1"/>
    <s v="Brandin Cooks"/>
    <n v="2.6"/>
    <n v="2024"/>
  </r>
  <r>
    <x v="10"/>
    <s v="Brand"/>
    <n v="3"/>
    <x v="2"/>
    <s v="Breece Hall"/>
    <n v="16.3"/>
    <n v="2024"/>
  </r>
  <r>
    <x v="10"/>
    <s v="Brand"/>
    <n v="3"/>
    <x v="2"/>
    <s v="Bucky Irving"/>
    <n v="9.9"/>
    <n v="2024"/>
  </r>
  <r>
    <x v="10"/>
    <s v="Brand"/>
    <n v="3"/>
    <x v="3"/>
    <s v="Dallas Goedert"/>
    <n v="22"/>
    <n v="2024"/>
  </r>
  <r>
    <x v="10"/>
    <s v="Brand"/>
    <n v="3"/>
    <x v="5"/>
    <s v="Cairo Santos"/>
    <n v="6"/>
    <n v="2024"/>
  </r>
  <r>
    <x v="10"/>
    <s v="Brand"/>
    <n v="3"/>
    <x v="4"/>
    <s v="Indianapolis"/>
    <n v="10"/>
    <n v="2024"/>
  </r>
  <r>
    <x v="9"/>
    <s v="Tommy"/>
    <n v="3"/>
    <x v="0"/>
    <s v="Josh Allen"/>
    <n v="30.92"/>
    <n v="2024"/>
  </r>
  <r>
    <x v="9"/>
    <s v="Tommy"/>
    <n v="3"/>
    <x v="1"/>
    <s v="Malik Nabers"/>
    <n v="24.2"/>
    <n v="2024"/>
  </r>
  <r>
    <x v="9"/>
    <s v="Tommy"/>
    <n v="3"/>
    <x v="1"/>
    <s v="DK Metcalf"/>
    <n v="18.399999999999999"/>
    <n v="2024"/>
  </r>
  <r>
    <x v="9"/>
    <s v="Tommy"/>
    <n v="3"/>
    <x v="1"/>
    <s v="Xavier Worthy"/>
    <n v="4"/>
    <n v="2024"/>
  </r>
  <r>
    <x v="9"/>
    <s v="Tommy"/>
    <n v="3"/>
    <x v="2"/>
    <s v="Saquon Barkley"/>
    <n v="31.6"/>
    <n v="2024"/>
  </r>
  <r>
    <x v="9"/>
    <s v="Tommy"/>
    <n v="3"/>
    <x v="2"/>
    <s v="Kyren Williams"/>
    <n v="30.6"/>
    <n v="2024"/>
  </r>
  <r>
    <x v="9"/>
    <s v="Tommy"/>
    <n v="3"/>
    <x v="3"/>
    <s v="Mike Gesicki"/>
    <n v="6.7"/>
    <n v="2024"/>
  </r>
  <r>
    <x v="9"/>
    <s v="Tommy"/>
    <n v="3"/>
    <x v="5"/>
    <s v="Harrison Butker"/>
    <n v="12"/>
    <n v="2024"/>
  </r>
  <r>
    <x v="9"/>
    <s v="Tommy"/>
    <n v="3"/>
    <x v="4"/>
    <s v="San Francisco"/>
    <n v="4"/>
    <n v="2024"/>
  </r>
  <r>
    <x v="5"/>
    <s v="Burnett/Jasjaap"/>
    <n v="3"/>
    <x v="0"/>
    <s v="Brock Purdy"/>
    <n v="25.78"/>
    <n v="2024"/>
  </r>
  <r>
    <x v="5"/>
    <s v="Burnett/Jasjaap"/>
    <n v="3"/>
    <x v="1"/>
    <s v="CeeDee Lamb"/>
    <n v="6.7"/>
    <n v="2024"/>
  </r>
  <r>
    <x v="5"/>
    <s v="Burnett/Jasjaap"/>
    <n v="3"/>
    <x v="1"/>
    <s v="Jaylen Waddle"/>
    <n v="4.5999999999999996"/>
    <n v="2024"/>
  </r>
  <r>
    <x v="5"/>
    <s v="Burnett/Jasjaap"/>
    <n v="3"/>
    <x v="1"/>
    <s v="Rashid Shaheed"/>
    <n v="0"/>
    <n v="2024"/>
  </r>
  <r>
    <x v="5"/>
    <s v="Burnett/Jasjaap"/>
    <n v="3"/>
    <x v="2"/>
    <s v="David Montgomery"/>
    <n v="19.7"/>
    <n v="2024"/>
  </r>
  <r>
    <x v="5"/>
    <s v="Burnett/Jasjaap"/>
    <n v="3"/>
    <x v="2"/>
    <s v="Josh Jacobs"/>
    <n v="5.3"/>
    <n v="2024"/>
  </r>
  <r>
    <x v="5"/>
    <s v="Burnett/Jasjaap"/>
    <n v="3"/>
    <x v="3"/>
    <s v="Brock Bowers"/>
    <n v="5.6"/>
    <n v="2024"/>
  </r>
  <r>
    <x v="5"/>
    <s v="Burnett/Jasjaap"/>
    <n v="3"/>
    <x v="5"/>
    <s v="Jake Elliott"/>
    <n v="1"/>
    <n v="2024"/>
  </r>
  <r>
    <x v="5"/>
    <s v="Burnett/Jasjaap"/>
    <n v="3"/>
    <x v="4"/>
    <s v="Pittsburgh"/>
    <n v="12"/>
    <n v="2024"/>
  </r>
  <r>
    <x v="0"/>
    <s v="Brenton"/>
    <n v="4"/>
    <x v="0"/>
    <s v="Baker Mayfield"/>
    <n v="28.88"/>
    <n v="2024"/>
  </r>
  <r>
    <x v="0"/>
    <s v="Brenton"/>
    <n v="4"/>
    <x v="1"/>
    <s v="Jayden Reed"/>
    <n v="23.6"/>
    <n v="2024"/>
  </r>
  <r>
    <x v="0"/>
    <s v="Brenton"/>
    <n v="4"/>
    <x v="1"/>
    <s v="Courtland Sutton"/>
    <n v="13.5"/>
    <n v="2024"/>
  </r>
  <r>
    <x v="0"/>
    <s v="Brenton"/>
    <n v="4"/>
    <x v="1"/>
    <s v="Tyreek Hill"/>
    <n v="6.2"/>
    <n v="2024"/>
  </r>
  <r>
    <x v="0"/>
    <s v="Brenton"/>
    <n v="4"/>
    <x v="2"/>
    <s v="Jerome Ford"/>
    <n v="12"/>
    <n v="2024"/>
  </r>
  <r>
    <x v="0"/>
    <s v="Brenton"/>
    <n v="4"/>
    <x v="2"/>
    <s v="Cam Akers"/>
    <n v="5.3"/>
    <n v="2024"/>
  </r>
  <r>
    <x v="0"/>
    <s v="Brenton"/>
    <n v="4"/>
    <x v="3"/>
    <s v="Colby Parkinson"/>
    <n v="5.3"/>
    <n v="2024"/>
  </r>
  <r>
    <x v="0"/>
    <s v="Brenton"/>
    <n v="4"/>
    <x v="5"/>
    <s v="Tyler Bass"/>
    <n v="5"/>
    <n v="2024"/>
  </r>
  <r>
    <x v="0"/>
    <s v="Brenton"/>
    <n v="4"/>
    <x v="4"/>
    <s v="Kansas City"/>
    <n v="7"/>
    <n v="2024"/>
  </r>
  <r>
    <x v="0"/>
    <s v="Brenton"/>
    <n v="4"/>
    <x v="6"/>
    <s v="Zay Flowers"/>
    <n v="1.5"/>
    <n v="2024"/>
  </r>
  <r>
    <x v="7"/>
    <s v="Jay"/>
    <n v="4"/>
    <x v="0"/>
    <s v="Lamar Jackson"/>
    <n v="23.64"/>
    <n v="2024"/>
  </r>
  <r>
    <x v="7"/>
    <s v="Jay"/>
    <n v="4"/>
    <x v="1"/>
    <s v="Amari Cooper"/>
    <n v="5.5"/>
    <n v="2024"/>
  </r>
  <r>
    <x v="7"/>
    <s v="Jay"/>
    <n v="4"/>
    <x v="1"/>
    <s v="Stefon Diggs"/>
    <n v="16"/>
    <n v="2024"/>
  </r>
  <r>
    <x v="7"/>
    <s v="Jay"/>
    <n v="4"/>
    <x v="1"/>
    <s v="Jauan Jennings"/>
    <n v="10.3"/>
    <n v="2024"/>
  </r>
  <r>
    <x v="7"/>
    <s v="Jay"/>
    <n v="4"/>
    <x v="2"/>
    <s v="Brian Robinson"/>
    <n v="18.8"/>
    <n v="2024"/>
  </r>
  <r>
    <x v="7"/>
    <s v="Jay"/>
    <n v="4"/>
    <x v="2"/>
    <s v="Alvin Kamara"/>
    <n v="21.4"/>
    <n v="2024"/>
  </r>
  <r>
    <x v="7"/>
    <s v="Jay"/>
    <n v="4"/>
    <x v="3"/>
    <s v="Tyler Conklin"/>
    <n v="3.7"/>
    <n v="2024"/>
  </r>
  <r>
    <x v="7"/>
    <s v="Jay"/>
    <n v="4"/>
    <x v="5"/>
    <s v="Ka'imi Fairbairn"/>
    <n v="6"/>
    <n v="2024"/>
  </r>
  <r>
    <x v="7"/>
    <s v="Jay"/>
    <n v="4"/>
    <x v="4"/>
    <s v="Miami"/>
    <n v="3"/>
    <n v="2024"/>
  </r>
  <r>
    <x v="7"/>
    <s v="Jay"/>
    <n v="4"/>
    <x v="7"/>
    <s v="Jonathan Taylor"/>
    <n v="18.3"/>
    <n v="2024"/>
  </r>
  <r>
    <x v="8"/>
    <s v="Schulwolf"/>
    <n v="4"/>
    <x v="0"/>
    <s v="Jayden Daniels"/>
    <n v="24.02"/>
    <n v="2024"/>
  </r>
  <r>
    <x v="8"/>
    <s v="Schulwolf"/>
    <n v="4"/>
    <x v="1"/>
    <s v="Terry McLaurin"/>
    <n v="14.7"/>
    <n v="2024"/>
  </r>
  <r>
    <x v="8"/>
    <s v="Schulwolf"/>
    <n v="4"/>
    <x v="1"/>
    <s v="Jerry Jeudy"/>
    <n v="10.199999999999999"/>
    <n v="2024"/>
  </r>
  <r>
    <x v="8"/>
    <s v="Schulwolf"/>
    <n v="4"/>
    <x v="1"/>
    <s v="Chris Godwin"/>
    <n v="9.9"/>
    <n v="2024"/>
  </r>
  <r>
    <x v="8"/>
    <s v="Schulwolf"/>
    <n v="4"/>
    <x v="2"/>
    <s v="Jahmyr Gibbs"/>
    <n v="19.8"/>
    <n v="2024"/>
  </r>
  <r>
    <x v="8"/>
    <s v="Schulwolf"/>
    <n v="4"/>
    <x v="2"/>
    <s v="Zack Moss"/>
    <n v="15.8"/>
    <n v="2024"/>
  </r>
  <r>
    <x v="8"/>
    <s v="Schulwolf"/>
    <n v="4"/>
    <x v="3"/>
    <s v="Dalton Kincaid"/>
    <n v="7.2"/>
    <n v="2024"/>
  </r>
  <r>
    <x v="8"/>
    <s v="Schulwolf"/>
    <n v="4"/>
    <x v="5"/>
    <s v="Brandon Aubrey"/>
    <n v="11"/>
    <n v="2024"/>
  </r>
  <r>
    <x v="8"/>
    <s v="Schulwolf"/>
    <n v="4"/>
    <x v="4"/>
    <s v="Dallas"/>
    <n v="3"/>
    <n v="2024"/>
  </r>
  <r>
    <x v="8"/>
    <s v="Schulwolf"/>
    <n v="4"/>
    <x v="7"/>
    <s v="James Cook"/>
    <n v="5.3"/>
    <n v="2024"/>
  </r>
  <r>
    <x v="5"/>
    <s v="Burnett/Jasjaap"/>
    <n v="4"/>
    <x v="0"/>
    <s v="Brock Purdy"/>
    <n v="14.62"/>
    <n v="2024"/>
  </r>
  <r>
    <x v="5"/>
    <s v="Burnett/Jasjaap"/>
    <n v="4"/>
    <x v="1"/>
    <s v="CeeDee Lamb"/>
    <n v="20.100000000000001"/>
    <n v="2024"/>
  </r>
  <r>
    <x v="5"/>
    <s v="Burnett/Jasjaap"/>
    <n v="4"/>
    <x v="1"/>
    <s v="Jaylen Waddle"/>
    <n v="5.6"/>
    <n v="2024"/>
  </r>
  <r>
    <x v="5"/>
    <s v="Burnett/Jasjaap"/>
    <n v="4"/>
    <x v="1"/>
    <s v="Rashid Shaheed"/>
    <n v="11.7"/>
    <n v="2024"/>
  </r>
  <r>
    <x v="5"/>
    <s v="Burnett/Jasjaap"/>
    <n v="4"/>
    <x v="2"/>
    <s v="David Montgomery"/>
    <n v="14.5"/>
    <n v="2024"/>
  </r>
  <r>
    <x v="5"/>
    <s v="Burnett/Jasjaap"/>
    <n v="4"/>
    <x v="2"/>
    <s v="Josh Jacobs"/>
    <n v="9.8000000000000007"/>
    <n v="2024"/>
  </r>
  <r>
    <x v="5"/>
    <s v="Burnett/Jasjaap"/>
    <n v="4"/>
    <x v="3"/>
    <s v="Brock Bowers"/>
    <n v="4.0999999999999996"/>
    <n v="2024"/>
  </r>
  <r>
    <x v="5"/>
    <s v="Burnett/Jasjaap"/>
    <n v="4"/>
    <x v="5"/>
    <s v="Jake Elliott"/>
    <n v="2"/>
    <n v="2024"/>
  </r>
  <r>
    <x v="5"/>
    <s v="Burnett/Jasjaap"/>
    <n v="4"/>
    <x v="4"/>
    <s v="Pittsburgh"/>
    <n v="1"/>
    <n v="2024"/>
  </r>
  <r>
    <x v="5"/>
    <s v="Burnett/Jasjaap"/>
    <n v="4"/>
    <x v="7"/>
    <s v="Gus Edwards"/>
    <n v="1.9"/>
    <n v="2024"/>
  </r>
  <r>
    <x v="2"/>
    <s v="Mike"/>
    <n v="4"/>
    <x v="0"/>
    <s v="Patrick Mahomes"/>
    <n v="13"/>
    <n v="2024"/>
  </r>
  <r>
    <x v="2"/>
    <s v="Mike"/>
    <n v="4"/>
    <x v="1"/>
    <s v="Mike Evans"/>
    <n v="19.399999999999999"/>
    <n v="2024"/>
  </r>
  <r>
    <x v="2"/>
    <s v="Mike"/>
    <n v="4"/>
    <x v="1"/>
    <s v="Khalil Shakir"/>
    <n v="8.1999999999999993"/>
    <n v="2024"/>
  </r>
  <r>
    <x v="2"/>
    <s v="Mike"/>
    <n v="4"/>
    <x v="1"/>
    <s v="Quentin Johnston"/>
    <n v="1.8"/>
    <n v="2024"/>
  </r>
  <r>
    <x v="2"/>
    <s v="Mike"/>
    <n v="4"/>
    <x v="2"/>
    <s v="Derrick Henry"/>
    <n v="34.4"/>
    <n v="2024"/>
  </r>
  <r>
    <x v="2"/>
    <s v="Mike"/>
    <n v="4"/>
    <x v="2"/>
    <s v="Carson Steele"/>
    <n v="-0.9"/>
    <n v="2024"/>
  </r>
  <r>
    <x v="2"/>
    <s v="Mike"/>
    <n v="4"/>
    <x v="3"/>
    <s v="Jake Ferguson"/>
    <n v="8.4"/>
    <n v="2024"/>
  </r>
  <r>
    <x v="2"/>
    <s v="Mike"/>
    <n v="4"/>
    <x v="5"/>
    <s v="Younghoe Koo"/>
    <n v="20"/>
    <n v="2024"/>
  </r>
  <r>
    <x v="2"/>
    <s v="Mike"/>
    <n v="4"/>
    <x v="4"/>
    <s v="Buffalo"/>
    <n v="-5"/>
    <n v="2024"/>
  </r>
  <r>
    <x v="2"/>
    <s v="Mike"/>
    <n v="4"/>
    <x v="8"/>
    <s v="Sam LaPorta"/>
    <n v="7.3"/>
    <n v="2024"/>
  </r>
  <r>
    <x v="4"/>
    <s v="Eli"/>
    <n v="4"/>
    <x v="0"/>
    <s v="Jalen Hurts"/>
    <n v="16.32"/>
    <n v="2024"/>
  </r>
  <r>
    <x v="4"/>
    <s v="Eli"/>
    <n v="4"/>
    <x v="1"/>
    <s v="Justin Jefferson"/>
    <n v="17.5"/>
    <n v="2024"/>
  </r>
  <r>
    <x v="4"/>
    <s v="Eli"/>
    <n v="4"/>
    <x v="1"/>
    <s v="DJ Moore"/>
    <n v="9.6999999999999993"/>
    <n v="2024"/>
  </r>
  <r>
    <x v="4"/>
    <s v="Eli"/>
    <n v="4"/>
    <x v="1"/>
    <s v="Jalen Tolbert"/>
    <n v="3.9"/>
    <n v="2024"/>
  </r>
  <r>
    <x v="4"/>
    <s v="Eli"/>
    <n v="4"/>
    <x v="2"/>
    <s v="Jordan Mason"/>
    <n v="23"/>
    <n v="2024"/>
  </r>
  <r>
    <x v="4"/>
    <s v="Eli"/>
    <n v="4"/>
    <x v="2"/>
    <s v="Bijan Robinson"/>
    <n v="9.4"/>
    <n v="2024"/>
  </r>
  <r>
    <x v="4"/>
    <s v="Eli"/>
    <n v="4"/>
    <x v="3"/>
    <s v="Dalton Schultz"/>
    <n v="4.9000000000000004"/>
    <n v="2024"/>
  </r>
  <r>
    <x v="4"/>
    <s v="Eli"/>
    <n v="4"/>
    <x v="5"/>
    <s v="Jake Moody"/>
    <n v="13"/>
    <n v="2024"/>
  </r>
  <r>
    <x v="4"/>
    <s v="Eli"/>
    <n v="4"/>
    <x v="4"/>
    <s v="NYJ"/>
    <n v="9"/>
    <n v="2024"/>
  </r>
  <r>
    <x v="4"/>
    <s v="Eli"/>
    <n v="4"/>
    <x v="6"/>
    <s v="Rome Odunze"/>
    <n v="1.5"/>
    <n v="2024"/>
  </r>
  <r>
    <x v="1"/>
    <s v="Todd"/>
    <n v="4"/>
    <x v="0"/>
    <s v="Dak Prescott"/>
    <n v="16.739999999999998"/>
    <n v="2024"/>
  </r>
  <r>
    <x v="1"/>
    <s v="Todd"/>
    <n v="4"/>
    <x v="1"/>
    <s v="Brian Thomas Jr"/>
    <n v="18.899999999999999"/>
    <n v="2024"/>
  </r>
  <r>
    <x v="1"/>
    <s v="Todd"/>
    <n v="4"/>
    <x v="1"/>
    <s v="Diontae Johnson"/>
    <n v="17.8"/>
    <n v="2024"/>
  </r>
  <r>
    <x v="1"/>
    <s v="Todd"/>
    <n v="4"/>
    <x v="1"/>
    <s v="Deebo Samuel"/>
    <n v="8.6999999999999993"/>
    <n v="2024"/>
  </r>
  <r>
    <x v="1"/>
    <s v="Todd"/>
    <n v="4"/>
    <x v="2"/>
    <s v="James Conner"/>
    <n v="17.8"/>
    <n v="2024"/>
  </r>
  <r>
    <x v="1"/>
    <s v="Todd"/>
    <n v="4"/>
    <x v="2"/>
    <s v="De'Von Achane"/>
    <n v="4.4000000000000004"/>
    <n v="2024"/>
  </r>
  <r>
    <x v="1"/>
    <s v="Todd"/>
    <n v="4"/>
    <x v="3"/>
    <s v="Kyle Pitts"/>
    <n v="0"/>
    <n v="2024"/>
  </r>
  <r>
    <x v="1"/>
    <s v="Todd"/>
    <n v="4"/>
    <x v="5"/>
    <s v="Chris Boswell"/>
    <n v="8"/>
    <n v="2024"/>
  </r>
  <r>
    <x v="1"/>
    <s v="Todd"/>
    <n v="4"/>
    <x v="4"/>
    <s v="Tennessee"/>
    <n v="13"/>
    <n v="2024"/>
  </r>
  <r>
    <x v="1"/>
    <s v="Todd"/>
    <n v="4"/>
    <x v="6"/>
    <s v="Rashee Rice"/>
    <n v="0"/>
    <n v="2024"/>
  </r>
  <r>
    <x v="11"/>
    <s v="Cam"/>
    <n v="4"/>
    <x v="0"/>
    <s v="Kyler Murray"/>
    <n v="9.98"/>
    <n v="2024"/>
  </r>
  <r>
    <x v="11"/>
    <s v="Cam"/>
    <n v="4"/>
    <x v="1"/>
    <s v="Ja'Marr Chase"/>
    <n v="16"/>
    <n v="2024"/>
  </r>
  <r>
    <x v="11"/>
    <s v="Cam"/>
    <n v="4"/>
    <x v="1"/>
    <s v="Nico Collins"/>
    <n v="27.1"/>
    <n v="2024"/>
  </r>
  <r>
    <x v="11"/>
    <s v="Cam"/>
    <n v="4"/>
    <x v="1"/>
    <s v="Jakobi Meyers"/>
    <n v="7.4"/>
    <n v="2024"/>
  </r>
  <r>
    <x v="11"/>
    <s v="Cam"/>
    <n v="4"/>
    <x v="2"/>
    <s v="Aaron Jones"/>
    <n v="15.9"/>
    <n v="2024"/>
  </r>
  <r>
    <x v="11"/>
    <s v="Cam"/>
    <n v="4"/>
    <x v="2"/>
    <s v="Rhamondre Stevenson"/>
    <n v="6.2"/>
    <n v="2024"/>
  </r>
  <r>
    <x v="11"/>
    <s v="Cam"/>
    <n v="4"/>
    <x v="3"/>
    <s v="George Kittle"/>
    <n v="12.5"/>
    <n v="2024"/>
  </r>
  <r>
    <x v="11"/>
    <s v="Cam"/>
    <n v="4"/>
    <x v="5"/>
    <s v="Evan McPherson"/>
    <n v="13"/>
    <n v="2024"/>
  </r>
  <r>
    <x v="11"/>
    <s v="Cam"/>
    <n v="4"/>
    <x v="4"/>
    <s v="Chicago"/>
    <n v="7"/>
    <n v="2024"/>
  </r>
  <r>
    <x v="11"/>
    <s v="Cam"/>
    <n v="4"/>
    <x v="6"/>
    <s v="Brandon Aiyuk"/>
    <n v="5.8"/>
    <n v="2024"/>
  </r>
  <r>
    <x v="6"/>
    <s v="Will"/>
    <n v="4"/>
    <x v="0"/>
    <s v="Geno Smith"/>
    <n v="21.6"/>
    <n v="2024"/>
  </r>
  <r>
    <x v="6"/>
    <s v="Will"/>
    <n v="4"/>
    <x v="1"/>
    <s v="Amon-Ra St. Brown"/>
    <n v="17.78"/>
    <n v="2024"/>
  </r>
  <r>
    <x v="6"/>
    <s v="Will"/>
    <n v="4"/>
    <x v="1"/>
    <s v="Drake London"/>
    <n v="9.4"/>
    <n v="2024"/>
  </r>
  <r>
    <x v="6"/>
    <s v="Will"/>
    <n v="4"/>
    <x v="1"/>
    <s v="Ladd McConkey"/>
    <n v="15.2"/>
    <n v="2024"/>
  </r>
  <r>
    <x v="6"/>
    <s v="Will"/>
    <n v="4"/>
    <x v="2"/>
    <s v="Travis Etienne"/>
    <n v="6.5"/>
    <n v="2024"/>
  </r>
  <r>
    <x v="6"/>
    <s v="Will"/>
    <n v="4"/>
    <x v="2"/>
    <s v="Zach Charbonet"/>
    <n v="7.9"/>
    <n v="2024"/>
  </r>
  <r>
    <x v="6"/>
    <s v="Will"/>
    <n v="4"/>
    <x v="3"/>
    <s v="Travis Kelce"/>
    <n v="12.4"/>
    <n v="2024"/>
  </r>
  <r>
    <x v="6"/>
    <s v="Will"/>
    <n v="4"/>
    <x v="5"/>
    <s v="Jason Myers"/>
    <n v="3"/>
    <n v="2024"/>
  </r>
  <r>
    <x v="6"/>
    <s v="Will"/>
    <n v="4"/>
    <x v="4"/>
    <s v="Houston"/>
    <n v="1"/>
    <n v="2024"/>
  </r>
  <r>
    <x v="6"/>
    <s v="Will"/>
    <n v="4"/>
    <x v="6"/>
    <s v="Jaxon Smith-Njigba"/>
    <n v="9.1"/>
    <n v="2024"/>
  </r>
  <r>
    <x v="9"/>
    <s v="Tommy"/>
    <n v="4"/>
    <x v="0"/>
    <s v="Josh Allen"/>
    <n v="7.3"/>
    <n v="2024"/>
  </r>
  <r>
    <x v="9"/>
    <s v="Tommy"/>
    <n v="4"/>
    <x v="1"/>
    <s v="Malik Nabers"/>
    <n v="17.100000000000001"/>
    <n v="2024"/>
  </r>
  <r>
    <x v="9"/>
    <s v="Tommy"/>
    <n v="4"/>
    <x v="1"/>
    <s v="Xavier Worthy"/>
    <n v="14.8"/>
    <n v="2024"/>
  </r>
  <r>
    <x v="9"/>
    <s v="Tommy"/>
    <n v="4"/>
    <x v="1"/>
    <s v="DK Metcalf"/>
    <n v="11.9"/>
    <n v="2024"/>
  </r>
  <r>
    <x v="9"/>
    <s v="Tommy"/>
    <n v="4"/>
    <x v="2"/>
    <s v="Kyren Williams"/>
    <n v="18.399999999999999"/>
    <n v="2024"/>
  </r>
  <r>
    <x v="9"/>
    <s v="Tommy"/>
    <n v="4"/>
    <x v="2"/>
    <s v="Saquon Barkley"/>
    <n v="12.6"/>
    <n v="2024"/>
  </r>
  <r>
    <x v="9"/>
    <s v="Tommy"/>
    <n v="4"/>
    <x v="3"/>
    <s v="Mike Gesicki"/>
    <n v="-0.4"/>
    <n v="2024"/>
  </r>
  <r>
    <x v="9"/>
    <s v="Tommy"/>
    <n v="4"/>
    <x v="5"/>
    <s v="Harrison Butker"/>
    <n v="5"/>
    <n v="2024"/>
  </r>
  <r>
    <x v="9"/>
    <s v="Tommy"/>
    <n v="4"/>
    <x v="4"/>
    <s v="San Francisco"/>
    <n v="23"/>
    <n v="2024"/>
  </r>
  <r>
    <x v="9"/>
    <s v="Tommy"/>
    <n v="4"/>
    <x v="7"/>
    <s v="Rachaad White"/>
    <n v="9.4"/>
    <n v="2024"/>
  </r>
  <r>
    <x v="10"/>
    <s v="Brand"/>
    <n v="4"/>
    <x v="0"/>
    <s v="Anthony Richardson"/>
    <n v="5.24"/>
    <n v="2024"/>
  </r>
  <r>
    <x v="10"/>
    <s v="Brand"/>
    <n v="4"/>
    <x v="1"/>
    <s v="Michael Pittman"/>
    <n v="14.3"/>
    <n v="2024"/>
  </r>
  <r>
    <x v="10"/>
    <s v="Brand"/>
    <n v="4"/>
    <x v="1"/>
    <s v="Garrett Wilson"/>
    <n v="4.5999999999999996"/>
    <n v="2024"/>
  </r>
  <r>
    <x v="10"/>
    <s v="Brand"/>
    <n v="4"/>
    <x v="1"/>
    <s v="Jameson Williams"/>
    <n v="15"/>
    <n v="2024"/>
  </r>
  <r>
    <x v="10"/>
    <s v="Brand"/>
    <n v="4"/>
    <x v="2"/>
    <s v="Kenneth Walker"/>
    <n v="31.6"/>
    <n v="2024"/>
  </r>
  <r>
    <x v="10"/>
    <s v="Brand"/>
    <n v="4"/>
    <x v="2"/>
    <s v="Breece Hall"/>
    <n v="2.8"/>
    <n v="2024"/>
  </r>
  <r>
    <x v="10"/>
    <s v="Brand"/>
    <n v="4"/>
    <x v="3"/>
    <s v="Dallas Goedert"/>
    <n v="9.6999999999999993"/>
    <n v="2024"/>
  </r>
  <r>
    <x v="10"/>
    <s v="Brand"/>
    <n v="4"/>
    <x v="5"/>
    <s v="Cairo Santos"/>
    <n v="7"/>
    <n v="2024"/>
  </r>
  <r>
    <x v="10"/>
    <s v="Brand"/>
    <n v="4"/>
    <x v="4"/>
    <s v="Las Vegas"/>
    <n v="10"/>
    <n v="2024"/>
  </r>
  <r>
    <x v="10"/>
    <s v="Brand"/>
    <n v="4"/>
    <x v="6"/>
    <s v="Keenan Allen"/>
    <n v="3.4"/>
    <n v="2024"/>
  </r>
  <r>
    <x v="3"/>
    <s v="Kevin"/>
    <n v="4"/>
    <x v="0"/>
    <s v="CJ Stroud"/>
    <n v="23.5"/>
    <n v="2024"/>
  </r>
  <r>
    <x v="3"/>
    <s v="Kevin"/>
    <n v="4"/>
    <x v="1"/>
    <s v="Jordan Addison"/>
    <n v="21.4"/>
    <n v="2024"/>
  </r>
  <r>
    <x v="3"/>
    <s v="Kevin"/>
    <n v="4"/>
    <x v="1"/>
    <s v="Marvin Harrison Jr"/>
    <n v="13"/>
    <n v="2024"/>
  </r>
  <r>
    <x v="3"/>
    <s v="Kevin"/>
    <n v="4"/>
    <x v="1"/>
    <s v="George Pickens"/>
    <n v="12.8"/>
    <n v="2024"/>
  </r>
  <r>
    <x v="3"/>
    <s v="Kevin"/>
    <n v="4"/>
    <x v="2"/>
    <s v="Chuba Hubbard"/>
    <n v="20.100000000000001"/>
    <n v="2024"/>
  </r>
  <r>
    <x v="3"/>
    <s v="Kevin"/>
    <n v="4"/>
    <x v="2"/>
    <s v="Najee Harris"/>
    <n v="8.8000000000000007"/>
    <n v="2024"/>
  </r>
  <r>
    <x v="3"/>
    <s v="Kevin"/>
    <n v="4"/>
    <x v="3"/>
    <s v="Hunter Henry"/>
    <n v="2.2000000000000002"/>
    <n v="2024"/>
  </r>
  <r>
    <x v="3"/>
    <s v="Kevin"/>
    <n v="4"/>
    <x v="5"/>
    <s v="Justin Tucker"/>
    <n v="5"/>
    <n v="2024"/>
  </r>
  <r>
    <x v="3"/>
    <s v="Kevin"/>
    <n v="4"/>
    <x v="4"/>
    <s v="Cleveland"/>
    <n v="12"/>
    <n v="2024"/>
  </r>
  <r>
    <x v="3"/>
    <s v="Kevin"/>
    <n v="4"/>
    <x v="6"/>
    <s v="Chris Olave"/>
    <n v="12.7"/>
    <n v="2024"/>
  </r>
  <r>
    <x v="0"/>
    <s v="Brenton"/>
    <n v="5"/>
    <x v="0"/>
    <s v="Baker Mayfield"/>
    <n v="23.4"/>
    <n v="2024"/>
  </r>
  <r>
    <x v="0"/>
    <s v="Brenton"/>
    <n v="5"/>
    <x v="1"/>
    <s v="Jayden Reed"/>
    <n v="11.7"/>
    <n v="2024"/>
  </r>
  <r>
    <x v="0"/>
    <s v="Brenton"/>
    <n v="5"/>
    <x v="1"/>
    <s v="Tyreek Hill"/>
    <n v="9.9"/>
    <n v="2024"/>
  </r>
  <r>
    <x v="0"/>
    <s v="Brenton"/>
    <n v="5"/>
    <x v="1"/>
    <s v="Courtland Sutton"/>
    <n v="4.2"/>
    <n v="2024"/>
  </r>
  <r>
    <x v="0"/>
    <s v="Brenton"/>
    <n v="5"/>
    <x v="2"/>
    <s v="Javonte Williams"/>
    <n v="13.6"/>
    <n v="2024"/>
  </r>
  <r>
    <x v="0"/>
    <s v="Brenton"/>
    <n v="5"/>
    <x v="2"/>
    <s v="Jerome Ford"/>
    <n v="6.4"/>
    <n v="2024"/>
  </r>
  <r>
    <x v="0"/>
    <s v="Brenton"/>
    <n v="5"/>
    <x v="3"/>
    <s v="Trey McBride"/>
    <n v="8.3000000000000007"/>
    <n v="2024"/>
  </r>
  <r>
    <x v="0"/>
    <s v="Brenton"/>
    <n v="5"/>
    <x v="5"/>
    <s v="Tyler Bass"/>
    <n v="8"/>
    <n v="2024"/>
  </r>
  <r>
    <x v="0"/>
    <s v="Brenton"/>
    <n v="5"/>
    <x v="4"/>
    <s v="New England"/>
    <n v="9"/>
    <n v="2024"/>
  </r>
  <r>
    <x v="0"/>
    <s v="Brenton"/>
    <n v="5"/>
    <x v="6"/>
    <s v="Dontayvion Wicks"/>
    <n v="3"/>
    <n v="2024"/>
  </r>
  <r>
    <x v="4"/>
    <s v="Eli"/>
    <n v="5"/>
    <x v="0"/>
    <s v="Deshaun Watson"/>
    <n v="8.4"/>
    <n v="2024"/>
  </r>
  <r>
    <x v="4"/>
    <s v="Eli"/>
    <n v="5"/>
    <x v="1"/>
    <s v="DJ Moore"/>
    <n v="25"/>
    <n v="2024"/>
  </r>
  <r>
    <x v="4"/>
    <s v="Eli"/>
    <n v="5"/>
    <x v="1"/>
    <s v="Justin Jefferson"/>
    <n v="12.2"/>
    <n v="2024"/>
  </r>
  <r>
    <x v="4"/>
    <s v="Eli"/>
    <n v="5"/>
    <x v="1"/>
    <s v="Rome Odunze"/>
    <n v="6.5"/>
    <n v="2024"/>
  </r>
  <r>
    <x v="4"/>
    <s v="Eli"/>
    <n v="5"/>
    <x v="2"/>
    <s v="Bijan Robinson"/>
    <n v="9.1999999999999993"/>
    <n v="2024"/>
  </r>
  <r>
    <x v="4"/>
    <s v="Eli"/>
    <n v="5"/>
    <x v="2"/>
    <s v="Jordan Mason"/>
    <n v="8.3000000000000007"/>
    <n v="2024"/>
  </r>
  <r>
    <x v="4"/>
    <s v="Eli"/>
    <n v="5"/>
    <x v="3"/>
    <s v="David Njoku"/>
    <n v="1.9"/>
    <n v="2024"/>
  </r>
  <r>
    <x v="4"/>
    <s v="Eli"/>
    <n v="5"/>
    <x v="5"/>
    <s v="Jake Moody"/>
    <n v="8"/>
    <n v="2024"/>
  </r>
  <r>
    <x v="4"/>
    <s v="Eli"/>
    <n v="5"/>
    <x v="4"/>
    <s v="NYJ"/>
    <n v="10"/>
    <n v="2024"/>
  </r>
  <r>
    <x v="4"/>
    <s v="Eli"/>
    <n v="5"/>
    <x v="6"/>
    <s v="Xavier Legette"/>
    <n v="1.3"/>
    <n v="2024"/>
  </r>
  <r>
    <x v="2"/>
    <s v="Mike"/>
    <n v="5"/>
    <x v="0"/>
    <s v="Justin Fields"/>
    <n v="15.94"/>
    <n v="2024"/>
  </r>
  <r>
    <x v="2"/>
    <s v="Mike"/>
    <n v="5"/>
    <x v="1"/>
    <s v="Mike Evans"/>
    <n v="20.7"/>
    <n v="2024"/>
  </r>
  <r>
    <x v="2"/>
    <s v="Mike"/>
    <n v="5"/>
    <x v="1"/>
    <s v="Tutu Atwell"/>
    <n v="9.5"/>
    <n v="2024"/>
  </r>
  <r>
    <x v="2"/>
    <s v="Mike"/>
    <n v="5"/>
    <x v="1"/>
    <s v="Tank Dell"/>
    <n v="5.3"/>
    <n v="2024"/>
  </r>
  <r>
    <x v="2"/>
    <s v="Mike"/>
    <n v="5"/>
    <x v="2"/>
    <s v="Derrick Henry"/>
    <n v="16.100000000000001"/>
    <n v="2024"/>
  </r>
  <r>
    <x v="2"/>
    <s v="Mike"/>
    <n v="5"/>
    <x v="2"/>
    <s v="Kareem Hunt"/>
    <n v="18.2"/>
    <n v="2024"/>
  </r>
  <r>
    <x v="2"/>
    <s v="Mike"/>
    <n v="5"/>
    <x v="3"/>
    <s v="Jake Ferguson"/>
    <n v="10"/>
    <n v="2024"/>
  </r>
  <r>
    <x v="2"/>
    <s v="Mike"/>
    <n v="5"/>
    <x v="5"/>
    <s v="Younghoe Koo"/>
    <n v="16"/>
    <n v="2024"/>
  </r>
  <r>
    <x v="2"/>
    <s v="Mike"/>
    <n v="5"/>
    <x v="4"/>
    <s v="Buffalo"/>
    <n v="1"/>
    <n v="2024"/>
  </r>
  <r>
    <x v="2"/>
    <s v="Mike"/>
    <n v="5"/>
    <x v="7"/>
    <s v="Chase Brown"/>
    <n v="14.9"/>
    <n v="2024"/>
  </r>
  <r>
    <x v="11"/>
    <s v="Cam"/>
    <n v="5"/>
    <x v="0"/>
    <s v="Joe Burrow"/>
    <n v="33.78"/>
    <n v="2024"/>
  </r>
  <r>
    <x v="11"/>
    <s v="Cam"/>
    <n v="5"/>
    <x v="1"/>
    <s v="Ja'Marr Chase"/>
    <n v="36.299999999999997"/>
    <n v="2024"/>
  </r>
  <r>
    <x v="11"/>
    <s v="Cam"/>
    <n v="5"/>
    <x v="1"/>
    <s v="Brandon Aiyuk"/>
    <n v="18.7"/>
    <n v="2024"/>
  </r>
  <r>
    <x v="11"/>
    <s v="Cam"/>
    <n v="5"/>
    <x v="1"/>
    <s v="Nico Collins"/>
    <n v="14.8"/>
    <n v="2024"/>
  </r>
  <r>
    <x v="11"/>
    <s v="Cam"/>
    <n v="5"/>
    <x v="2"/>
    <s v="D'Andre Swift"/>
    <n v="19"/>
    <n v="2024"/>
  </r>
  <r>
    <x v="11"/>
    <s v="Cam"/>
    <n v="5"/>
    <x v="2"/>
    <s v="Aaron Jones"/>
    <n v="5.8"/>
    <n v="2024"/>
  </r>
  <r>
    <x v="11"/>
    <s v="Cam"/>
    <n v="5"/>
    <x v="3"/>
    <s v="George Kittle"/>
    <n v="16.399999999999999"/>
    <n v="2024"/>
  </r>
  <r>
    <x v="11"/>
    <s v="Cam"/>
    <n v="5"/>
    <x v="5"/>
    <s v="Evan McPherson"/>
    <n v="4"/>
    <n v="2024"/>
  </r>
  <r>
    <x v="11"/>
    <s v="Cam"/>
    <n v="5"/>
    <x v="4"/>
    <s v="Chicago"/>
    <n v="15"/>
    <n v="2024"/>
  </r>
  <r>
    <x v="11"/>
    <s v="Cam"/>
    <n v="5"/>
    <x v="6"/>
    <s v="Wan'Dale Robinson"/>
    <n v="13"/>
    <n v="2024"/>
  </r>
  <r>
    <x v="10"/>
    <s v="Brand"/>
    <n v="5"/>
    <x v="0"/>
    <s v="Joe Flacco"/>
    <n v="26.56"/>
    <n v="2024"/>
  </r>
  <r>
    <x v="10"/>
    <s v="Brand"/>
    <n v="5"/>
    <x v="1"/>
    <s v="Garrett Wilson"/>
    <n v="22.6"/>
    <n v="2024"/>
  </r>
  <r>
    <x v="10"/>
    <s v="Brand"/>
    <n v="5"/>
    <x v="1"/>
    <s v="Michael Pittman"/>
    <n v="12.2"/>
    <n v="2024"/>
  </r>
  <r>
    <x v="10"/>
    <s v="Brand"/>
    <n v="5"/>
    <x v="1"/>
    <s v="Keenan Allen"/>
    <n v="4.8"/>
    <n v="2024"/>
  </r>
  <r>
    <x v="10"/>
    <s v="Brand"/>
    <n v="5"/>
    <x v="2"/>
    <s v="Kenneth Walker"/>
    <n v="11.1"/>
    <n v="2024"/>
  </r>
  <r>
    <x v="10"/>
    <s v="Brand"/>
    <n v="5"/>
    <x v="2"/>
    <s v="Breece Hall"/>
    <n v="5.2"/>
    <n v="2024"/>
  </r>
  <r>
    <x v="10"/>
    <s v="Brand"/>
    <n v="5"/>
    <x v="3"/>
    <s v="Zach Ertz"/>
    <n v="2"/>
    <n v="2024"/>
  </r>
  <r>
    <x v="10"/>
    <s v="Brand"/>
    <n v="5"/>
    <x v="5"/>
    <s v="Cairo Santos"/>
    <n v="5"/>
    <n v="2024"/>
  </r>
  <r>
    <x v="10"/>
    <s v="Brand"/>
    <n v="5"/>
    <x v="4"/>
    <s v="Indianapolis"/>
    <n v="-4"/>
    <n v="2024"/>
  </r>
  <r>
    <x v="10"/>
    <s v="Brand"/>
    <n v="5"/>
    <x v="7"/>
    <s v="Bucky Irving"/>
    <n v="4.5999999999999996"/>
    <n v="2024"/>
  </r>
  <r>
    <x v="5"/>
    <s v="Burnett/Jasjaap"/>
    <n v="5"/>
    <x v="0"/>
    <s v="Brock Purdy"/>
    <n v="13.06"/>
    <n v="2024"/>
  </r>
  <r>
    <x v="5"/>
    <s v="Burnett/Jasjaap"/>
    <n v="5"/>
    <x v="1"/>
    <s v="Rashid Shaheed"/>
    <n v="16.600000000000001"/>
    <n v="2024"/>
  </r>
  <r>
    <x v="5"/>
    <s v="Burnett/Jasjaap"/>
    <n v="5"/>
    <x v="1"/>
    <s v="CeeDee Lamb"/>
    <n v="8.9"/>
    <n v="2024"/>
  </r>
  <r>
    <x v="5"/>
    <s v="Burnett/Jasjaap"/>
    <n v="5"/>
    <x v="1"/>
    <s v="Jordan Whittington"/>
    <n v="12.4"/>
    <n v="2024"/>
  </r>
  <r>
    <x v="5"/>
    <s v="Burnett/Jasjaap"/>
    <n v="5"/>
    <x v="2"/>
    <s v="Josh Jacobs"/>
    <n v="15.9"/>
    <n v="2024"/>
  </r>
  <r>
    <x v="5"/>
    <s v="Burnett/Jasjaap"/>
    <n v="5"/>
    <x v="2"/>
    <s v="Rico Dowdle"/>
    <n v="18.399999999999999"/>
    <n v="2024"/>
  </r>
  <r>
    <x v="5"/>
    <s v="Burnett/Jasjaap"/>
    <n v="5"/>
    <x v="3"/>
    <s v="Brock Bowers"/>
    <n v="19.7"/>
    <n v="2024"/>
  </r>
  <r>
    <x v="5"/>
    <s v="Burnett/Jasjaap"/>
    <n v="5"/>
    <x v="5"/>
    <s v="Austin Seibert"/>
    <n v="10"/>
    <n v="2024"/>
  </r>
  <r>
    <x v="5"/>
    <s v="Burnett/Jasjaap"/>
    <n v="5"/>
    <x v="4"/>
    <s v="Pittsburgh"/>
    <n v="7"/>
    <n v="2024"/>
  </r>
  <r>
    <x v="5"/>
    <s v="Burnett/Jasjaap"/>
    <n v="5"/>
    <x v="6"/>
    <s v="Jaylen Waddle"/>
    <n v="6.6"/>
    <n v="2024"/>
  </r>
  <r>
    <x v="6"/>
    <s v="Will"/>
    <n v="5"/>
    <x v="0"/>
    <s v="Geno Smith"/>
    <n v="22.56"/>
    <n v="2024"/>
  </r>
  <r>
    <x v="6"/>
    <s v="Will"/>
    <n v="5"/>
    <x v="1"/>
    <s v="Drake London"/>
    <n v="27.4"/>
    <n v="2024"/>
  </r>
  <r>
    <x v="6"/>
    <s v="Will"/>
    <n v="5"/>
    <x v="1"/>
    <s v="Jaxon Smith-Njigba"/>
    <n v="11.1"/>
    <n v="2024"/>
  </r>
  <r>
    <x v="6"/>
    <s v="Will"/>
    <n v="5"/>
    <x v="1"/>
    <s v="Keon Coleman"/>
    <n v="11.4"/>
    <n v="2024"/>
  </r>
  <r>
    <x v="6"/>
    <s v="Will"/>
    <n v="5"/>
    <x v="2"/>
    <s v="Travis Etienne"/>
    <n v="9"/>
    <n v="2024"/>
  </r>
  <r>
    <x v="6"/>
    <s v="Will"/>
    <n v="5"/>
    <x v="2"/>
    <s v="Austin Ekeler"/>
    <n v="10.7"/>
    <n v="2024"/>
  </r>
  <r>
    <x v="6"/>
    <s v="Will"/>
    <n v="5"/>
    <x v="3"/>
    <s v="Travis Kelce"/>
    <n v="11.5"/>
    <n v="2024"/>
  </r>
  <r>
    <x v="6"/>
    <s v="Will"/>
    <n v="5"/>
    <x v="5"/>
    <s v="Jason Myers"/>
    <n v="9"/>
    <n v="2024"/>
  </r>
  <r>
    <x v="6"/>
    <s v="Will"/>
    <n v="5"/>
    <x v="4"/>
    <s v="Houston"/>
    <n v="3"/>
    <n v="2024"/>
  </r>
  <r>
    <x v="6"/>
    <s v="Will"/>
    <n v="5"/>
    <x v="7"/>
    <s v="Zach Charbonet"/>
    <n v="4.5"/>
    <n v="2024"/>
  </r>
  <r>
    <x v="8"/>
    <s v="Schulwolf"/>
    <n v="5"/>
    <x v="0"/>
    <s v="Jayden Daniels"/>
    <n v="19.72"/>
    <n v="2024"/>
  </r>
  <r>
    <x v="8"/>
    <s v="Schulwolf"/>
    <n v="5"/>
    <x v="1"/>
    <s v="Terry McLaurin"/>
    <n v="11.4"/>
    <n v="2024"/>
  </r>
  <r>
    <x v="8"/>
    <s v="Schulwolf"/>
    <n v="5"/>
    <x v="1"/>
    <s v="Chris Godwin"/>
    <n v="9.1"/>
    <n v="2024"/>
  </r>
  <r>
    <x v="8"/>
    <s v="Schulwolf"/>
    <n v="5"/>
    <x v="1"/>
    <s v="Tyler Lockett"/>
    <n v="9.5"/>
    <n v="2024"/>
  </r>
  <r>
    <x v="8"/>
    <s v="Schulwolf"/>
    <n v="5"/>
    <x v="2"/>
    <s v="James Cook"/>
    <n v="16.899999999999999"/>
    <n v="2024"/>
  </r>
  <r>
    <x v="8"/>
    <s v="Schulwolf"/>
    <n v="5"/>
    <x v="2"/>
    <s v="Zack Moss"/>
    <n v="6.7"/>
    <n v="2024"/>
  </r>
  <r>
    <x v="8"/>
    <s v="Schulwolf"/>
    <n v="5"/>
    <x v="3"/>
    <s v="Dalton Kincaid"/>
    <n v="4.4000000000000004"/>
    <n v="2024"/>
  </r>
  <r>
    <x v="8"/>
    <s v="Schulwolf"/>
    <n v="5"/>
    <x v="5"/>
    <s v="Brandon Aubrey"/>
    <n v="9"/>
    <n v="2024"/>
  </r>
  <r>
    <x v="8"/>
    <s v="Schulwolf"/>
    <n v="5"/>
    <x v="4"/>
    <s v="Denver"/>
    <n v="15"/>
    <n v="2024"/>
  </r>
  <r>
    <x v="8"/>
    <s v="Schulwolf"/>
    <n v="5"/>
    <x v="6"/>
    <s v="Jerry Jeudy"/>
    <n v="2.1"/>
    <n v="2024"/>
  </r>
  <r>
    <x v="1"/>
    <s v="Todd"/>
    <n v="5"/>
    <x v="0"/>
    <s v="Sam Darnold"/>
    <n v="4.26"/>
    <n v="2024"/>
  </r>
  <r>
    <x v="1"/>
    <s v="Todd"/>
    <n v="5"/>
    <x v="1"/>
    <s v="Brian Thomas Jr"/>
    <n v="20.7"/>
    <n v="2024"/>
  </r>
  <r>
    <x v="1"/>
    <s v="Todd"/>
    <n v="5"/>
    <x v="1"/>
    <s v="Darnell Mooney"/>
    <n v="27"/>
    <n v="2024"/>
  </r>
  <r>
    <x v="1"/>
    <s v="Todd"/>
    <n v="5"/>
    <x v="1"/>
    <s v="Diontae Johnson"/>
    <n v="4.4000000000000004"/>
    <n v="2024"/>
  </r>
  <r>
    <x v="1"/>
    <s v="Todd"/>
    <n v="5"/>
    <x v="2"/>
    <s v="James Conner"/>
    <n v="13"/>
    <n v="2024"/>
  </r>
  <r>
    <x v="1"/>
    <s v="Todd"/>
    <n v="5"/>
    <x v="2"/>
    <s v="De'Von Achane"/>
    <n v="2.2000000000000002"/>
    <n v="2024"/>
  </r>
  <r>
    <x v="1"/>
    <s v="Todd"/>
    <n v="5"/>
    <x v="3"/>
    <s v="Tucker Kraft"/>
    <n v="22.8"/>
    <n v="2024"/>
  </r>
  <r>
    <x v="1"/>
    <s v="Todd"/>
    <n v="5"/>
    <x v="5"/>
    <s v="Chris Boswell"/>
    <n v="6"/>
    <n v="2024"/>
  </r>
  <r>
    <x v="1"/>
    <s v="Todd"/>
    <n v="5"/>
    <x v="4"/>
    <s v="Green Bay"/>
    <n v="12"/>
    <n v="2024"/>
  </r>
  <r>
    <x v="1"/>
    <s v="Todd"/>
    <n v="5"/>
    <x v="6"/>
    <s v="Deebo Samuel"/>
    <n v="2.5"/>
    <n v="2024"/>
  </r>
  <r>
    <x v="9"/>
    <s v="Tommy"/>
    <n v="5"/>
    <x v="0"/>
    <s v="Josh Allen"/>
    <n v="14.64"/>
    <n v="2024"/>
  </r>
  <r>
    <x v="9"/>
    <s v="Tommy"/>
    <n v="5"/>
    <x v="1"/>
    <s v="Xavier Worthy"/>
    <n v="10.3"/>
    <n v="2024"/>
  </r>
  <r>
    <x v="9"/>
    <s v="Tommy"/>
    <n v="5"/>
    <x v="1"/>
    <s v="Allen Lazard"/>
    <n v="11.4"/>
    <n v="2024"/>
  </r>
  <r>
    <x v="9"/>
    <s v="Tommy"/>
    <n v="5"/>
    <x v="1"/>
    <s v="Michael Wilson"/>
    <n v="10.3"/>
    <n v="2024"/>
  </r>
  <r>
    <x v="9"/>
    <s v="Tommy"/>
    <n v="5"/>
    <x v="2"/>
    <s v="Kyren Williams"/>
    <n v="15"/>
    <n v="2024"/>
  </r>
  <r>
    <x v="9"/>
    <s v="Tommy"/>
    <n v="5"/>
    <x v="2"/>
    <s v="Rachaad White"/>
    <n v="8.1"/>
    <n v="2024"/>
  </r>
  <r>
    <x v="9"/>
    <s v="Tommy"/>
    <n v="5"/>
    <x v="3"/>
    <s v="Cade Otton"/>
    <n v="5.9"/>
    <n v="2024"/>
  </r>
  <r>
    <x v="9"/>
    <s v="Tommy"/>
    <n v="5"/>
    <x v="5"/>
    <s v="Harrison Butker"/>
    <n v="14"/>
    <n v="2024"/>
  </r>
  <r>
    <x v="9"/>
    <s v="Tommy"/>
    <n v="5"/>
    <x v="4"/>
    <s v="Minnesota"/>
    <n v="17"/>
    <n v="2024"/>
  </r>
  <r>
    <x v="9"/>
    <s v="Tommy"/>
    <n v="5"/>
    <x v="6"/>
    <s v="DK Metcalf"/>
    <n v="5.5"/>
    <n v="2024"/>
  </r>
  <r>
    <x v="7"/>
    <s v="Jay"/>
    <n v="5"/>
    <x v="0"/>
    <s v="Lamar Jackson"/>
    <n v="33.42"/>
    <n v="2024"/>
  </r>
  <r>
    <x v="7"/>
    <s v="Jay"/>
    <n v="5"/>
    <x v="1"/>
    <s v="Stefon Diggs"/>
    <n v="11.2"/>
    <n v="2024"/>
  </r>
  <r>
    <x v="7"/>
    <s v="Jay"/>
    <n v="5"/>
    <x v="1"/>
    <s v="Amari Cooper"/>
    <n v="8"/>
    <n v="2024"/>
  </r>
  <r>
    <x v="7"/>
    <s v="Jay"/>
    <n v="5"/>
    <x v="1"/>
    <s v="Jauan Jennings"/>
    <n v="1.8"/>
    <n v="2024"/>
  </r>
  <r>
    <x v="7"/>
    <s v="Jay"/>
    <n v="5"/>
    <x v="2"/>
    <s v="Trey Sermon"/>
    <n v="15.3"/>
    <n v="2024"/>
  </r>
  <r>
    <x v="7"/>
    <s v="Jay"/>
    <n v="5"/>
    <x v="2"/>
    <s v="Brian Robinson"/>
    <n v="13.8"/>
    <n v="2024"/>
  </r>
  <r>
    <x v="7"/>
    <s v="Jay"/>
    <n v="5"/>
    <x v="3"/>
    <s v="Tyler Conklin"/>
    <n v="8.5"/>
    <n v="2024"/>
  </r>
  <r>
    <x v="7"/>
    <s v="Jay"/>
    <n v="5"/>
    <x v="5"/>
    <s v="Ka'imi Fairbairn"/>
    <n v="16"/>
    <n v="2024"/>
  </r>
  <r>
    <x v="7"/>
    <s v="Jay"/>
    <n v="5"/>
    <x v="4"/>
    <s v="Miami"/>
    <n v="7"/>
    <n v="2024"/>
  </r>
  <r>
    <x v="7"/>
    <s v="Jay"/>
    <n v="5"/>
    <x v="7"/>
    <s v="Alvin Kamara"/>
    <n v="9.6"/>
    <n v="2024"/>
  </r>
  <r>
    <x v="3"/>
    <s v="Kevin"/>
    <n v="5"/>
    <x v="0"/>
    <s v="CJ Stroud"/>
    <n v="15.94"/>
    <n v="2024"/>
  </r>
  <r>
    <x v="3"/>
    <s v="Kevin"/>
    <n v="5"/>
    <x v="1"/>
    <s v="Jordan Addison"/>
    <n v="5.0999999999999996"/>
    <n v="2024"/>
  </r>
  <r>
    <x v="3"/>
    <s v="Kevin"/>
    <n v="5"/>
    <x v="1"/>
    <s v="Marvin Harrison Jr"/>
    <n v="4.5999999999999996"/>
    <n v="2024"/>
  </r>
  <r>
    <x v="3"/>
    <s v="Kevin"/>
    <n v="5"/>
    <x v="1"/>
    <s v="George Pickens"/>
    <n v="4.0999999999999996"/>
    <n v="2024"/>
  </r>
  <r>
    <x v="3"/>
    <s v="Kevin"/>
    <n v="5"/>
    <x v="2"/>
    <s v="Chuba Hubbard"/>
    <n v="15.5"/>
    <n v="2024"/>
  </r>
  <r>
    <x v="3"/>
    <s v="Kevin"/>
    <n v="5"/>
    <x v="2"/>
    <s v="Najee Harris"/>
    <n v="8.6999999999999993"/>
    <n v="2024"/>
  </r>
  <r>
    <x v="3"/>
    <s v="Kevin"/>
    <n v="5"/>
    <x v="3"/>
    <s v="Hunter Henry"/>
    <n v="4.2"/>
    <n v="2024"/>
  </r>
  <r>
    <x v="3"/>
    <s v="Kevin"/>
    <n v="5"/>
    <x v="5"/>
    <s v="Justin Tucker"/>
    <n v="13"/>
    <n v="2024"/>
  </r>
  <r>
    <x v="3"/>
    <s v="Kevin"/>
    <n v="5"/>
    <x v="4"/>
    <s v="Seattle"/>
    <n v="7"/>
    <n v="2024"/>
  </r>
  <r>
    <x v="3"/>
    <s v="Kevin"/>
    <n v="5"/>
    <x v="6"/>
    <s v="Chris Olave"/>
    <n v="2"/>
    <n v="2024"/>
  </r>
  <r>
    <x v="0"/>
    <s v="Brenton"/>
    <n v="6"/>
    <x v="0"/>
    <s v="Daniel Jones"/>
    <n v="11.8"/>
    <n v="2024"/>
  </r>
  <r>
    <x v="0"/>
    <s v="Brenton"/>
    <n v="6"/>
    <x v="1"/>
    <s v="Jayden Reed"/>
    <n v="11.8"/>
    <n v="2024"/>
  </r>
  <r>
    <x v="0"/>
    <s v="Brenton"/>
    <n v="6"/>
    <x v="1"/>
    <s v="Courtland Sutton"/>
    <n v="13.3"/>
    <n v="2024"/>
  </r>
  <r>
    <x v="0"/>
    <s v="Brenton"/>
    <n v="6"/>
    <x v="1"/>
    <s v="Zay Flowers"/>
    <n v="17.899999999999999"/>
    <n v="2024"/>
  </r>
  <r>
    <x v="0"/>
    <s v="Brenton"/>
    <n v="6"/>
    <x v="2"/>
    <s v="Javonte Williams"/>
    <n v="3.1"/>
    <n v="2024"/>
  </r>
  <r>
    <x v="0"/>
    <s v="Brenton"/>
    <n v="6"/>
    <x v="2"/>
    <s v="Tank Bigsby"/>
    <n v="2.4"/>
    <n v="2024"/>
  </r>
  <r>
    <x v="0"/>
    <s v="Brenton"/>
    <n v="6"/>
    <x v="3"/>
    <s v="Trey McBride"/>
    <n v="13.6"/>
    <n v="2024"/>
  </r>
  <r>
    <x v="0"/>
    <s v="Brenton"/>
    <n v="6"/>
    <x v="5"/>
    <s v="Jake Elliott"/>
    <n v="10"/>
    <n v="2024"/>
  </r>
  <r>
    <x v="0"/>
    <s v="Brenton"/>
    <n v="6"/>
    <x v="4"/>
    <s v="Atlanta"/>
    <n v="4"/>
    <n v="2024"/>
  </r>
  <r>
    <x v="0"/>
    <s v="Brenton"/>
    <n v="6"/>
    <x v="6"/>
    <s v="Dontayvion Wicks"/>
    <n v="1.4"/>
    <n v="2024"/>
  </r>
  <r>
    <x v="11"/>
    <s v="Cam"/>
    <n v="6"/>
    <x v="0"/>
    <s v="Joe Burrow"/>
    <n v="19.82"/>
    <n v="2024"/>
  </r>
  <r>
    <x v="11"/>
    <s v="Cam"/>
    <n v="6"/>
    <x v="1"/>
    <s v="Josh Downs"/>
    <n v="16"/>
    <n v="2024"/>
  </r>
  <r>
    <x v="11"/>
    <s v="Cam"/>
    <n v="6"/>
    <x v="1"/>
    <s v="Ja'Marr Chase"/>
    <n v="9.6999999999999993"/>
    <n v="2024"/>
  </r>
  <r>
    <x v="11"/>
    <s v="Cam"/>
    <n v="6"/>
    <x v="1"/>
    <s v="Wan'Dale Robinson"/>
    <n v="7.5"/>
    <n v="2024"/>
  </r>
  <r>
    <x v="11"/>
    <s v="Cam"/>
    <n v="6"/>
    <x v="2"/>
    <s v="D'Andre Swift"/>
    <n v="19.899999999999999"/>
    <n v="2024"/>
  </r>
  <r>
    <x v="11"/>
    <s v="Cam"/>
    <n v="6"/>
    <x v="2"/>
    <s v="JK Dobbins"/>
    <n v="17.2"/>
    <n v="2024"/>
  </r>
  <r>
    <x v="11"/>
    <s v="Cam"/>
    <n v="6"/>
    <x v="3"/>
    <s v="George Kittle"/>
    <n v="20.3"/>
    <n v="2024"/>
  </r>
  <r>
    <x v="11"/>
    <s v="Cam"/>
    <n v="6"/>
    <x v="5"/>
    <s v="Evan McPherson"/>
    <n v="5"/>
    <n v="2024"/>
  </r>
  <r>
    <x v="11"/>
    <s v="Cam"/>
    <n v="6"/>
    <x v="4"/>
    <s v="Chicago"/>
    <n v="10"/>
    <n v="2024"/>
  </r>
  <r>
    <x v="11"/>
    <s v="Cam"/>
    <n v="6"/>
    <x v="6"/>
    <s v="Brandon Aiyuk"/>
    <n v="4.7"/>
    <n v="2024"/>
  </r>
  <r>
    <x v="2"/>
    <s v="Mike"/>
    <n v="6"/>
    <x v="0"/>
    <s v="Justin Fields"/>
    <n v="23.7"/>
    <n v="2024"/>
  </r>
  <r>
    <x v="2"/>
    <s v="Mike"/>
    <n v="6"/>
    <x v="1"/>
    <s v="Tank Dell"/>
    <n v="15.2"/>
    <n v="2024"/>
  </r>
  <r>
    <x v="2"/>
    <s v="Mike"/>
    <n v="6"/>
    <x v="1"/>
    <s v="Mike Evans"/>
    <n v="4.4000000000000004"/>
    <n v="2024"/>
  </r>
  <r>
    <x v="2"/>
    <s v="Mike"/>
    <n v="6"/>
    <x v="1"/>
    <s v="Ray-Ray McCloud"/>
    <n v="2.8"/>
    <n v="2024"/>
  </r>
  <r>
    <x v="2"/>
    <s v="Mike"/>
    <n v="6"/>
    <x v="2"/>
    <s v="Derrick Henry"/>
    <n v="25.2"/>
    <n v="2024"/>
  </r>
  <r>
    <x v="2"/>
    <s v="Mike"/>
    <n v="6"/>
    <x v="2"/>
    <s v="Chase Brown"/>
    <n v="13.4"/>
    <n v="2024"/>
  </r>
  <r>
    <x v="2"/>
    <s v="Mike"/>
    <n v="6"/>
    <x v="3"/>
    <s v="Sam LaPorta"/>
    <n v="11.7"/>
    <n v="2024"/>
  </r>
  <r>
    <x v="2"/>
    <s v="Mike"/>
    <n v="6"/>
    <x v="5"/>
    <s v="Younghoe Koo"/>
    <n v="12"/>
    <n v="2024"/>
  </r>
  <r>
    <x v="2"/>
    <s v="Mike"/>
    <n v="6"/>
    <x v="4"/>
    <s v="Buffalo"/>
    <n v="5"/>
    <n v="2024"/>
  </r>
  <r>
    <x v="2"/>
    <s v="Mike"/>
    <n v="6"/>
    <x v="8"/>
    <s v="Jake Ferguson"/>
    <n v="2.6"/>
    <n v="2024"/>
  </r>
  <r>
    <x v="9"/>
    <s v="Tommy"/>
    <n v="6"/>
    <x v="0"/>
    <s v="Josh Allen"/>
    <n v="24.4"/>
    <n v="2024"/>
  </r>
  <r>
    <x v="9"/>
    <s v="Tommy"/>
    <n v="6"/>
    <x v="1"/>
    <s v="Allen Lazard"/>
    <n v="20.399999999999999"/>
    <n v="2024"/>
  </r>
  <r>
    <x v="9"/>
    <s v="Tommy"/>
    <n v="6"/>
    <x v="1"/>
    <s v="Romeo Doubs"/>
    <n v="18.399999999999999"/>
    <n v="2024"/>
  </r>
  <r>
    <x v="9"/>
    <s v="Tommy"/>
    <n v="6"/>
    <x v="1"/>
    <s v="Michael Wilson"/>
    <n v="9.1"/>
    <n v="2024"/>
  </r>
  <r>
    <x v="9"/>
    <s v="Tommy"/>
    <n v="6"/>
    <x v="2"/>
    <s v="Alexander Mattison"/>
    <n v="15"/>
    <n v="2024"/>
  </r>
  <r>
    <x v="9"/>
    <s v="Tommy"/>
    <n v="6"/>
    <x v="2"/>
    <s v="Saquon Barkley"/>
    <n v="6.4"/>
    <n v="2024"/>
  </r>
  <r>
    <x v="9"/>
    <s v="Tommy"/>
    <n v="6"/>
    <x v="3"/>
    <s v="Cade Otton"/>
    <n v="8.5"/>
    <n v="2024"/>
  </r>
  <r>
    <x v="9"/>
    <s v="Tommy"/>
    <n v="6"/>
    <x v="5"/>
    <s v="Chase McLaughlin"/>
    <n v="9"/>
    <n v="2024"/>
  </r>
  <r>
    <x v="9"/>
    <s v="Tommy"/>
    <n v="6"/>
    <x v="4"/>
    <s v="San Francisco"/>
    <n v="6"/>
    <n v="2024"/>
  </r>
  <r>
    <x v="9"/>
    <s v="Tommy"/>
    <n v="6"/>
    <x v="6"/>
    <s v="DK Metcalf"/>
    <n v="6.3"/>
    <n v="2024"/>
  </r>
  <r>
    <x v="1"/>
    <s v="Todd"/>
    <n v="6"/>
    <x v="0"/>
    <s v="Dak Prescott"/>
    <n v="3.22"/>
    <n v="2024"/>
  </r>
  <r>
    <x v="1"/>
    <s v="Todd"/>
    <n v="6"/>
    <x v="1"/>
    <s v="Deebo Samuel"/>
    <n v="19.2"/>
    <n v="2024"/>
  </r>
  <r>
    <x v="1"/>
    <s v="Todd"/>
    <n v="6"/>
    <x v="1"/>
    <s v="AJ Brown"/>
    <n v="20.6"/>
    <n v="2024"/>
  </r>
  <r>
    <x v="1"/>
    <s v="Todd"/>
    <n v="6"/>
    <x v="1"/>
    <s v="Darnell Mooney"/>
    <n v="5.3"/>
    <n v="2024"/>
  </r>
  <r>
    <x v="1"/>
    <s v="Todd"/>
    <n v="6"/>
    <x v="2"/>
    <s v="James Conner"/>
    <n v="4.5999999999999996"/>
    <n v="2024"/>
  </r>
  <r>
    <x v="1"/>
    <s v="Todd"/>
    <n v="6"/>
    <x v="2"/>
    <s v="Braelon Allen"/>
    <n v="0.8"/>
    <n v="2024"/>
  </r>
  <r>
    <x v="1"/>
    <s v="Todd"/>
    <n v="6"/>
    <x v="3"/>
    <s v="Tucker Kraft"/>
    <n v="2.5"/>
    <n v="2024"/>
  </r>
  <r>
    <x v="1"/>
    <s v="Todd"/>
    <n v="6"/>
    <x v="5"/>
    <s v="Chris Boswell"/>
    <n v="17"/>
    <n v="2024"/>
  </r>
  <r>
    <x v="1"/>
    <s v="Todd"/>
    <n v="6"/>
    <x v="4"/>
    <s v="Green Bay"/>
    <n v="9"/>
    <n v="2024"/>
  </r>
  <r>
    <x v="1"/>
    <s v="Todd"/>
    <n v="6"/>
    <x v="6"/>
    <s v="Brian Thomas Jr"/>
    <n v="4.2"/>
    <n v="2024"/>
  </r>
  <r>
    <x v="8"/>
    <s v="Schulwolf"/>
    <n v="6"/>
    <x v="0"/>
    <s v="Jayden Daniels"/>
    <n v="20.96"/>
    <n v="2024"/>
  </r>
  <r>
    <x v="8"/>
    <s v="Schulwolf"/>
    <n v="6"/>
    <x v="1"/>
    <s v="Terry McLaurin"/>
    <n v="20.3"/>
    <n v="2024"/>
  </r>
  <r>
    <x v="8"/>
    <s v="Schulwolf"/>
    <n v="6"/>
    <x v="1"/>
    <s v="Chris Godwin"/>
    <n v="30"/>
    <n v="2024"/>
  </r>
  <r>
    <x v="8"/>
    <s v="Schulwolf"/>
    <n v="6"/>
    <x v="1"/>
    <s v="DeVonta Smith"/>
    <n v="13.9"/>
    <n v="2024"/>
  </r>
  <r>
    <x v="8"/>
    <s v="Schulwolf"/>
    <n v="6"/>
    <x v="2"/>
    <s v="Jahmyr Gibbs"/>
    <n v="10.6"/>
    <n v="2024"/>
  </r>
  <r>
    <x v="8"/>
    <s v="Schulwolf"/>
    <n v="6"/>
    <x v="2"/>
    <s v="Ty Johnson"/>
    <n v="3.4"/>
    <n v="2024"/>
  </r>
  <r>
    <x v="8"/>
    <s v="Schulwolf"/>
    <n v="6"/>
    <x v="3"/>
    <s v="Dalton Kincaid"/>
    <n v="8.1"/>
    <n v="2024"/>
  </r>
  <r>
    <x v="8"/>
    <s v="Schulwolf"/>
    <n v="6"/>
    <x v="5"/>
    <s v="Brandon Aubrey"/>
    <n v="12"/>
    <n v="2024"/>
  </r>
  <r>
    <x v="8"/>
    <s v="Schulwolf"/>
    <n v="6"/>
    <x v="4"/>
    <s v="Denver"/>
    <n v="2"/>
    <n v="2024"/>
  </r>
  <r>
    <x v="8"/>
    <s v="Schulwolf"/>
    <n v="6"/>
    <x v="7"/>
    <s v="Zack Moss"/>
    <n v="0"/>
    <n v="2024"/>
  </r>
  <r>
    <x v="4"/>
    <s v="Eli"/>
    <n v="6"/>
    <x v="0"/>
    <s v="Jalen Hurts"/>
    <n v="21.86"/>
    <n v="2024"/>
  </r>
  <r>
    <x v="4"/>
    <s v="Eli"/>
    <n v="6"/>
    <x v="1"/>
    <s v="Jalen Tolbert"/>
    <n v="6.3"/>
    <n v="2024"/>
  </r>
  <r>
    <x v="4"/>
    <s v="Eli"/>
    <n v="6"/>
    <x v="1"/>
    <s v="DJ Moore"/>
    <n v="4"/>
    <n v="2024"/>
  </r>
  <r>
    <x v="4"/>
    <s v="Eli"/>
    <n v="6"/>
    <x v="1"/>
    <s v="Rome Odunze"/>
    <n v="5"/>
    <n v="2024"/>
  </r>
  <r>
    <x v="4"/>
    <s v="Eli"/>
    <n v="6"/>
    <x v="2"/>
    <s v="Bijan Robinson"/>
    <n v="24"/>
    <n v="2024"/>
  </r>
  <r>
    <x v="4"/>
    <s v="Eli"/>
    <n v="6"/>
    <x v="2"/>
    <s v="Jordan Mason"/>
    <n v="8.6999999999999993"/>
    <n v="2024"/>
  </r>
  <r>
    <x v="4"/>
    <s v="Eli"/>
    <n v="6"/>
    <x v="3"/>
    <s v="Kyle Pitts"/>
    <n v="8.5"/>
    <n v="2024"/>
  </r>
  <r>
    <x v="4"/>
    <s v="Eli"/>
    <n v="6"/>
    <x v="5"/>
    <s v="Brayden Narveson"/>
    <n v="10"/>
    <n v="2024"/>
  </r>
  <r>
    <x v="4"/>
    <s v="Eli"/>
    <n v="6"/>
    <x v="4"/>
    <s v="NYJ"/>
    <n v="1"/>
    <n v="2024"/>
  </r>
  <r>
    <x v="4"/>
    <s v="Eli"/>
    <n v="6"/>
    <x v="7"/>
    <s v="Tyjae Spears"/>
    <n v="2.7"/>
    <n v="2024"/>
  </r>
  <r>
    <x v="7"/>
    <s v="Jay"/>
    <n v="6"/>
    <x v="0"/>
    <s v="Lamar Jackson"/>
    <n v="18.920000000000002"/>
    <n v="2024"/>
  </r>
  <r>
    <x v="7"/>
    <s v="Jay"/>
    <n v="6"/>
    <x v="1"/>
    <s v="Stefon Diggs"/>
    <n v="16.7"/>
    <n v="2024"/>
  </r>
  <r>
    <x v="7"/>
    <s v="Jay"/>
    <n v="6"/>
    <x v="1"/>
    <s v="Amari Cooper"/>
    <n v="6.2"/>
    <n v="2024"/>
  </r>
  <r>
    <x v="7"/>
    <s v="Jay"/>
    <n v="6"/>
    <x v="1"/>
    <s v="Jauan Jennings"/>
    <n v="4.2"/>
    <n v="2024"/>
  </r>
  <r>
    <x v="7"/>
    <s v="Jay"/>
    <n v="6"/>
    <x v="2"/>
    <s v="Tony Pollard"/>
    <n v="16.3"/>
    <n v="2024"/>
  </r>
  <r>
    <x v="7"/>
    <s v="Jay"/>
    <n v="6"/>
    <x v="2"/>
    <s v="Alvin Kamara"/>
    <n v="14.9"/>
    <n v="2024"/>
  </r>
  <r>
    <x v="7"/>
    <s v="Jay"/>
    <n v="6"/>
    <x v="3"/>
    <s v="Evan Engram"/>
    <n v="13.2"/>
    <n v="2024"/>
  </r>
  <r>
    <x v="7"/>
    <s v="Jay"/>
    <n v="6"/>
    <x v="5"/>
    <s v="Ka'imi Fairbairn"/>
    <n v="11"/>
    <n v="2024"/>
  </r>
  <r>
    <x v="7"/>
    <s v="Jay"/>
    <n v="6"/>
    <x v="4"/>
    <s v="LA Chargers"/>
    <n v="6"/>
    <n v="2024"/>
  </r>
  <r>
    <x v="7"/>
    <s v="Jay"/>
    <n v="6"/>
    <x v="7"/>
    <s v="Trey Sermon"/>
    <n v="2.9"/>
    <n v="2024"/>
  </r>
  <r>
    <x v="6"/>
    <s v="Will"/>
    <n v="6"/>
    <x v="0"/>
    <s v="Geno Smith"/>
    <n v="12.48"/>
    <n v="2024"/>
  </r>
  <r>
    <x v="6"/>
    <s v="Will"/>
    <n v="6"/>
    <x v="1"/>
    <s v="Drake London"/>
    <n v="16.399999999999999"/>
    <n v="2024"/>
  </r>
  <r>
    <x v="6"/>
    <s v="Will"/>
    <n v="6"/>
    <x v="1"/>
    <s v="Amon-Ra St. Brown"/>
    <n v="11.7"/>
    <n v="2024"/>
  </r>
  <r>
    <x v="6"/>
    <s v="Will"/>
    <n v="6"/>
    <x v="1"/>
    <s v="Jaxon Smith-Njigba"/>
    <n v="7.8"/>
    <n v="2024"/>
  </r>
  <r>
    <x v="6"/>
    <s v="Will"/>
    <n v="6"/>
    <x v="2"/>
    <s v="Austin Ekeler"/>
    <n v="8.8000000000000007"/>
    <n v="2024"/>
  </r>
  <r>
    <x v="6"/>
    <s v="Will"/>
    <n v="6"/>
    <x v="2"/>
    <s v="Travis Etienne"/>
    <n v="-0.1"/>
    <n v="2024"/>
  </r>
  <r>
    <x v="6"/>
    <s v="Will"/>
    <n v="6"/>
    <x v="3"/>
    <s v="Isaiah Likely"/>
    <n v="3.7"/>
    <n v="2024"/>
  </r>
  <r>
    <x v="6"/>
    <s v="Will"/>
    <n v="6"/>
    <x v="5"/>
    <s v="Jason Myers"/>
    <n v="6"/>
    <n v="2024"/>
  </r>
  <r>
    <x v="6"/>
    <s v="Will"/>
    <n v="6"/>
    <x v="4"/>
    <s v="Houston"/>
    <n v="13"/>
    <n v="2024"/>
  </r>
  <r>
    <x v="6"/>
    <s v="Will"/>
    <n v="6"/>
    <x v="6"/>
    <s v="Ladd McConkey"/>
    <n v="6.3"/>
    <n v="2024"/>
  </r>
  <r>
    <x v="10"/>
    <s v="Brand"/>
    <n v="6"/>
    <x v="0"/>
    <s v="Kirk Cousins"/>
    <n v="12.5"/>
    <n v="2024"/>
  </r>
  <r>
    <x v="10"/>
    <s v="Brand"/>
    <n v="6"/>
    <x v="1"/>
    <s v="Garrett Wilson"/>
    <n v="20.7"/>
    <n v="2024"/>
  </r>
  <r>
    <x v="10"/>
    <s v="Brand"/>
    <n v="6"/>
    <x v="1"/>
    <s v="Jameson Williams"/>
    <n v="16.2"/>
    <n v="2024"/>
  </r>
  <r>
    <x v="10"/>
    <s v="Brand"/>
    <n v="6"/>
    <x v="1"/>
    <s v="Michael Pittman"/>
    <n v="11"/>
    <n v="2024"/>
  </r>
  <r>
    <x v="10"/>
    <s v="Brand"/>
    <n v="6"/>
    <x v="2"/>
    <s v="Breece Hall"/>
    <n v="19.399999999999999"/>
    <n v="2024"/>
  </r>
  <r>
    <x v="10"/>
    <s v="Brand"/>
    <n v="6"/>
    <x v="2"/>
    <s v="Bucky Irving"/>
    <n v="17.5"/>
    <n v="2024"/>
  </r>
  <r>
    <x v="10"/>
    <s v="Brand"/>
    <n v="6"/>
    <x v="3"/>
    <s v="Dallas Goedert"/>
    <n v="0"/>
    <n v="2024"/>
  </r>
  <r>
    <x v="10"/>
    <s v="Brand"/>
    <n v="6"/>
    <x v="5"/>
    <s v="Cairo Santos"/>
    <n v="4"/>
    <n v="2024"/>
  </r>
  <r>
    <x v="10"/>
    <s v="Brand"/>
    <n v="6"/>
    <x v="4"/>
    <s v="Indianapolis"/>
    <n v="4"/>
    <n v="2024"/>
  </r>
  <r>
    <x v="10"/>
    <s v="Brand"/>
    <n v="6"/>
    <x v="7"/>
    <s v="Kenneth Walker"/>
    <n v="16.899999999999999"/>
    <n v="2024"/>
  </r>
  <r>
    <x v="3"/>
    <s v="Kevin"/>
    <n v="6"/>
    <x v="0"/>
    <s v="CJ Stroud"/>
    <n v="18.38"/>
    <n v="2024"/>
  </r>
  <r>
    <x v="3"/>
    <s v="Kevin"/>
    <n v="6"/>
    <x v="1"/>
    <s v="DeAndre Hopkins"/>
    <n v="7.4"/>
    <n v="2024"/>
  </r>
  <r>
    <x v="3"/>
    <s v="Kevin"/>
    <n v="6"/>
    <x v="1"/>
    <s v="George Pickens"/>
    <n v="6.8"/>
    <n v="2024"/>
  </r>
  <r>
    <x v="3"/>
    <s v="Kevin"/>
    <n v="6"/>
    <x v="1"/>
    <s v="Marvin Harrison Jr"/>
    <n v="0"/>
    <n v="2024"/>
  </r>
  <r>
    <x v="3"/>
    <s v="Kevin"/>
    <n v="6"/>
    <x v="2"/>
    <s v="Najee Harris"/>
    <n v="19.2"/>
    <n v="2024"/>
  </r>
  <r>
    <x v="3"/>
    <s v="Kevin"/>
    <n v="6"/>
    <x v="2"/>
    <s v="Chuba Hubbard"/>
    <n v="12.8"/>
    <n v="2024"/>
  </r>
  <r>
    <x v="3"/>
    <s v="Kevin"/>
    <n v="6"/>
    <x v="3"/>
    <s v="Hunter Henry"/>
    <n v="11.6"/>
    <n v="2024"/>
  </r>
  <r>
    <x v="3"/>
    <s v="Kevin"/>
    <n v="6"/>
    <x v="5"/>
    <s v="Justin Tucker"/>
    <n v="13"/>
    <n v="2024"/>
  </r>
  <r>
    <x v="3"/>
    <s v="Kevin"/>
    <n v="6"/>
    <x v="4"/>
    <s v="Tampa Bay"/>
    <n v="16"/>
    <n v="2024"/>
  </r>
  <r>
    <x v="3"/>
    <s v="Kevin"/>
    <n v="6"/>
    <x v="6"/>
    <s v="Chris Olave"/>
    <n v="-1"/>
    <n v="2024"/>
  </r>
  <r>
    <x v="5"/>
    <s v="Burnett/Jasjaap"/>
    <n v="6"/>
    <x v="0"/>
    <s v="Brock Purdy"/>
    <n v="24.1"/>
    <n v="2024"/>
  </r>
  <r>
    <x v="5"/>
    <s v="Burnett/Jasjaap"/>
    <n v="6"/>
    <x v="1"/>
    <s v="CeeDee Lamb"/>
    <n v="12.6"/>
    <n v="2024"/>
  </r>
  <r>
    <x v="5"/>
    <s v="Burnett/Jasjaap"/>
    <n v="6"/>
    <x v="1"/>
    <s v="Rashid Shaheed"/>
    <n v="7.8"/>
    <n v="2024"/>
  </r>
  <r>
    <x v="5"/>
    <s v="Burnett/Jasjaap"/>
    <n v="6"/>
    <x v="1"/>
    <s v="Alec Pierce"/>
    <n v="0"/>
    <n v="2024"/>
  </r>
  <r>
    <x v="5"/>
    <s v="Burnett/Jasjaap"/>
    <n v="6"/>
    <x v="2"/>
    <s v="Josh Jacobs"/>
    <n v="10.5"/>
    <n v="2024"/>
  </r>
  <r>
    <x v="5"/>
    <s v="Burnett/Jasjaap"/>
    <n v="6"/>
    <x v="2"/>
    <s v="David Montgomery"/>
    <n v="20.5"/>
    <n v="2024"/>
  </r>
  <r>
    <x v="5"/>
    <s v="Burnett/Jasjaap"/>
    <n v="6"/>
    <x v="3"/>
    <s v="Brock Bowers"/>
    <n v="11.6"/>
    <n v="2024"/>
  </r>
  <r>
    <x v="5"/>
    <s v="Burnett/Jasjaap"/>
    <n v="6"/>
    <x v="5"/>
    <s v="Austin Seibert"/>
    <n v="15"/>
    <n v="2024"/>
  </r>
  <r>
    <x v="5"/>
    <s v="Burnett/Jasjaap"/>
    <n v="6"/>
    <x v="4"/>
    <s v="Pittsburgh"/>
    <n v="14"/>
    <n v="2024"/>
  </r>
  <r>
    <x v="5"/>
    <s v="Burnett/Jasjaap"/>
    <n v="6"/>
    <x v="7"/>
    <s v="Rico Dowdle"/>
    <n v="8"/>
    <n v="2024"/>
  </r>
  <r>
    <x v="0"/>
    <s v="Brenton"/>
    <n v="7"/>
    <x v="0"/>
    <s v="Baker Mayfield"/>
    <n v="27"/>
    <n v="2024"/>
  </r>
  <r>
    <x v="0"/>
    <s v="Brenton"/>
    <n v="7"/>
    <x v="1"/>
    <s v="Zay Flowers"/>
    <n v="3.5"/>
    <n v="2024"/>
  </r>
  <r>
    <x v="0"/>
    <s v="Brenton"/>
    <n v="7"/>
    <x v="1"/>
    <s v="DeMario Douglas"/>
    <n v="2.4"/>
    <n v="2024"/>
  </r>
  <r>
    <x v="0"/>
    <s v="Brenton"/>
    <n v="7"/>
    <x v="1"/>
    <s v="Jayden Reed"/>
    <n v="2"/>
    <n v="2024"/>
  </r>
  <r>
    <x v="0"/>
    <s v="Brenton"/>
    <n v="7"/>
    <x v="2"/>
    <s v="Tank Bigsby"/>
    <n v="23.8"/>
    <n v="2024"/>
  </r>
  <r>
    <x v="0"/>
    <s v="Brenton"/>
    <n v="7"/>
    <x v="2"/>
    <s v="Tyrone Tracy"/>
    <n v="4.7"/>
    <n v="2024"/>
  </r>
  <r>
    <x v="0"/>
    <s v="Brenton"/>
    <n v="7"/>
    <x v="3"/>
    <s v="Trey McBride"/>
    <n v="7.6"/>
    <n v="2024"/>
  </r>
  <r>
    <x v="0"/>
    <s v="Brenton"/>
    <n v="7"/>
    <x v="5"/>
    <s v="Jake Elliott"/>
    <n v="4"/>
    <n v="2024"/>
  </r>
  <r>
    <x v="0"/>
    <s v="Brenton"/>
    <n v="7"/>
    <x v="4"/>
    <s v="Cincinnati"/>
    <n v="14"/>
    <n v="2024"/>
  </r>
  <r>
    <x v="0"/>
    <s v="Brenton"/>
    <n v="7"/>
    <x v="6"/>
    <s v="Tyreek Hill"/>
    <n v="1.8"/>
    <n v="2024"/>
  </r>
  <r>
    <x v="9"/>
    <s v="Tommy"/>
    <n v="7"/>
    <x v="0"/>
    <s v="Josh Allen"/>
    <n v="21.02"/>
    <n v="2024"/>
  </r>
  <r>
    <x v="9"/>
    <s v="Tommy"/>
    <n v="7"/>
    <x v="1"/>
    <s v="DK Metcalf"/>
    <n v="17.899999999999999"/>
    <n v="2024"/>
  </r>
  <r>
    <x v="9"/>
    <s v="Tommy"/>
    <n v="7"/>
    <x v="1"/>
    <s v="Allen Lazard"/>
    <n v="7.8"/>
    <n v="2024"/>
  </r>
  <r>
    <x v="9"/>
    <s v="Tommy"/>
    <n v="7"/>
    <x v="1"/>
    <s v="Malik Nabers"/>
    <n v="6.1"/>
    <n v="2024"/>
  </r>
  <r>
    <x v="9"/>
    <s v="Tommy"/>
    <n v="7"/>
    <x v="2"/>
    <s v="Saquon Barkley"/>
    <n v="25.7"/>
    <n v="2024"/>
  </r>
  <r>
    <x v="9"/>
    <s v="Tommy"/>
    <n v="7"/>
    <x v="2"/>
    <s v="Kyren Williams"/>
    <n v="19.600000000000001"/>
    <n v="2024"/>
  </r>
  <r>
    <x v="9"/>
    <s v="Tommy"/>
    <n v="7"/>
    <x v="3"/>
    <s v="Mark Andrews"/>
    <n v="18.100000000000001"/>
    <n v="2024"/>
  </r>
  <r>
    <x v="9"/>
    <s v="Tommy"/>
    <n v="7"/>
    <x v="5"/>
    <s v="Harrison Butker"/>
    <n v="4"/>
    <n v="2024"/>
  </r>
  <r>
    <x v="9"/>
    <s v="Tommy"/>
    <n v="7"/>
    <x v="4"/>
    <s v="Minnesota"/>
    <n v="10"/>
    <n v="2024"/>
  </r>
  <r>
    <x v="9"/>
    <s v="Tommy"/>
    <n v="7"/>
    <x v="6"/>
    <s v="Xavier Worthy"/>
    <n v="3.9"/>
    <n v="2024"/>
  </r>
  <r>
    <x v="2"/>
    <s v="Mike"/>
    <n v="7"/>
    <x v="0"/>
    <s v="Patrick Mahomes"/>
    <n v="12.06"/>
    <n v="2024"/>
  </r>
  <r>
    <x v="2"/>
    <s v="Mike"/>
    <n v="7"/>
    <x v="1"/>
    <s v="Mike Evans"/>
    <n v="9"/>
    <n v="2024"/>
  </r>
  <r>
    <x v="2"/>
    <s v="Mike"/>
    <n v="7"/>
    <x v="1"/>
    <s v="Khalil Shakir"/>
    <n v="10"/>
    <n v="2024"/>
  </r>
  <r>
    <x v="2"/>
    <s v="Mike"/>
    <n v="7"/>
    <x v="1"/>
    <s v="Davante Adams"/>
    <n v="4.5"/>
    <n v="2024"/>
  </r>
  <r>
    <x v="2"/>
    <s v="Mike"/>
    <n v="7"/>
    <x v="2"/>
    <s v="Derrick Henry"/>
    <n v="24.7"/>
    <n v="2024"/>
  </r>
  <r>
    <x v="2"/>
    <s v="Mike"/>
    <n v="7"/>
    <x v="2"/>
    <s v="Kareem Hunt"/>
    <n v="21.3"/>
    <n v="2024"/>
  </r>
  <r>
    <x v="2"/>
    <s v="Mike"/>
    <n v="7"/>
    <x v="3"/>
    <s v="Sam LaPorta"/>
    <n v="3"/>
    <n v="2024"/>
  </r>
  <r>
    <x v="2"/>
    <s v="Mike"/>
    <n v="7"/>
    <x v="5"/>
    <s v="Younghoe Koo"/>
    <n v="2"/>
    <n v="2024"/>
  </r>
  <r>
    <x v="2"/>
    <s v="Mike"/>
    <n v="7"/>
    <x v="4"/>
    <s v="Buffalo"/>
    <n v="12"/>
    <n v="2024"/>
  </r>
  <r>
    <x v="2"/>
    <s v="Mike"/>
    <n v="7"/>
    <x v="6"/>
    <s v="Tank Dell"/>
    <n v="0"/>
    <n v="2024"/>
  </r>
  <r>
    <x v="8"/>
    <s v="Schulwolf"/>
    <n v="7"/>
    <x v="0"/>
    <s v="Jayden Daniels"/>
    <n v="5.24"/>
    <n v="2024"/>
  </r>
  <r>
    <x v="8"/>
    <s v="Schulwolf"/>
    <n v="7"/>
    <x v="1"/>
    <s v="Terry McLaurin"/>
    <n v="12.8"/>
    <n v="2024"/>
  </r>
  <r>
    <x v="8"/>
    <s v="Schulwolf"/>
    <n v="7"/>
    <x v="1"/>
    <s v="Chris Godwin"/>
    <n v="10"/>
    <n v="2024"/>
  </r>
  <r>
    <x v="8"/>
    <s v="Schulwolf"/>
    <n v="7"/>
    <x v="1"/>
    <s v="Tyler Lockett"/>
    <n v="6.5"/>
    <n v="2024"/>
  </r>
  <r>
    <x v="8"/>
    <s v="Schulwolf"/>
    <n v="7"/>
    <x v="2"/>
    <s v="Jahmyr Gibbs"/>
    <n v="30"/>
    <n v="2024"/>
  </r>
  <r>
    <x v="8"/>
    <s v="Schulwolf"/>
    <n v="7"/>
    <x v="2"/>
    <s v="James Cook"/>
    <n v="9.1999999999999993"/>
    <n v="2024"/>
  </r>
  <r>
    <x v="8"/>
    <s v="Schulwolf"/>
    <n v="7"/>
    <x v="3"/>
    <s v="Dalton Kincaid"/>
    <n v="6.7"/>
    <n v="2024"/>
  </r>
  <r>
    <x v="8"/>
    <s v="Schulwolf"/>
    <n v="7"/>
    <x v="5"/>
    <s v="Brandon McManus"/>
    <n v="7"/>
    <n v="2024"/>
  </r>
  <r>
    <x v="8"/>
    <s v="Schulwolf"/>
    <n v="7"/>
    <x v="4"/>
    <s v="Denver"/>
    <n v="21"/>
    <n v="2024"/>
  </r>
  <r>
    <x v="8"/>
    <s v="Schulwolf"/>
    <n v="7"/>
    <x v="6"/>
    <s v="DeVonta Smith"/>
    <n v="0.3"/>
    <n v="2024"/>
  </r>
  <r>
    <x v="1"/>
    <s v="Todd"/>
    <n v="7"/>
    <x v="0"/>
    <s v="Sam Darnold"/>
    <n v="16.260000000000002"/>
    <n v="2024"/>
  </r>
  <r>
    <x v="1"/>
    <s v="Todd"/>
    <n v="7"/>
    <x v="1"/>
    <s v="AJ Brown"/>
    <n v="17.399999999999999"/>
    <n v="2024"/>
  </r>
  <r>
    <x v="1"/>
    <s v="Todd"/>
    <n v="7"/>
    <x v="1"/>
    <s v="Brian Thomas Jr"/>
    <n v="19.600000000000001"/>
    <n v="2024"/>
  </r>
  <r>
    <x v="1"/>
    <s v="Todd"/>
    <n v="7"/>
    <x v="1"/>
    <s v="Diontae Johnson"/>
    <n v="2.2000000000000002"/>
    <n v="2024"/>
  </r>
  <r>
    <x v="1"/>
    <s v="Todd"/>
    <n v="7"/>
    <x v="2"/>
    <s v="James Conner"/>
    <n v="16.2"/>
    <n v="2024"/>
  </r>
  <r>
    <x v="1"/>
    <s v="Todd"/>
    <n v="7"/>
    <x v="2"/>
    <s v="De'Von Achane"/>
    <n v="9.5"/>
    <n v="2024"/>
  </r>
  <r>
    <x v="1"/>
    <s v="Todd"/>
    <n v="7"/>
    <x v="3"/>
    <s v="Tucker Kraft"/>
    <n v="10.8"/>
    <n v="2024"/>
  </r>
  <r>
    <x v="1"/>
    <s v="Todd"/>
    <n v="7"/>
    <x v="5"/>
    <s v="Chris Boswell"/>
    <n v="14"/>
    <n v="2024"/>
  </r>
  <r>
    <x v="1"/>
    <s v="Todd"/>
    <n v="7"/>
    <x v="4"/>
    <s v="LA Chargers"/>
    <n v="2"/>
    <n v="2024"/>
  </r>
  <r>
    <x v="1"/>
    <s v="Todd"/>
    <n v="7"/>
    <x v="6"/>
    <s v="Deebo Samuel"/>
    <n v="0"/>
    <n v="2024"/>
  </r>
  <r>
    <x v="10"/>
    <s v="Brand"/>
    <n v="7"/>
    <x v="0"/>
    <s v="Anthony Richardson"/>
    <n v="8.76"/>
    <n v="2024"/>
  </r>
  <r>
    <x v="10"/>
    <s v="Brand"/>
    <n v="7"/>
    <x v="1"/>
    <s v="Garrett Wilson"/>
    <n v="10.6"/>
    <n v="2024"/>
  </r>
  <r>
    <x v="10"/>
    <s v="Brand"/>
    <n v="7"/>
    <x v="1"/>
    <s v="Michael Pittman"/>
    <n v="7.8"/>
    <n v="2024"/>
  </r>
  <r>
    <x v="10"/>
    <s v="Brand"/>
    <n v="7"/>
    <x v="1"/>
    <s v="Jameson Williams"/>
    <n v="0.1"/>
    <n v="2024"/>
  </r>
  <r>
    <x v="10"/>
    <s v="Brand"/>
    <n v="7"/>
    <x v="2"/>
    <s v="Breece Hall"/>
    <n v="23.1"/>
    <n v="2024"/>
  </r>
  <r>
    <x v="10"/>
    <s v="Brand"/>
    <n v="7"/>
    <x v="2"/>
    <s v="Kenneth Walker"/>
    <n v="22.3"/>
    <n v="2024"/>
  </r>
  <r>
    <x v="10"/>
    <s v="Brand"/>
    <n v="7"/>
    <x v="3"/>
    <s v="Colby Parkinson"/>
    <n v="4.2"/>
    <n v="2024"/>
  </r>
  <r>
    <x v="10"/>
    <s v="Brand"/>
    <n v="7"/>
    <x v="5"/>
    <s v="Cameron Dicker"/>
    <n v="21"/>
    <n v="2024"/>
  </r>
  <r>
    <x v="10"/>
    <s v="Brand"/>
    <n v="7"/>
    <x v="4"/>
    <s v="Indianapolis"/>
    <n v="9"/>
    <n v="2024"/>
  </r>
  <r>
    <x v="10"/>
    <s v="Brand"/>
    <n v="7"/>
    <x v="7"/>
    <s v="Bucky Irving"/>
    <n v="15.2"/>
    <n v="2024"/>
  </r>
  <r>
    <x v="4"/>
    <s v="Eli"/>
    <n v="7"/>
    <x v="0"/>
    <s v="Jalen Hurts"/>
    <n v="22.76"/>
    <n v="2024"/>
  </r>
  <r>
    <x v="4"/>
    <s v="Eli"/>
    <n v="7"/>
    <x v="1"/>
    <s v="Justin Jefferson"/>
    <n v="17.899999999999999"/>
    <n v="2024"/>
  </r>
  <r>
    <x v="4"/>
    <s v="Eli"/>
    <n v="7"/>
    <x v="1"/>
    <s v="Tre Tucker"/>
    <n v="6.2"/>
    <n v="2024"/>
  </r>
  <r>
    <x v="4"/>
    <s v="Eli"/>
    <n v="7"/>
    <x v="1"/>
    <s v="Xavier Legette"/>
    <n v="1.9"/>
    <n v="2024"/>
  </r>
  <r>
    <x v="4"/>
    <s v="Eli"/>
    <n v="7"/>
    <x v="2"/>
    <s v="Bijan Robinson"/>
    <n v="21.8"/>
    <n v="2024"/>
  </r>
  <r>
    <x v="4"/>
    <s v="Eli"/>
    <n v="7"/>
    <x v="2"/>
    <s v="Jordan Mason"/>
    <n v="7.9"/>
    <n v="2024"/>
  </r>
  <r>
    <x v="4"/>
    <s v="Eli"/>
    <n v="7"/>
    <x v="3"/>
    <s v="David Njoku"/>
    <n v="18.600000000000001"/>
    <n v="2024"/>
  </r>
  <r>
    <x v="4"/>
    <s v="Eli"/>
    <n v="7"/>
    <x v="5"/>
    <s v="Tyler Bass"/>
    <n v="10"/>
    <n v="2024"/>
  </r>
  <r>
    <x v="4"/>
    <s v="Eli"/>
    <n v="7"/>
    <x v="4"/>
    <s v="NYJ"/>
    <n v="-7"/>
    <n v="2024"/>
  </r>
  <r>
    <x v="4"/>
    <s v="Eli"/>
    <n v="7"/>
    <x v="8"/>
    <s v="Kyle Pitts"/>
    <n v="10"/>
    <n v="2024"/>
  </r>
  <r>
    <x v="3"/>
    <s v="Kevin"/>
    <n v="7"/>
    <x v="0"/>
    <s v="CJ Stroud"/>
    <n v="5.34"/>
    <n v="2024"/>
  </r>
  <r>
    <x v="3"/>
    <s v="Kevin"/>
    <n v="7"/>
    <x v="1"/>
    <s v="George Pickens"/>
    <n v="19.600000000000001"/>
    <n v="2024"/>
  </r>
  <r>
    <x v="3"/>
    <s v="Kevin"/>
    <n v="7"/>
    <x v="1"/>
    <s v="Jordan Addison"/>
    <n v="8.1"/>
    <n v="2024"/>
  </r>
  <r>
    <x v="3"/>
    <s v="Kevin"/>
    <n v="7"/>
    <x v="1"/>
    <s v="Marvin Harrison Jr"/>
    <n v="3.6"/>
    <n v="2024"/>
  </r>
  <r>
    <x v="3"/>
    <s v="Kevin"/>
    <n v="7"/>
    <x v="2"/>
    <s v="Joe Mixon"/>
    <n v="25.4"/>
    <n v="2024"/>
  </r>
  <r>
    <x v="3"/>
    <s v="Kevin"/>
    <n v="7"/>
    <x v="2"/>
    <s v="Najee Harris"/>
    <n v="16.2"/>
    <n v="2024"/>
  </r>
  <r>
    <x v="3"/>
    <s v="Kevin"/>
    <n v="7"/>
    <x v="3"/>
    <s v="Hunter Henry"/>
    <n v="13.2"/>
    <n v="2024"/>
  </r>
  <r>
    <x v="3"/>
    <s v="Kevin"/>
    <n v="7"/>
    <x v="5"/>
    <s v="Justin Tucker"/>
    <n v="13"/>
    <n v="2024"/>
  </r>
  <r>
    <x v="3"/>
    <s v="Kevin"/>
    <n v="7"/>
    <x v="4"/>
    <s v="LA Rams"/>
    <n v="16"/>
    <n v="2024"/>
  </r>
  <r>
    <x v="3"/>
    <s v="Kevin"/>
    <n v="7"/>
    <x v="7"/>
    <s v="Chuba Hubbard"/>
    <n v="11.2"/>
    <n v="2024"/>
  </r>
  <r>
    <x v="6"/>
    <s v="Will"/>
    <n v="7"/>
    <x v="0"/>
    <s v="Geno Smith"/>
    <n v="17.78"/>
    <n v="2024"/>
  </r>
  <r>
    <x v="6"/>
    <s v="Will"/>
    <n v="7"/>
    <x v="1"/>
    <s v="Drake London"/>
    <n v="15.3"/>
    <n v="2024"/>
  </r>
  <r>
    <x v="6"/>
    <s v="Will"/>
    <n v="7"/>
    <x v="1"/>
    <s v="Amon-Ra St. Brown"/>
    <n v="21.2"/>
    <n v="2024"/>
  </r>
  <r>
    <x v="6"/>
    <s v="Will"/>
    <n v="7"/>
    <x v="1"/>
    <s v="Ladd McConkey"/>
    <n v="7.1"/>
    <n v="2024"/>
  </r>
  <r>
    <x v="6"/>
    <s v="Will"/>
    <n v="7"/>
    <x v="2"/>
    <s v="Austin Ekeler"/>
    <n v="3"/>
    <n v="2024"/>
  </r>
  <r>
    <x v="6"/>
    <s v="Will"/>
    <n v="7"/>
    <x v="2"/>
    <s v="Zach Charbonet"/>
    <n v="1.4"/>
    <n v="2024"/>
  </r>
  <r>
    <x v="6"/>
    <s v="Will"/>
    <n v="7"/>
    <x v="3"/>
    <s v="Travis Kelce"/>
    <n v="3.7"/>
    <n v="2024"/>
  </r>
  <r>
    <x v="6"/>
    <s v="Will"/>
    <n v="7"/>
    <x v="5"/>
    <s v="Jason Myers"/>
    <n v="12"/>
    <n v="2024"/>
  </r>
  <r>
    <x v="6"/>
    <s v="Will"/>
    <n v="7"/>
    <x v="4"/>
    <s v="Houston"/>
    <n v="10"/>
    <n v="2024"/>
  </r>
  <r>
    <x v="6"/>
    <s v="Will"/>
    <n v="7"/>
    <x v="6"/>
    <s v="Jaxon Smith-Njigba"/>
    <n v="3.8"/>
    <n v="2024"/>
  </r>
  <r>
    <x v="5"/>
    <s v="Burnett/Jasjaap"/>
    <n v="7"/>
    <x v="0"/>
    <s v="Brock Purdy"/>
    <n v="17.18"/>
    <n v="2024"/>
  </r>
  <r>
    <x v="5"/>
    <s v="Burnett/Jasjaap"/>
    <n v="7"/>
    <x v="1"/>
    <s v="Bub Means"/>
    <n v="5.2"/>
    <n v="2024"/>
  </r>
  <r>
    <x v="5"/>
    <s v="Burnett/Jasjaap"/>
    <n v="7"/>
    <x v="1"/>
    <s v="Alec Pierce"/>
    <n v="2.5"/>
    <n v="2024"/>
  </r>
  <r>
    <x v="5"/>
    <s v="Burnett/Jasjaap"/>
    <n v="7"/>
    <x v="1"/>
    <s v="Jaylen Waddle"/>
    <n v="1.6"/>
    <n v="2024"/>
  </r>
  <r>
    <x v="5"/>
    <s v="Burnett/Jasjaap"/>
    <n v="7"/>
    <x v="2"/>
    <s v="Josh Jacobs"/>
    <n v="17.7"/>
    <n v="2024"/>
  </r>
  <r>
    <x v="5"/>
    <s v="Burnett/Jasjaap"/>
    <n v="7"/>
    <x v="2"/>
    <s v="David Montgomery"/>
    <n v="6.5"/>
    <n v="2024"/>
  </r>
  <r>
    <x v="5"/>
    <s v="Burnett/Jasjaap"/>
    <n v="7"/>
    <x v="3"/>
    <s v="Brock Bowers"/>
    <n v="14.3"/>
    <n v="2024"/>
  </r>
  <r>
    <x v="5"/>
    <s v="Burnett/Jasjaap"/>
    <n v="7"/>
    <x v="5"/>
    <s v="Austin Seibert"/>
    <n v="17"/>
    <n v="2024"/>
  </r>
  <r>
    <x v="5"/>
    <s v="Burnett/Jasjaap"/>
    <n v="7"/>
    <x v="4"/>
    <s v="Philadelphia"/>
    <n v="18"/>
    <n v="2024"/>
  </r>
  <r>
    <x v="5"/>
    <s v="Burnett/Jasjaap"/>
    <n v="7"/>
    <x v="6"/>
    <s v="Jordan Whittington"/>
    <n v="0"/>
    <n v="2024"/>
  </r>
  <r>
    <x v="7"/>
    <s v="Jay"/>
    <n v="7"/>
    <x v="0"/>
    <s v="Lamar Jackson"/>
    <n v="34.44"/>
    <n v="2024"/>
  </r>
  <r>
    <x v="7"/>
    <s v="Jay"/>
    <n v="7"/>
    <x v="1"/>
    <s v="Tee Higgins"/>
    <n v="16.2"/>
    <n v="2024"/>
  </r>
  <r>
    <x v="7"/>
    <s v="Jay"/>
    <n v="7"/>
    <x v="1"/>
    <s v="Amari Cooper"/>
    <n v="14.6"/>
    <n v="2024"/>
  </r>
  <r>
    <x v="7"/>
    <s v="Jay"/>
    <n v="7"/>
    <x v="1"/>
    <s v="Stefon Diggs"/>
    <n v="4.8"/>
    <n v="2024"/>
  </r>
  <r>
    <x v="7"/>
    <s v="Jay"/>
    <n v="7"/>
    <x v="2"/>
    <s v="Tony Pollard"/>
    <n v="7.5"/>
    <n v="2024"/>
  </r>
  <r>
    <x v="7"/>
    <s v="Jay"/>
    <n v="7"/>
    <x v="2"/>
    <s v="Alvin Kamara"/>
    <n v="5.4"/>
    <n v="2024"/>
  </r>
  <r>
    <x v="7"/>
    <s v="Jay"/>
    <n v="7"/>
    <x v="3"/>
    <s v="Evan Engram"/>
    <n v="6"/>
    <n v="2024"/>
  </r>
  <r>
    <x v="7"/>
    <s v="Jay"/>
    <n v="7"/>
    <x v="5"/>
    <s v="Ka'imi Fairbairn"/>
    <n v="12"/>
    <n v="2024"/>
  </r>
  <r>
    <x v="7"/>
    <s v="Jay"/>
    <n v="7"/>
    <x v="4"/>
    <s v="Jacksonville"/>
    <n v="10"/>
    <n v="2024"/>
  </r>
  <r>
    <x v="7"/>
    <s v="Jay"/>
    <n v="7"/>
    <x v="7"/>
    <s v="Trey Sermon"/>
    <n v="5.4"/>
    <n v="2024"/>
  </r>
  <r>
    <x v="11"/>
    <s v="Cam"/>
    <n v="7"/>
    <x v="0"/>
    <s v="Joe Burrow"/>
    <n v="14.94"/>
    <n v="2024"/>
  </r>
  <r>
    <x v="11"/>
    <s v="Cam"/>
    <n v="7"/>
    <x v="1"/>
    <s v="Ja'Marr Chase"/>
    <n v="15.1"/>
    <n v="2024"/>
  </r>
  <r>
    <x v="11"/>
    <s v="Cam"/>
    <n v="7"/>
    <x v="1"/>
    <s v="Wan'Dale Robinson"/>
    <n v="5.3"/>
    <n v="2024"/>
  </r>
  <r>
    <x v="11"/>
    <s v="Cam"/>
    <n v="7"/>
    <x v="1"/>
    <s v="Brandon Aiyuk"/>
    <n v="3.3"/>
    <n v="2024"/>
  </r>
  <r>
    <x v="11"/>
    <s v="Cam"/>
    <n v="7"/>
    <x v="2"/>
    <s v="Aaron Jones"/>
    <n v="19.100000000000001"/>
    <n v="2024"/>
  </r>
  <r>
    <x v="11"/>
    <s v="Cam"/>
    <n v="7"/>
    <x v="2"/>
    <s v="JK Dobbins"/>
    <n v="8.1"/>
    <n v="2024"/>
  </r>
  <r>
    <x v="11"/>
    <s v="Cam"/>
    <n v="7"/>
    <x v="3"/>
    <s v="George Kittle"/>
    <n v="12.2"/>
    <n v="2024"/>
  </r>
  <r>
    <x v="11"/>
    <s v="Cam"/>
    <n v="7"/>
    <x v="5"/>
    <s v="Evan McPherson"/>
    <n v="3"/>
    <n v="2024"/>
  </r>
  <r>
    <x v="11"/>
    <s v="Cam"/>
    <n v="7"/>
    <x v="4"/>
    <s v="New Orleans"/>
    <n v="1"/>
    <n v="2024"/>
  </r>
  <r>
    <x v="11"/>
    <s v="Cam"/>
    <n v="7"/>
    <x v="7"/>
    <s v="Rhamondre Stevenson"/>
    <n v="3.5"/>
    <n v="2024"/>
  </r>
  <r>
    <x v="0"/>
    <s v="Brenton"/>
    <n v="8"/>
    <x v="0"/>
    <s v="Baker Mayfield"/>
    <n v="22.3"/>
    <n v="2024"/>
  </r>
  <r>
    <x v="0"/>
    <s v="Brenton"/>
    <n v="8"/>
    <x v="1"/>
    <s v="Zay Flowers"/>
    <n v="15"/>
    <n v="2024"/>
  </r>
  <r>
    <x v="0"/>
    <s v="Brenton"/>
    <n v="8"/>
    <x v="1"/>
    <s v="Courtland Sutton"/>
    <n v="13.12"/>
    <n v="2024"/>
  </r>
  <r>
    <x v="0"/>
    <s v="Brenton"/>
    <n v="8"/>
    <x v="1"/>
    <s v="Tyreek Hill"/>
    <n v="10.199999999999999"/>
    <n v="2024"/>
  </r>
  <r>
    <x v="0"/>
    <s v="Brenton"/>
    <n v="8"/>
    <x v="2"/>
    <s v="Tank Bigsby"/>
    <n v="9.6"/>
    <n v="2024"/>
  </r>
  <r>
    <x v="0"/>
    <s v="Brenton"/>
    <n v="8"/>
    <x v="2"/>
    <s v="Javonte Williams"/>
    <n v="7.2"/>
    <n v="2024"/>
  </r>
  <r>
    <x v="0"/>
    <s v="Brenton"/>
    <n v="8"/>
    <x v="3"/>
    <s v="Trey McBride"/>
    <n v="16.899999999999999"/>
    <n v="2024"/>
  </r>
  <r>
    <x v="0"/>
    <s v="Brenton"/>
    <n v="8"/>
    <x v="5"/>
    <s v="Will Reichard"/>
    <n v="8"/>
    <n v="2024"/>
  </r>
  <r>
    <x v="0"/>
    <s v="Brenton"/>
    <n v="8"/>
    <x v="4"/>
    <s v="Detroit"/>
    <n v="12"/>
    <n v="2024"/>
  </r>
  <r>
    <x v="0"/>
    <s v="Brenton"/>
    <n v="8"/>
    <x v="6"/>
    <s v="Jayden Reed"/>
    <n v="6.5"/>
    <n v="2024"/>
  </r>
  <r>
    <x v="8"/>
    <s v="Schulwolf"/>
    <n v="8"/>
    <x v="0"/>
    <s v="Jordan Love"/>
    <n v="5.74"/>
    <n v="2024"/>
  </r>
  <r>
    <x v="8"/>
    <s v="Schulwolf"/>
    <n v="8"/>
    <x v="1"/>
    <s v="Terry McLaurin"/>
    <n v="15"/>
    <n v="2024"/>
  </r>
  <r>
    <x v="8"/>
    <s v="Schulwolf"/>
    <n v="8"/>
    <x v="1"/>
    <s v="Devonta Smith"/>
    <n v="17.5"/>
    <n v="2024"/>
  </r>
  <r>
    <x v="8"/>
    <s v="Schulwolf"/>
    <n v="8"/>
    <x v="1"/>
    <s v="Cooper Kupp"/>
    <n v="13.6"/>
    <n v="2024"/>
  </r>
  <r>
    <x v="8"/>
    <s v="Schulwolf"/>
    <n v="8"/>
    <x v="2"/>
    <s v="Jahmyr Gibbs"/>
    <n v="19.8"/>
    <n v="2024"/>
  </r>
  <r>
    <x v="8"/>
    <s v="Schulwolf"/>
    <n v="8"/>
    <x v="2"/>
    <s v="James Cook"/>
    <n v="26.8"/>
    <n v="2024"/>
  </r>
  <r>
    <x v="8"/>
    <s v="Schulwolf"/>
    <n v="8"/>
    <x v="3"/>
    <s v="Dalton Kincaid"/>
    <n v="11.1"/>
    <n v="2024"/>
  </r>
  <r>
    <x v="8"/>
    <s v="Schulwolf"/>
    <n v="8"/>
    <x v="5"/>
    <s v="Brandon Aubrey"/>
    <n v="6"/>
    <n v="2024"/>
  </r>
  <r>
    <x v="8"/>
    <s v="Schulwolf"/>
    <n v="8"/>
    <x v="4"/>
    <s v="Denver"/>
    <n v="8"/>
    <n v="2024"/>
  </r>
  <r>
    <x v="8"/>
    <s v="Schulwolf"/>
    <n v="8"/>
    <x v="6"/>
    <s v="Tyler Lockett"/>
    <n v="1.4"/>
    <n v="2024"/>
  </r>
  <r>
    <x v="2"/>
    <s v="Mike"/>
    <n v="8"/>
    <x v="0"/>
    <s v="Tua Tagovailoa"/>
    <n v="14.66"/>
    <n v="2024"/>
  </r>
  <r>
    <x v="2"/>
    <s v="Mike"/>
    <n v="8"/>
    <x v="1"/>
    <s v="Khalil Shakir"/>
    <n v="15.4"/>
    <n v="2024"/>
  </r>
  <r>
    <x v="2"/>
    <s v="Mike"/>
    <n v="8"/>
    <x v="1"/>
    <s v="Tank Dell"/>
    <n v="11.5"/>
    <n v="2024"/>
  </r>
  <r>
    <x v="2"/>
    <s v="Mike"/>
    <n v="8"/>
    <x v="1"/>
    <s v="Davante Adams"/>
    <n v="7.4"/>
    <n v="2024"/>
  </r>
  <r>
    <x v="2"/>
    <s v="Mike"/>
    <n v="8"/>
    <x v="2"/>
    <s v="Derrick Henry"/>
    <n v="14.2"/>
    <n v="2024"/>
  </r>
  <r>
    <x v="2"/>
    <s v="Mike"/>
    <n v="8"/>
    <x v="2"/>
    <s v="Kareem Hunt"/>
    <n v="12.8"/>
    <n v="2024"/>
  </r>
  <r>
    <x v="2"/>
    <s v="Mike"/>
    <n v="8"/>
    <x v="3"/>
    <s v="Jake Ferguson"/>
    <n v="5.3"/>
    <n v="2024"/>
  </r>
  <r>
    <x v="2"/>
    <s v="Mike"/>
    <n v="8"/>
    <x v="5"/>
    <s v="Younghoe Koo"/>
    <n v="6"/>
    <n v="2024"/>
  </r>
  <r>
    <x v="2"/>
    <s v="Mike"/>
    <n v="8"/>
    <x v="4"/>
    <s v="Buffalo"/>
    <n v="10"/>
    <n v="2024"/>
  </r>
  <r>
    <x v="2"/>
    <s v="Mike"/>
    <n v="8"/>
    <x v="7"/>
    <s v="Nick Chubb"/>
    <n v="5.2"/>
    <n v="2024"/>
  </r>
  <r>
    <x v="10"/>
    <s v="Brand"/>
    <n v="8"/>
    <x v="0"/>
    <s v="Anthony Richardson"/>
    <n v="11.5"/>
    <n v="2024"/>
  </r>
  <r>
    <x v="10"/>
    <s v="Brand"/>
    <n v="8"/>
    <x v="1"/>
    <s v="Garrett Wilson"/>
    <n v="13.8"/>
    <n v="2024"/>
  </r>
  <r>
    <x v="10"/>
    <s v="Brand"/>
    <n v="8"/>
    <x v="1"/>
    <s v="Keenan Allen"/>
    <n v="4.9000000000000004"/>
    <n v="2024"/>
  </r>
  <r>
    <x v="10"/>
    <s v="Brand"/>
    <n v="8"/>
    <x v="1"/>
    <s v="Michael Pittman"/>
    <n v="2.1"/>
    <n v="2024"/>
  </r>
  <r>
    <x v="10"/>
    <s v="Brand"/>
    <n v="8"/>
    <x v="2"/>
    <s v="Bucky Irving"/>
    <n v="11.9"/>
    <n v="2024"/>
  </r>
  <r>
    <x v="10"/>
    <s v="Brand"/>
    <n v="8"/>
    <x v="2"/>
    <s v="Breece Hall"/>
    <n v="9.4"/>
    <n v="2024"/>
  </r>
  <r>
    <x v="10"/>
    <s v="Brand"/>
    <n v="8"/>
    <x v="3"/>
    <s v="Taysom Hill"/>
    <n v="5.22"/>
    <n v="2024"/>
  </r>
  <r>
    <x v="10"/>
    <s v="Brand"/>
    <n v="8"/>
    <x v="5"/>
    <s v="Cameron Dicker"/>
    <n v="8"/>
    <n v="2024"/>
  </r>
  <r>
    <x v="10"/>
    <s v="Brand"/>
    <n v="8"/>
    <x v="4"/>
    <s v="San Francisco"/>
    <n v="7"/>
    <n v="2024"/>
  </r>
  <r>
    <x v="10"/>
    <s v="Brand"/>
    <n v="8"/>
    <x v="7"/>
    <s v="Kenneth Walker"/>
    <n v="6.5"/>
    <n v="2024"/>
  </r>
  <r>
    <x v="1"/>
    <s v="Todd"/>
    <n v="8"/>
    <x v="0"/>
    <s v="Sam Darnold"/>
    <n v="18.2"/>
    <n v="2024"/>
  </r>
  <r>
    <x v="1"/>
    <s v="Todd"/>
    <n v="8"/>
    <x v="1"/>
    <s v="Darnell Mooney"/>
    <n v="16.600000000000001"/>
    <n v="2024"/>
  </r>
  <r>
    <x v="1"/>
    <s v="Todd"/>
    <n v="8"/>
    <x v="1"/>
    <s v="Brian Thomas Jr"/>
    <n v="13.5"/>
    <n v="2024"/>
  </r>
  <r>
    <x v="1"/>
    <s v="Todd"/>
    <n v="8"/>
    <x v="1"/>
    <s v="AJ Brown"/>
    <n v="10.9"/>
    <n v="2024"/>
  </r>
  <r>
    <x v="1"/>
    <s v="Todd"/>
    <n v="8"/>
    <x v="2"/>
    <s v="De'Von Achane"/>
    <n v="23.7"/>
    <n v="2024"/>
  </r>
  <r>
    <x v="1"/>
    <s v="Todd"/>
    <n v="8"/>
    <x v="2"/>
    <s v="James Conner"/>
    <n v="13.9"/>
    <n v="2024"/>
  </r>
  <r>
    <x v="1"/>
    <s v="Todd"/>
    <n v="8"/>
    <x v="3"/>
    <s v="Tucker Kraft"/>
    <n v="15.3"/>
    <n v="2024"/>
  </r>
  <r>
    <x v="1"/>
    <s v="Todd"/>
    <n v="8"/>
    <x v="5"/>
    <s v="Chris Boswell"/>
    <n v="14"/>
    <n v="2024"/>
  </r>
  <r>
    <x v="1"/>
    <s v="Todd"/>
    <n v="8"/>
    <x v="4"/>
    <s v="LA Chargers"/>
    <n v="11"/>
    <n v="2024"/>
  </r>
  <r>
    <x v="1"/>
    <s v="Todd"/>
    <n v="8"/>
    <x v="6"/>
    <s v="Deebo Samuel"/>
    <n v="10.6"/>
    <n v="2024"/>
  </r>
  <r>
    <x v="5"/>
    <s v="Burnett/Jasjaap"/>
    <n v="8"/>
    <x v="0"/>
    <s v="Brock Purdy"/>
    <n v="26"/>
    <n v="2024"/>
  </r>
  <r>
    <x v="5"/>
    <s v="Burnett/Jasjaap"/>
    <n v="8"/>
    <x v="1"/>
    <s v="CeeDee Lamb"/>
    <n v="33.1"/>
    <n v="2024"/>
  </r>
  <r>
    <x v="5"/>
    <s v="Burnett/Jasjaap"/>
    <n v="8"/>
    <x v="1"/>
    <s v="Jerry Jeudy"/>
    <n v="10.4"/>
    <n v="2024"/>
  </r>
  <r>
    <x v="5"/>
    <s v="Burnett/Jasjaap"/>
    <n v="8"/>
    <x v="1"/>
    <s v="Ricky Pearsall"/>
    <n v="9.6999999999999993"/>
    <n v="2024"/>
  </r>
  <r>
    <x v="5"/>
    <s v="Burnett/Jasjaap"/>
    <n v="8"/>
    <x v="2"/>
    <s v="Josh Jacobs"/>
    <n v="25"/>
    <n v="2024"/>
  </r>
  <r>
    <x v="5"/>
    <s v="Burnett/Jasjaap"/>
    <n v="8"/>
    <x v="2"/>
    <s v="David Montgomery"/>
    <n v="14.42"/>
    <n v="2024"/>
  </r>
  <r>
    <x v="5"/>
    <s v="Burnett/Jasjaap"/>
    <n v="8"/>
    <x v="3"/>
    <s v="Brock Bowers"/>
    <n v="8.3000000000000007"/>
    <n v="2024"/>
  </r>
  <r>
    <x v="5"/>
    <s v="Burnett/Jasjaap"/>
    <n v="8"/>
    <x v="5"/>
    <s v="Austin Seibert"/>
    <n v="13"/>
    <n v="2024"/>
  </r>
  <r>
    <x v="5"/>
    <s v="Burnett/Jasjaap"/>
    <n v="8"/>
    <x v="4"/>
    <s v="Kansas City"/>
    <n v="9"/>
    <n v="2024"/>
  </r>
  <r>
    <x v="5"/>
    <s v="Burnett/Jasjaap"/>
    <n v="8"/>
    <x v="6"/>
    <s v="Jaylen Waddle"/>
    <n v="6.5"/>
    <n v="2024"/>
  </r>
  <r>
    <x v="4"/>
    <s v="Eli"/>
    <n v="8"/>
    <x v="0"/>
    <s v="Jalen Hurts"/>
    <n v="35.14"/>
    <n v="2024"/>
  </r>
  <r>
    <x v="4"/>
    <s v="Eli"/>
    <n v="8"/>
    <x v="1"/>
    <s v="Justin Jefferson"/>
    <n v="15.5"/>
    <n v="2024"/>
  </r>
  <r>
    <x v="4"/>
    <s v="Eli"/>
    <n v="8"/>
    <x v="1"/>
    <s v="Jalen McMillan"/>
    <n v="7.2"/>
    <n v="2024"/>
  </r>
  <r>
    <x v="4"/>
    <s v="Eli"/>
    <n v="8"/>
    <x v="1"/>
    <s v="DJ Moore"/>
    <n v="4.4000000000000004"/>
    <n v="2024"/>
  </r>
  <r>
    <x v="4"/>
    <s v="Eli"/>
    <n v="8"/>
    <x v="2"/>
    <s v="Bijan Robinson"/>
    <n v="20.100000000000001"/>
    <n v="2024"/>
  </r>
  <r>
    <x v="4"/>
    <s v="Eli"/>
    <n v="8"/>
    <x v="2"/>
    <s v="Jordan Mason"/>
    <n v="1.8"/>
    <n v="2024"/>
  </r>
  <r>
    <x v="4"/>
    <s v="Eli"/>
    <n v="8"/>
    <x v="3"/>
    <s v="Kyle Pitts"/>
    <n v="23.1"/>
    <n v="2024"/>
  </r>
  <r>
    <x v="4"/>
    <s v="Eli"/>
    <n v="8"/>
    <x v="5"/>
    <s v="Tyler Bass"/>
    <n v="7"/>
    <n v="2024"/>
  </r>
  <r>
    <x v="4"/>
    <s v="Eli"/>
    <n v="8"/>
    <x v="4"/>
    <s v="NYJ"/>
    <n v="3"/>
    <n v="2024"/>
  </r>
  <r>
    <x v="4"/>
    <s v="Eli"/>
    <n v="8"/>
    <x v="8"/>
    <s v="David Njoku"/>
    <n v="14.6"/>
    <n v="2024"/>
  </r>
  <r>
    <x v="11"/>
    <s v="Cam"/>
    <n v="8"/>
    <x v="0"/>
    <s v="Joe Burrow"/>
    <n v="12.86"/>
    <n v="2024"/>
  </r>
  <r>
    <x v="11"/>
    <s v="Cam"/>
    <n v="8"/>
    <x v="1"/>
    <s v="Ja'Marr Chase"/>
    <n v="15.9"/>
    <n v="2024"/>
  </r>
  <r>
    <x v="11"/>
    <s v="Cam"/>
    <n v="8"/>
    <x v="1"/>
    <s v="Jakobi Meyers"/>
    <n v="14.2"/>
    <n v="2024"/>
  </r>
  <r>
    <x v="11"/>
    <s v="Cam"/>
    <n v="8"/>
    <x v="1"/>
    <s v="Wan'Dale Robinson"/>
    <n v="5.5"/>
    <n v="2024"/>
  </r>
  <r>
    <x v="11"/>
    <s v="Cam"/>
    <n v="8"/>
    <x v="2"/>
    <s v="D'Andre Swift"/>
    <n v="18.899999999999999"/>
    <n v="2024"/>
  </r>
  <r>
    <x v="11"/>
    <s v="Cam"/>
    <n v="8"/>
    <x v="2"/>
    <s v="JK Dobbins"/>
    <n v="14.8"/>
    <n v="2024"/>
  </r>
  <r>
    <x v="11"/>
    <s v="Cam"/>
    <n v="8"/>
    <x v="3"/>
    <s v="George Kittle"/>
    <n v="21.8"/>
    <n v="2024"/>
  </r>
  <r>
    <x v="11"/>
    <s v="Cam"/>
    <n v="8"/>
    <x v="5"/>
    <s v="Evan McPherson"/>
    <n v="5"/>
    <n v="2024"/>
  </r>
  <r>
    <x v="11"/>
    <s v="Cam"/>
    <n v="8"/>
    <x v="4"/>
    <s v="Green Bay"/>
    <n v="4"/>
    <n v="2024"/>
  </r>
  <r>
    <x v="11"/>
    <s v="Cam"/>
    <n v="8"/>
    <x v="7"/>
    <s v="Aaron Jones"/>
    <n v="10.5"/>
    <n v="2024"/>
  </r>
  <r>
    <x v="6"/>
    <s v="Will"/>
    <n v="8"/>
    <x v="0"/>
    <s v="Caleb Williams"/>
    <n v="9.94"/>
    <n v="2024"/>
  </r>
  <r>
    <x v="6"/>
    <s v="Will"/>
    <n v="8"/>
    <x v="1"/>
    <s v="Ladd McConkey"/>
    <n v="26.1"/>
    <n v="2024"/>
  </r>
  <r>
    <x v="6"/>
    <s v="Will"/>
    <n v="8"/>
    <x v="1"/>
    <s v="Jaxon Smith-Njigba"/>
    <n v="9.9"/>
    <n v="2024"/>
  </r>
  <r>
    <x v="6"/>
    <s v="Will"/>
    <n v="8"/>
    <x v="1"/>
    <s v="Amon-Ra St. Brown"/>
    <n v="7.7"/>
    <n v="2024"/>
  </r>
  <r>
    <x v="6"/>
    <s v="Will"/>
    <n v="8"/>
    <x v="2"/>
    <s v="Austin Ekeler"/>
    <n v="6.8"/>
    <n v="2024"/>
  </r>
  <r>
    <x v="6"/>
    <s v="Will"/>
    <n v="8"/>
    <x v="2"/>
    <s v="D'Ernest Johnson"/>
    <n v="2.8"/>
    <n v="2024"/>
  </r>
  <r>
    <x v="6"/>
    <s v="Will"/>
    <n v="8"/>
    <x v="3"/>
    <s v="Travis Kelce"/>
    <n v="20"/>
    <n v="2024"/>
  </r>
  <r>
    <x v="6"/>
    <s v="Will"/>
    <n v="8"/>
    <x v="5"/>
    <s v="Jason Myers"/>
    <n v="4"/>
    <n v="2024"/>
  </r>
  <r>
    <x v="6"/>
    <s v="Will"/>
    <n v="8"/>
    <x v="4"/>
    <s v="Houston"/>
    <n v="9"/>
    <n v="2024"/>
  </r>
  <r>
    <x v="6"/>
    <s v="Will"/>
    <n v="8"/>
    <x v="6"/>
    <s v="Drake London"/>
    <n v="5.4"/>
    <n v="2024"/>
  </r>
  <r>
    <x v="3"/>
    <s v="Kevin"/>
    <n v="8"/>
    <x v="0"/>
    <s v="CJ Stroud"/>
    <n v="12.4"/>
    <n v="2024"/>
  </r>
  <r>
    <x v="3"/>
    <s v="Kevin"/>
    <n v="8"/>
    <x v="1"/>
    <s v="Marvin Harrison Jr"/>
    <n v="20.100000000000001"/>
    <n v="2024"/>
  </r>
  <r>
    <x v="3"/>
    <s v="Kevin"/>
    <n v="8"/>
    <x v="1"/>
    <s v="George Pickens"/>
    <n v="9.4"/>
    <n v="2024"/>
  </r>
  <r>
    <x v="3"/>
    <s v="Kevin"/>
    <n v="8"/>
    <x v="1"/>
    <s v="Jordan Addison"/>
    <n v="3.2"/>
    <n v="2024"/>
  </r>
  <r>
    <x v="3"/>
    <s v="Kevin"/>
    <n v="8"/>
    <x v="2"/>
    <s v="Joe Mixon"/>
    <n v="21.4"/>
    <n v="2024"/>
  </r>
  <r>
    <x v="3"/>
    <s v="Kevin"/>
    <n v="8"/>
    <x v="2"/>
    <s v="Najee Harris"/>
    <n v="14.6"/>
    <n v="2024"/>
  </r>
  <r>
    <x v="3"/>
    <s v="Kevin"/>
    <n v="8"/>
    <x v="3"/>
    <s v="Hunter Henry"/>
    <n v="7"/>
    <n v="2024"/>
  </r>
  <r>
    <x v="3"/>
    <s v="Kevin"/>
    <n v="8"/>
    <x v="5"/>
    <s v="Justin Tucker"/>
    <n v="7"/>
    <n v="2024"/>
  </r>
  <r>
    <x v="3"/>
    <s v="Kevin"/>
    <n v="8"/>
    <x v="4"/>
    <s v="NY Giants"/>
    <n v="2"/>
    <n v="2024"/>
  </r>
  <r>
    <x v="3"/>
    <s v="Kevin"/>
    <n v="8"/>
    <x v="7"/>
    <s v="Chuba Hubbard"/>
    <n v="8.1"/>
    <n v="2024"/>
  </r>
  <r>
    <x v="7"/>
    <s v="Jay"/>
    <n v="8"/>
    <x v="0"/>
    <s v="Lamar Jackson"/>
    <n v="24.16"/>
    <n v="2024"/>
  </r>
  <r>
    <x v="7"/>
    <s v="Jay"/>
    <n v="8"/>
    <x v="1"/>
    <s v="Stefon Diggs"/>
    <n v="10.199999999999999"/>
    <n v="2024"/>
  </r>
  <r>
    <x v="7"/>
    <s v="Jay"/>
    <n v="8"/>
    <x v="1"/>
    <s v="Christian Kirk"/>
    <n v="6.9"/>
    <n v="2024"/>
  </r>
  <r>
    <x v="7"/>
    <s v="Jay"/>
    <n v="8"/>
    <x v="1"/>
    <s v="Amari Cooper"/>
    <n v="0.8"/>
    <n v="2024"/>
  </r>
  <r>
    <x v="7"/>
    <s v="Jay"/>
    <n v="8"/>
    <x v="2"/>
    <s v="Jonathan Taylor"/>
    <n v="18.2"/>
    <n v="2024"/>
  </r>
  <r>
    <x v="7"/>
    <s v="Jay"/>
    <n v="8"/>
    <x v="2"/>
    <s v="Alvin Kamara"/>
    <n v="15.2"/>
    <n v="2024"/>
  </r>
  <r>
    <x v="7"/>
    <s v="Jay"/>
    <n v="8"/>
    <x v="3"/>
    <s v="Evan Engram"/>
    <n v="11.6"/>
    <n v="2024"/>
  </r>
  <r>
    <x v="7"/>
    <s v="Jay"/>
    <n v="8"/>
    <x v="5"/>
    <s v="Ka'imi Fairbairn"/>
    <n v="11"/>
    <n v="2024"/>
  </r>
  <r>
    <x v="7"/>
    <s v="Jay"/>
    <n v="8"/>
    <x v="4"/>
    <s v="Miami"/>
    <n v="-1"/>
    <n v="2024"/>
  </r>
  <r>
    <x v="7"/>
    <s v="Jay"/>
    <n v="8"/>
    <x v="7"/>
    <s v="Brian Robinson"/>
    <n v="8.1"/>
    <n v="2024"/>
  </r>
  <r>
    <x v="9"/>
    <s v="Tommy"/>
    <n v="8"/>
    <x v="0"/>
    <s v="Josh Allen"/>
    <n v="19.82"/>
    <n v="2024"/>
  </r>
  <r>
    <x v="9"/>
    <s v="Tommy"/>
    <n v="8"/>
    <x v="1"/>
    <s v="Malik Nabers"/>
    <n v="10.6"/>
    <n v="2024"/>
  </r>
  <r>
    <x v="9"/>
    <s v="Tommy"/>
    <n v="8"/>
    <x v="1"/>
    <s v="Xavier Worthy"/>
    <n v="11.7"/>
    <n v="2024"/>
  </r>
  <r>
    <x v="9"/>
    <s v="Tommy"/>
    <n v="8"/>
    <x v="1"/>
    <s v="Romeo Doubs"/>
    <n v="8.6999999999999993"/>
    <n v="2024"/>
  </r>
  <r>
    <x v="9"/>
    <s v="Tommy"/>
    <n v="8"/>
    <x v="2"/>
    <s v="Kyren Williams"/>
    <n v="20.100000000000001"/>
    <n v="2024"/>
  </r>
  <r>
    <x v="9"/>
    <s v="Tommy"/>
    <n v="8"/>
    <x v="2"/>
    <s v="Rachaad White"/>
    <n v="13.2"/>
    <n v="2024"/>
  </r>
  <r>
    <x v="9"/>
    <s v="Tommy"/>
    <n v="8"/>
    <x v="3"/>
    <s v="Mark Andrews"/>
    <n v="12.1"/>
    <n v="2024"/>
  </r>
  <r>
    <x v="9"/>
    <s v="Tommy"/>
    <n v="8"/>
    <x v="5"/>
    <s v="Harrison Butker"/>
    <n v="10"/>
    <n v="2024"/>
  </r>
  <r>
    <x v="9"/>
    <s v="Tommy"/>
    <n v="8"/>
    <x v="4"/>
    <s v="Minnesota"/>
    <n v="0"/>
    <n v="2024"/>
  </r>
  <r>
    <x v="9"/>
    <s v="Tommy"/>
    <n v="8"/>
    <x v="7"/>
    <s v="Saquon Barkley"/>
    <n v="11.6"/>
    <n v="2024"/>
  </r>
  <r>
    <x v="0"/>
    <s v="Brenton"/>
    <n v="9"/>
    <x v="0"/>
    <s v="Baker Mayfield"/>
    <n v="18"/>
    <n v="2024"/>
  </r>
  <r>
    <x v="0"/>
    <s v="Brenton"/>
    <n v="9"/>
    <x v="1"/>
    <s v="Courtland Sutton"/>
    <n v="19.78"/>
    <n v="2024"/>
  </r>
  <r>
    <x v="0"/>
    <s v="Brenton"/>
    <n v="9"/>
    <x v="1"/>
    <s v="Cedric Tillman"/>
    <n v="16.5"/>
    <n v="2024"/>
  </r>
  <r>
    <x v="0"/>
    <s v="Brenton"/>
    <n v="9"/>
    <x v="1"/>
    <s v="Jayden Reed"/>
    <n v="13.8"/>
    <n v="2024"/>
  </r>
  <r>
    <x v="0"/>
    <s v="Brenton"/>
    <n v="9"/>
    <x v="2"/>
    <s v="Javonte Williams"/>
    <n v="9.4"/>
    <n v="2024"/>
  </r>
  <r>
    <x v="0"/>
    <s v="Brenton"/>
    <n v="9"/>
    <x v="2"/>
    <s v="Tyrone Tracy"/>
    <n v="7.4"/>
    <n v="2024"/>
  </r>
  <r>
    <x v="0"/>
    <s v="Brenton"/>
    <n v="9"/>
    <x v="3"/>
    <s v="Trey McBride"/>
    <n v="11.2"/>
    <n v="2024"/>
  </r>
  <r>
    <x v="0"/>
    <s v="Brenton"/>
    <n v="9"/>
    <x v="5"/>
    <s v="Will Reichard"/>
    <n v="2"/>
    <n v="2024"/>
  </r>
  <r>
    <x v="0"/>
    <s v="Brenton"/>
    <n v="9"/>
    <x v="4"/>
    <s v="Baltimore"/>
    <n v="9"/>
    <n v="2024"/>
  </r>
  <r>
    <x v="0"/>
    <s v="Brenton"/>
    <n v="9"/>
    <x v="6"/>
    <s v="Tyreek Hill"/>
    <n v="10"/>
    <n v="2024"/>
  </r>
  <r>
    <x v="10"/>
    <s v="Brand"/>
    <n v="9"/>
    <x v="0"/>
    <s v="Kirk Cousins"/>
    <n v="17.78"/>
    <n v="2024"/>
  </r>
  <r>
    <x v="10"/>
    <s v="Brand"/>
    <n v="9"/>
    <x v="1"/>
    <s v="Garrett Wilson"/>
    <n v="25.5"/>
    <n v="2024"/>
  </r>
  <r>
    <x v="10"/>
    <s v="Brand"/>
    <n v="9"/>
    <x v="1"/>
    <s v="Keenan Allen"/>
    <n v="5.6"/>
    <n v="2024"/>
  </r>
  <r>
    <x v="10"/>
    <s v="Brand"/>
    <n v="9"/>
    <x v="1"/>
    <s v="Michael Pittman"/>
    <n v="1.9"/>
    <n v="2024"/>
  </r>
  <r>
    <x v="10"/>
    <s v="Brand"/>
    <n v="9"/>
    <x v="2"/>
    <s v="Kenneth Walker"/>
    <n v="12.2"/>
    <n v="2024"/>
  </r>
  <r>
    <x v="10"/>
    <s v="Brand"/>
    <n v="9"/>
    <x v="2"/>
    <s v="Breece Hall"/>
    <n v="9.5"/>
    <n v="2024"/>
  </r>
  <r>
    <x v="10"/>
    <s v="Brand"/>
    <n v="9"/>
    <x v="3"/>
    <s v="Taysom Hill"/>
    <n v="14"/>
    <n v="2024"/>
  </r>
  <r>
    <x v="10"/>
    <s v="Brand"/>
    <n v="9"/>
    <x v="5"/>
    <s v="Cameron Dicker"/>
    <n v="1"/>
    <n v="2024"/>
  </r>
  <r>
    <x v="10"/>
    <s v="Brand"/>
    <n v="9"/>
    <x v="4"/>
    <s v="LA Chargers"/>
    <n v="19"/>
    <n v="2024"/>
  </r>
  <r>
    <x v="10"/>
    <s v="Brand"/>
    <n v="9"/>
    <x v="7"/>
    <s v="Bucky Irving"/>
    <n v="4.9000000000000004"/>
    <n v="2024"/>
  </r>
  <r>
    <x v="2"/>
    <s v="Mike"/>
    <n v="9"/>
    <x v="0"/>
    <s v="Patrick Mahomes"/>
    <n v="24.54"/>
    <n v="2024"/>
  </r>
  <r>
    <x v="2"/>
    <s v="Mike"/>
    <n v="9"/>
    <x v="1"/>
    <s v="Davante Adams"/>
    <n v="18.600000000000001"/>
    <n v="2024"/>
  </r>
  <r>
    <x v="2"/>
    <s v="Mike"/>
    <n v="9"/>
    <x v="1"/>
    <s v="Tank Dell"/>
    <n v="15.6"/>
    <n v="2024"/>
  </r>
  <r>
    <x v="2"/>
    <s v="Mike"/>
    <n v="9"/>
    <x v="1"/>
    <s v="Khalil Shakir"/>
    <n v="8"/>
    <n v="2024"/>
  </r>
  <r>
    <x v="2"/>
    <s v="Mike"/>
    <n v="9"/>
    <x v="2"/>
    <s v="Derrick Henry"/>
    <n v="25.8"/>
    <n v="2024"/>
  </r>
  <r>
    <x v="2"/>
    <s v="Mike"/>
    <n v="9"/>
    <x v="2"/>
    <s v="Kareem Hunt"/>
    <n v="18.2"/>
    <n v="2024"/>
  </r>
  <r>
    <x v="2"/>
    <s v="Mike"/>
    <n v="9"/>
    <x v="3"/>
    <s v="Sam LaPorta"/>
    <n v="3.8"/>
    <n v="2024"/>
  </r>
  <r>
    <x v="2"/>
    <s v="Mike"/>
    <n v="9"/>
    <x v="5"/>
    <s v="Younghoe Koo"/>
    <n v="3"/>
    <n v="2024"/>
  </r>
  <r>
    <x v="2"/>
    <s v="Mike"/>
    <n v="9"/>
    <x v="4"/>
    <s v="Buffalo"/>
    <n v="2"/>
    <n v="2024"/>
  </r>
  <r>
    <x v="2"/>
    <s v="Mike"/>
    <n v="9"/>
    <x v="7"/>
    <s v="Nick Chubb"/>
    <n v="4"/>
    <n v="2024"/>
  </r>
  <r>
    <x v="5"/>
    <s v="Burnett/Jasjaap"/>
    <n v="9"/>
    <x v="0"/>
    <s v="Bo Nix"/>
    <n v="17.22"/>
    <n v="2024"/>
  </r>
  <r>
    <x v="5"/>
    <s v="Burnett/Jasjaap"/>
    <n v="9"/>
    <x v="1"/>
    <s v="CeeDee Lamb"/>
    <n v="12.2"/>
    <n v="2024"/>
  </r>
  <r>
    <x v="5"/>
    <s v="Burnett/Jasjaap"/>
    <n v="9"/>
    <x v="1"/>
    <s v="Jaylen Waddle"/>
    <n v="6.6"/>
    <n v="2024"/>
  </r>
  <r>
    <x v="5"/>
    <s v="Burnett/Jasjaap"/>
    <n v="9"/>
    <x v="1"/>
    <s v="Jerry Jeudy"/>
    <n v="10.8"/>
    <n v="2024"/>
  </r>
  <r>
    <x v="5"/>
    <s v="Burnett/Jasjaap"/>
    <n v="9"/>
    <x v="2"/>
    <s v="Josh Jacobs"/>
    <n v="11.8"/>
    <n v="2024"/>
  </r>
  <r>
    <x v="5"/>
    <s v="Burnett/Jasjaap"/>
    <n v="9"/>
    <x v="2"/>
    <s v="David Montgomery"/>
    <n v="11.1"/>
    <n v="2024"/>
  </r>
  <r>
    <x v="5"/>
    <s v="Burnett/Jasjaap"/>
    <n v="9"/>
    <x v="3"/>
    <s v="Brock Bowers"/>
    <n v="13"/>
    <n v="2024"/>
  </r>
  <r>
    <x v="5"/>
    <s v="Burnett/Jasjaap"/>
    <n v="9"/>
    <x v="5"/>
    <s v="Austin Seibert"/>
    <n v="9"/>
    <n v="2024"/>
  </r>
  <r>
    <x v="5"/>
    <s v="Burnett/Jasjaap"/>
    <n v="9"/>
    <x v="4"/>
    <s v="Kansas City"/>
    <n v="3"/>
    <n v="2024"/>
  </r>
  <r>
    <x v="5"/>
    <s v="Burnett/Jasjaap"/>
    <n v="9"/>
    <x v="6"/>
    <s v="Puka Nacua"/>
    <n v="1.6"/>
    <n v="2024"/>
  </r>
  <r>
    <x v="1"/>
    <s v="Todd"/>
    <n v="9"/>
    <x v="0"/>
    <s v="Sam Darnold"/>
    <n v="19"/>
    <n v="2024"/>
  </r>
  <r>
    <x v="1"/>
    <s v="Todd"/>
    <n v="9"/>
    <x v="1"/>
    <s v="Darnell Mooney"/>
    <n v="17.3"/>
    <n v="2024"/>
  </r>
  <r>
    <x v="1"/>
    <s v="Todd"/>
    <n v="9"/>
    <x v="1"/>
    <s v="AJ Brown"/>
    <n v="4.5999999999999996"/>
    <n v="2024"/>
  </r>
  <r>
    <x v="1"/>
    <s v="Todd"/>
    <n v="9"/>
    <x v="1"/>
    <s v="Brian Thomas Jr"/>
    <n v="5.2"/>
    <n v="2024"/>
  </r>
  <r>
    <x v="1"/>
    <s v="Todd"/>
    <n v="9"/>
    <x v="2"/>
    <s v="De'Von Achane"/>
    <n v="28.1"/>
    <n v="2024"/>
  </r>
  <r>
    <x v="1"/>
    <s v="Todd"/>
    <n v="9"/>
    <x v="2"/>
    <s v="James Conner"/>
    <n v="13.4"/>
    <n v="2024"/>
  </r>
  <r>
    <x v="1"/>
    <s v="Todd"/>
    <n v="9"/>
    <x v="3"/>
    <s v="Tucker Kraft"/>
    <n v="5.6"/>
    <n v="2024"/>
  </r>
  <r>
    <x v="1"/>
    <s v="Todd"/>
    <n v="9"/>
    <x v="5"/>
    <s v="Jake Elliott"/>
    <n v="5"/>
    <n v="2024"/>
  </r>
  <r>
    <x v="1"/>
    <s v="Todd"/>
    <n v="9"/>
    <x v="4"/>
    <s v="New Orleans"/>
    <n v="4"/>
    <n v="2024"/>
  </r>
  <r>
    <x v="1"/>
    <s v="Todd"/>
    <n v="9"/>
    <x v="6"/>
    <s v="Diontae Johnson"/>
    <n v="0"/>
    <n v="2024"/>
  </r>
  <r>
    <x v="6"/>
    <s v="Will"/>
    <n v="9"/>
    <x v="0"/>
    <s v="Caleb Williams"/>
    <n v="9.18"/>
    <n v="2024"/>
  </r>
  <r>
    <x v="6"/>
    <s v="Will"/>
    <n v="9"/>
    <x v="1"/>
    <s v="Drake London"/>
    <n v="9.6999999999999993"/>
    <n v="2024"/>
  </r>
  <r>
    <x v="6"/>
    <s v="Will"/>
    <n v="9"/>
    <x v="1"/>
    <s v="Amon-Ra St. Brown"/>
    <n v="15.1"/>
    <n v="2024"/>
  </r>
  <r>
    <x v="6"/>
    <s v="Will"/>
    <n v="9"/>
    <x v="1"/>
    <s v="Josh Downs"/>
    <n v="9"/>
    <n v="2024"/>
  </r>
  <r>
    <x v="6"/>
    <s v="Will"/>
    <n v="9"/>
    <x v="2"/>
    <s v="Tony Pollard"/>
    <n v="16.899999999999999"/>
    <n v="2024"/>
  </r>
  <r>
    <x v="6"/>
    <s v="Will"/>
    <n v="9"/>
    <x v="2"/>
    <s v="Travis Etienne"/>
    <n v="4"/>
    <n v="2024"/>
  </r>
  <r>
    <x v="6"/>
    <s v="Will"/>
    <n v="9"/>
    <x v="3"/>
    <s v="Travis Kelce"/>
    <n v="15"/>
    <n v="2024"/>
  </r>
  <r>
    <x v="6"/>
    <s v="Will"/>
    <n v="9"/>
    <x v="5"/>
    <s v="Jason Myers"/>
    <n v="1"/>
    <n v="2024"/>
  </r>
  <r>
    <x v="6"/>
    <s v="Will"/>
    <n v="9"/>
    <x v="4"/>
    <s v="Houston"/>
    <n v="3"/>
    <n v="2024"/>
  </r>
  <r>
    <x v="6"/>
    <s v="Will"/>
    <n v="9"/>
    <x v="6"/>
    <s v="Ladd McConkey"/>
    <n v="8.9"/>
    <n v="2024"/>
  </r>
  <r>
    <x v="4"/>
    <s v="Eli"/>
    <n v="9"/>
    <x v="0"/>
    <s v="Jalen Hurts"/>
    <n v="29.9"/>
    <n v="2024"/>
  </r>
  <r>
    <x v="4"/>
    <s v="Eli"/>
    <n v="9"/>
    <x v="1"/>
    <s v="Justin Jefferson"/>
    <n v="18.079999999999998"/>
    <n v="2024"/>
  </r>
  <r>
    <x v="4"/>
    <s v="Eli"/>
    <n v="9"/>
    <x v="1"/>
    <s v="Xavier Legette"/>
    <n v="11.9"/>
    <n v="2024"/>
  </r>
  <r>
    <x v="4"/>
    <s v="Eli"/>
    <n v="9"/>
    <x v="1"/>
    <s v="DJ Moore"/>
    <n v="5.3"/>
    <n v="2024"/>
  </r>
  <r>
    <x v="4"/>
    <s v="Eli"/>
    <n v="9"/>
    <x v="2"/>
    <s v="Bijan Robinson"/>
    <n v="18"/>
    <n v="2024"/>
  </r>
  <r>
    <x v="4"/>
    <s v="Eli"/>
    <n v="9"/>
    <x v="2"/>
    <s v="Roschon Johnson"/>
    <n v="3.1"/>
    <n v="2024"/>
  </r>
  <r>
    <x v="4"/>
    <s v="Eli"/>
    <n v="9"/>
    <x v="3"/>
    <s v="David Njoku"/>
    <n v="5.4"/>
    <n v="2024"/>
  </r>
  <r>
    <x v="4"/>
    <s v="Eli"/>
    <n v="9"/>
    <x v="5"/>
    <s v="Tyler Bass"/>
    <n v="13"/>
    <n v="2024"/>
  </r>
  <r>
    <x v="4"/>
    <s v="Eli"/>
    <n v="9"/>
    <x v="4"/>
    <s v="NYJ"/>
    <n v="13"/>
    <n v="2024"/>
  </r>
  <r>
    <x v="4"/>
    <s v="Eli"/>
    <n v="9"/>
    <x v="8"/>
    <s v="Kyle Pitts"/>
    <n v="1.6"/>
    <n v="2024"/>
  </r>
  <r>
    <x v="9"/>
    <s v="Tommy"/>
    <n v="9"/>
    <x v="0"/>
    <s v="Josh Allen"/>
    <n v="22.1"/>
    <n v="2024"/>
  </r>
  <r>
    <x v="9"/>
    <s v="Tommy"/>
    <n v="9"/>
    <x v="1"/>
    <s v="Malik Nabers"/>
    <n v="10.4"/>
    <n v="2024"/>
  </r>
  <r>
    <x v="9"/>
    <s v="Tommy"/>
    <n v="9"/>
    <x v="1"/>
    <s v="Romeo Doubs"/>
    <n v="4.8"/>
    <n v="2024"/>
  </r>
  <r>
    <x v="9"/>
    <s v="Tommy"/>
    <n v="9"/>
    <x v="1"/>
    <s v="Xavier Worthy"/>
    <n v="-1"/>
    <n v="2024"/>
  </r>
  <r>
    <x v="9"/>
    <s v="Tommy"/>
    <n v="9"/>
    <x v="2"/>
    <s v="Saquon Barkley"/>
    <n v="31.4"/>
    <n v="2024"/>
  </r>
  <r>
    <x v="9"/>
    <s v="Tommy"/>
    <n v="9"/>
    <x v="2"/>
    <s v="Kyren Williams"/>
    <n v="10"/>
    <n v="2024"/>
  </r>
  <r>
    <x v="9"/>
    <s v="Tommy"/>
    <n v="9"/>
    <x v="3"/>
    <s v="Mark Andrews"/>
    <n v="3.6"/>
    <n v="2024"/>
  </r>
  <r>
    <x v="9"/>
    <s v="Tommy"/>
    <n v="9"/>
    <x v="5"/>
    <s v="Harrison Butker"/>
    <n v="7"/>
    <n v="2024"/>
  </r>
  <r>
    <x v="9"/>
    <s v="Tommy"/>
    <n v="9"/>
    <x v="4"/>
    <s v="Minnesota"/>
    <n v="12"/>
    <n v="2024"/>
  </r>
  <r>
    <x v="9"/>
    <s v="Tommy"/>
    <n v="9"/>
    <x v="7"/>
    <s v="Alexander Mattison"/>
    <n v="3.6"/>
    <n v="2024"/>
  </r>
  <r>
    <x v="8"/>
    <s v="Schulwolf"/>
    <n v="9"/>
    <x v="0"/>
    <s v="Jayden Daniels"/>
    <n v="19.86"/>
    <n v="2024"/>
  </r>
  <r>
    <x v="8"/>
    <s v="Schulwolf"/>
    <n v="9"/>
    <x v="1"/>
    <s v="Devonta Smith"/>
    <n v="16.7"/>
    <n v="2024"/>
  </r>
  <r>
    <x v="8"/>
    <s v="Schulwolf"/>
    <n v="9"/>
    <x v="1"/>
    <s v="Cooper Kupp"/>
    <n v="15.9"/>
    <n v="2024"/>
  </r>
  <r>
    <x v="8"/>
    <s v="Schulwolf"/>
    <n v="9"/>
    <x v="1"/>
    <s v="Terry McLaurin"/>
    <n v="14.9"/>
    <n v="2024"/>
  </r>
  <r>
    <x v="8"/>
    <s v="Schulwolf"/>
    <n v="9"/>
    <x v="2"/>
    <s v="Jahmyr Gibbs"/>
    <n v="14.1"/>
    <n v="2024"/>
  </r>
  <r>
    <x v="8"/>
    <s v="Schulwolf"/>
    <n v="9"/>
    <x v="2"/>
    <s v="James Cook"/>
    <n v="9.4"/>
    <n v="2024"/>
  </r>
  <r>
    <x v="8"/>
    <s v="Schulwolf"/>
    <n v="9"/>
    <x v="3"/>
    <s v="Dalton Kincaid"/>
    <n v="5.2"/>
    <n v="2024"/>
  </r>
  <r>
    <x v="8"/>
    <s v="Schulwolf"/>
    <n v="9"/>
    <x v="5"/>
    <s v="Brandon Aubrey"/>
    <n v="9"/>
    <n v="2024"/>
  </r>
  <r>
    <x v="8"/>
    <s v="Schulwolf"/>
    <n v="9"/>
    <x v="4"/>
    <s v="Philadelphia"/>
    <n v="10"/>
    <n v="2024"/>
  </r>
  <r>
    <x v="8"/>
    <s v="Schulwolf"/>
    <n v="9"/>
    <x v="6"/>
    <s v="Tyler Lockett"/>
    <n v="13.8"/>
    <n v="2024"/>
  </r>
  <r>
    <x v="7"/>
    <s v="Jay"/>
    <n v="9"/>
    <x v="0"/>
    <s v="Lamar Jackson"/>
    <n v="23.6"/>
    <n v="2024"/>
  </r>
  <r>
    <x v="7"/>
    <s v="Jay"/>
    <n v="9"/>
    <x v="1"/>
    <s v="Quentin Johnston"/>
    <n v="20"/>
    <n v="2024"/>
  </r>
  <r>
    <x v="7"/>
    <s v="Jay"/>
    <n v="9"/>
    <x v="1"/>
    <s v="Parker Washington"/>
    <n v="5.6"/>
    <n v="2024"/>
  </r>
  <r>
    <x v="7"/>
    <s v="Jay"/>
    <n v="9"/>
    <x v="1"/>
    <s v="Keon Coleman"/>
    <n v="4.5999999999999996"/>
    <n v="2024"/>
  </r>
  <r>
    <x v="7"/>
    <s v="Jay"/>
    <n v="9"/>
    <x v="2"/>
    <s v="Alvin Kamara"/>
    <n v="24.5"/>
    <n v="2024"/>
  </r>
  <r>
    <x v="7"/>
    <s v="Jay"/>
    <n v="9"/>
    <x v="2"/>
    <s v="Jonathan Taylor"/>
    <n v="7.4"/>
    <n v="2024"/>
  </r>
  <r>
    <x v="7"/>
    <s v="Jay"/>
    <n v="9"/>
    <x v="3"/>
    <s v="Evan Engram"/>
    <n v="9"/>
    <n v="2024"/>
  </r>
  <r>
    <x v="7"/>
    <s v="Jay"/>
    <n v="9"/>
    <x v="5"/>
    <s v="Ka'imi Fairbairn"/>
    <n v="8"/>
    <n v="2024"/>
  </r>
  <r>
    <x v="7"/>
    <s v="Jay"/>
    <n v="9"/>
    <x v="4"/>
    <s v="Tennessee"/>
    <n v="12"/>
    <n v="2024"/>
  </r>
  <r>
    <x v="7"/>
    <s v="Jay"/>
    <n v="9"/>
    <x v="7"/>
    <s v="Devin Singletary"/>
    <n v="3.3"/>
    <n v="2024"/>
  </r>
  <r>
    <x v="11"/>
    <s v="Cam"/>
    <n v="9"/>
    <x v="0"/>
    <s v="Joe Burrow"/>
    <n v="29.14"/>
    <n v="2024"/>
  </r>
  <r>
    <x v="11"/>
    <s v="Cam"/>
    <n v="9"/>
    <x v="1"/>
    <s v="Jakobi Meyers"/>
    <n v="14.5"/>
    <n v="2024"/>
  </r>
  <r>
    <x v="11"/>
    <s v="Cam"/>
    <n v="9"/>
    <x v="1"/>
    <s v="Ja'Marr Chase"/>
    <n v="7.8"/>
    <n v="2024"/>
  </r>
  <r>
    <x v="11"/>
    <s v="Cam"/>
    <n v="9"/>
    <x v="1"/>
    <s v="Wan'Dale Robinson"/>
    <n v="2.5"/>
    <n v="2024"/>
  </r>
  <r>
    <x v="11"/>
    <s v="Cam"/>
    <n v="9"/>
    <x v="2"/>
    <s v="JK Dobbins"/>
    <n v="23.5"/>
    <n v="2024"/>
  </r>
  <r>
    <x v="11"/>
    <s v="Cam"/>
    <n v="9"/>
    <x v="2"/>
    <s v="D'Andre Swift"/>
    <n v="11.2"/>
    <n v="2024"/>
  </r>
  <r>
    <x v="11"/>
    <s v="Cam"/>
    <n v="9"/>
    <x v="3"/>
    <s v="Zach Ertz"/>
    <n v="1"/>
    <n v="2024"/>
  </r>
  <r>
    <x v="11"/>
    <s v="Cam"/>
    <n v="9"/>
    <x v="5"/>
    <s v="Chase McLaughlin"/>
    <n v="7"/>
    <n v="2024"/>
  </r>
  <r>
    <x v="11"/>
    <s v="Cam"/>
    <n v="9"/>
    <x v="4"/>
    <s v="Chicago"/>
    <n v="6"/>
    <n v="2024"/>
  </r>
  <r>
    <x v="11"/>
    <s v="Cam"/>
    <n v="9"/>
    <x v="7"/>
    <s v="Aaron Jones"/>
    <n v="10.199999999999999"/>
    <n v="2024"/>
  </r>
  <r>
    <x v="3"/>
    <s v="Kevin"/>
    <n v="9"/>
    <x v="0"/>
    <s v="CJ Stroud"/>
    <n v="11.54"/>
    <n v="2024"/>
  </r>
  <r>
    <x v="3"/>
    <s v="Kevin"/>
    <n v="9"/>
    <x v="1"/>
    <s v="Jordan Addison"/>
    <n v="13.6"/>
    <n v="2024"/>
  </r>
  <r>
    <x v="3"/>
    <s v="Kevin"/>
    <n v="9"/>
    <x v="1"/>
    <s v="DeAndre Hopkins"/>
    <n v="24.6"/>
    <n v="2024"/>
  </r>
  <r>
    <x v="3"/>
    <s v="Kevin"/>
    <n v="9"/>
    <x v="1"/>
    <s v="Marvin Harrison Jr"/>
    <n v="2.4"/>
    <n v="2024"/>
  </r>
  <r>
    <x v="3"/>
    <s v="Kevin"/>
    <n v="9"/>
    <x v="2"/>
    <s v="Chuba Hubbard"/>
    <n v="20.2"/>
    <n v="2024"/>
  </r>
  <r>
    <x v="3"/>
    <s v="Kevin"/>
    <n v="9"/>
    <x v="2"/>
    <s v="Joe Mixon"/>
    <n v="16.600000000000001"/>
    <n v="2024"/>
  </r>
  <r>
    <x v="3"/>
    <s v="Kevin"/>
    <n v="9"/>
    <x v="3"/>
    <s v="Hunter Henry"/>
    <n v="9.1"/>
    <n v="2024"/>
  </r>
  <r>
    <x v="3"/>
    <s v="Kevin"/>
    <n v="9"/>
    <x v="5"/>
    <s v="Justin Tucker"/>
    <n v="11"/>
    <n v="2024"/>
  </r>
  <r>
    <x v="3"/>
    <s v="Kevin"/>
    <n v="9"/>
    <x v="4"/>
    <s v="Cincinnati"/>
    <n v="11"/>
    <n v="2024"/>
  </r>
  <r>
    <x v="3"/>
    <s v="Kevin"/>
    <n v="9"/>
    <x v="6"/>
    <s v="Chris Olave"/>
    <n v="1.8"/>
    <n v="2024"/>
  </r>
  <r>
    <x v="0"/>
    <s v="Brenton"/>
    <n v="10"/>
    <x v="0"/>
    <s v="Baker Mayfield"/>
    <n v="8.94"/>
    <n v="2024"/>
  </r>
  <r>
    <x v="0"/>
    <s v="Brenton"/>
    <n v="10"/>
    <x v="1"/>
    <s v="Courtland Sutton"/>
    <n v="16"/>
    <n v="2024"/>
  </r>
  <r>
    <x v="0"/>
    <s v="Brenton"/>
    <n v="10"/>
    <x v="1"/>
    <s v="Tyreek Hill"/>
    <n v="10.199999999999999"/>
    <n v="2024"/>
  </r>
  <r>
    <x v="0"/>
    <s v="Brenton"/>
    <n v="10"/>
    <x v="1"/>
    <s v="Zay Flowers"/>
    <n v="5.4"/>
    <n v="2024"/>
  </r>
  <r>
    <x v="0"/>
    <s v="Brenton"/>
    <n v="10"/>
    <x v="2"/>
    <s v="Tyrone Tracy"/>
    <n v="14.9"/>
    <n v="2024"/>
  </r>
  <r>
    <x v="0"/>
    <s v="Brenton"/>
    <n v="10"/>
    <x v="2"/>
    <s v="Christian McCaffrey"/>
    <n v="13.7"/>
    <n v="2024"/>
  </r>
  <r>
    <x v="0"/>
    <s v="Brenton"/>
    <n v="10"/>
    <x v="3"/>
    <s v="Trey McBride"/>
    <n v="9.1"/>
    <n v="2024"/>
  </r>
  <r>
    <x v="0"/>
    <s v="Brenton"/>
    <n v="10"/>
    <x v="5"/>
    <s v="Jake Elliott"/>
    <n v="10"/>
    <n v="2024"/>
  </r>
  <r>
    <x v="0"/>
    <s v="Brenton"/>
    <n v="10"/>
    <x v="4"/>
    <s v="NY Giants"/>
    <n v="3"/>
    <n v="2024"/>
  </r>
  <r>
    <x v="0"/>
    <s v="Brenton"/>
    <n v="10"/>
    <x v="7"/>
    <s v="Javonte Williams"/>
    <n v="1.7"/>
    <n v="2024"/>
  </r>
  <r>
    <x v="5"/>
    <s v="Burnett/Jasjaap"/>
    <n v="10"/>
    <x v="0"/>
    <s v="Brock Purdy"/>
    <n v="23.82"/>
    <n v="2024"/>
  </r>
  <r>
    <x v="5"/>
    <s v="Burnett/Jasjaap"/>
    <n v="10"/>
    <x v="1"/>
    <s v="Puka Nacua"/>
    <n v="14.3"/>
    <n v="2024"/>
  </r>
  <r>
    <x v="5"/>
    <s v="Burnett/Jasjaap"/>
    <n v="10"/>
    <x v="1"/>
    <s v="Jaylen Waddle"/>
    <n v="7.1"/>
    <n v="2024"/>
  </r>
  <r>
    <x v="5"/>
    <s v="Burnett/Jasjaap"/>
    <n v="10"/>
    <x v="1"/>
    <s v="Ricky Pearsall"/>
    <n v="15.3"/>
    <n v="2024"/>
  </r>
  <r>
    <x v="5"/>
    <s v="Burnett/Jasjaap"/>
    <n v="10"/>
    <x v="2"/>
    <s v="David Montgomery"/>
    <n v="12.1"/>
    <n v="2024"/>
  </r>
  <r>
    <x v="5"/>
    <s v="Burnett/Jasjaap"/>
    <n v="10"/>
    <x v="2"/>
    <s v="Rico Dowdle"/>
    <n v="7.1"/>
    <n v="2024"/>
  </r>
  <r>
    <x v="5"/>
    <s v="Burnett/Jasjaap"/>
    <n v="10"/>
    <x v="3"/>
    <s v="Cole Kmet"/>
    <n v="2.2999999999999998"/>
    <n v="2024"/>
  </r>
  <r>
    <x v="5"/>
    <s v="Burnett/Jasjaap"/>
    <n v="10"/>
    <x v="5"/>
    <s v="Jake Bates"/>
    <n v="12"/>
    <n v="2024"/>
  </r>
  <r>
    <x v="5"/>
    <s v="Burnett/Jasjaap"/>
    <n v="10"/>
    <x v="4"/>
    <s v="Kansas City"/>
    <n v="6"/>
    <n v="2024"/>
  </r>
  <r>
    <x v="5"/>
    <s v="Burnett/Jasjaap"/>
    <n v="10"/>
    <x v="6"/>
    <s v="CeeDee Lamb"/>
    <n v="5.4"/>
    <n v="2024"/>
  </r>
  <r>
    <x v="2"/>
    <s v="Mike"/>
    <n v="10"/>
    <x v="0"/>
    <s v="Patrick Mahomes"/>
    <n v="16.54"/>
    <n v="2024"/>
  </r>
  <r>
    <x v="2"/>
    <s v="Mike"/>
    <n v="10"/>
    <x v="1"/>
    <s v="Khalil Shakir"/>
    <n v="8.8000000000000007"/>
    <n v="2024"/>
  </r>
  <r>
    <x v="2"/>
    <s v="Mike"/>
    <n v="10"/>
    <x v="1"/>
    <s v="Davante Adams"/>
    <n v="6.1"/>
    <n v="2024"/>
  </r>
  <r>
    <x v="2"/>
    <s v="Mike"/>
    <n v="10"/>
    <x v="1"/>
    <s v="Tank Dell"/>
    <n v="5.8"/>
    <n v="2024"/>
  </r>
  <r>
    <x v="2"/>
    <s v="Mike"/>
    <n v="10"/>
    <x v="2"/>
    <s v="Chase Brown"/>
    <n v="17.899999999999999"/>
    <n v="2024"/>
  </r>
  <r>
    <x v="2"/>
    <s v="Mike"/>
    <n v="10"/>
    <x v="2"/>
    <s v="Derrick Henry"/>
    <n v="13.6"/>
    <n v="2024"/>
  </r>
  <r>
    <x v="2"/>
    <s v="Mike"/>
    <n v="10"/>
    <x v="3"/>
    <s v="Sam LaPorta"/>
    <n v="14.1"/>
    <n v="2024"/>
  </r>
  <r>
    <x v="2"/>
    <s v="Mike"/>
    <n v="10"/>
    <x v="5"/>
    <s v="Younghoe Koo"/>
    <n v="3"/>
    <n v="2024"/>
  </r>
  <r>
    <x v="2"/>
    <s v="Mike"/>
    <n v="10"/>
    <x v="4"/>
    <s v="Buffalo"/>
    <n v="18"/>
    <n v="2024"/>
  </r>
  <r>
    <x v="2"/>
    <s v="Mike"/>
    <n v="10"/>
    <x v="7"/>
    <s v="Kareem Hunt"/>
    <n v="13.5"/>
    <n v="2024"/>
  </r>
  <r>
    <x v="6"/>
    <s v="Will"/>
    <n v="10"/>
    <x v="0"/>
    <s v="Caleb Williams"/>
    <n v="6.3"/>
    <n v="2024"/>
  </r>
  <r>
    <x v="6"/>
    <s v="Will"/>
    <n v="10"/>
    <x v="1"/>
    <s v="Drake London"/>
    <n v="13.7"/>
    <n v="2024"/>
  </r>
  <r>
    <x v="6"/>
    <s v="Will"/>
    <n v="10"/>
    <x v="1"/>
    <s v="Amon-Ra St. Brown"/>
    <n v="15"/>
    <n v="2024"/>
  </r>
  <r>
    <x v="6"/>
    <s v="Will"/>
    <n v="10"/>
    <x v="1"/>
    <s v="Josh Downs"/>
    <n v="10.7"/>
    <n v="2024"/>
  </r>
  <r>
    <x v="6"/>
    <s v="Will"/>
    <n v="10"/>
    <x v="2"/>
    <s v="Austin Ekeler"/>
    <n v="17.600000000000001"/>
    <n v="2024"/>
  </r>
  <r>
    <x v="6"/>
    <s v="Will"/>
    <n v="10"/>
    <x v="2"/>
    <s v="Tony Pollard"/>
    <n v="8.3000000000000007"/>
    <n v="2024"/>
  </r>
  <r>
    <x v="6"/>
    <s v="Will"/>
    <n v="10"/>
    <x v="3"/>
    <s v="Travis Kelce"/>
    <n v="16.399999999999999"/>
    <n v="2024"/>
  </r>
  <r>
    <x v="6"/>
    <s v="Will"/>
    <n v="10"/>
    <x v="5"/>
    <s v="Jake Moody"/>
    <n v="10"/>
    <n v="2024"/>
  </r>
  <r>
    <x v="6"/>
    <s v="Will"/>
    <n v="10"/>
    <x v="4"/>
    <s v="Houston"/>
    <n v="9"/>
    <n v="2024"/>
  </r>
  <r>
    <x v="6"/>
    <s v="Will"/>
    <n v="10"/>
    <x v="6"/>
    <s v="Ladd McConkey"/>
    <n v="6.2"/>
    <n v="2024"/>
  </r>
  <r>
    <x v="1"/>
    <s v="Todd"/>
    <n v="10"/>
    <x v="0"/>
    <s v="Sam Darnold"/>
    <n v="6.44"/>
    <n v="2024"/>
  </r>
  <r>
    <x v="1"/>
    <s v="Todd"/>
    <n v="10"/>
    <x v="1"/>
    <s v="AJ Brown"/>
    <n v="13.4"/>
    <n v="2024"/>
  </r>
  <r>
    <x v="1"/>
    <s v="Todd"/>
    <n v="10"/>
    <x v="1"/>
    <s v="Darnell Mooney"/>
    <n v="12.1"/>
    <n v="2024"/>
  </r>
  <r>
    <x v="1"/>
    <s v="Todd"/>
    <n v="10"/>
    <x v="1"/>
    <s v="Deebo Samuel"/>
    <n v="10.1"/>
    <n v="2024"/>
  </r>
  <r>
    <x v="1"/>
    <s v="Todd"/>
    <n v="10"/>
    <x v="2"/>
    <s v="James Conner"/>
    <n v="19.8"/>
    <n v="2024"/>
  </r>
  <r>
    <x v="1"/>
    <s v="Todd"/>
    <n v="10"/>
    <x v="2"/>
    <s v="De'Von Achane"/>
    <n v="7.7"/>
    <n v="2024"/>
  </r>
  <r>
    <x v="1"/>
    <s v="Todd"/>
    <n v="10"/>
    <x v="3"/>
    <s v="Mike Gesicki"/>
    <n v="5"/>
    <n v="2024"/>
  </r>
  <r>
    <x v="1"/>
    <s v="Todd"/>
    <n v="10"/>
    <x v="5"/>
    <s v="Chris Boswell"/>
    <n v="4"/>
    <n v="2024"/>
  </r>
  <r>
    <x v="1"/>
    <s v="Todd"/>
    <n v="10"/>
    <x v="4"/>
    <s v="Atlanta"/>
    <n v="0"/>
    <n v="2024"/>
  </r>
  <r>
    <x v="1"/>
    <s v="Todd"/>
    <n v="10"/>
    <x v="6"/>
    <s v="Brian Thomas Jr"/>
    <n v="2.2000000000000002"/>
    <n v="2024"/>
  </r>
  <r>
    <x v="3"/>
    <s v="Kevin"/>
    <n v="10"/>
    <x v="0"/>
    <s v="CJ Stroud"/>
    <n v="9.7799999999999994"/>
    <n v="2024"/>
  </r>
  <r>
    <x v="3"/>
    <s v="Kevin"/>
    <n v="10"/>
    <x v="1"/>
    <s v="Marvin Harrison Jr"/>
    <n v="13.9"/>
    <n v="2024"/>
  </r>
  <r>
    <x v="3"/>
    <s v="Kevin"/>
    <n v="10"/>
    <x v="1"/>
    <s v="George Pickens"/>
    <n v="18"/>
    <n v="2024"/>
  </r>
  <r>
    <x v="3"/>
    <s v="Kevin"/>
    <n v="10"/>
    <x v="1"/>
    <s v="DeAndre Hopkins"/>
    <n v="7.6"/>
    <n v="2024"/>
  </r>
  <r>
    <x v="3"/>
    <s v="Kevin"/>
    <n v="10"/>
    <x v="2"/>
    <s v="Chuba Hubbard"/>
    <n v="22.9"/>
    <n v="2024"/>
  </r>
  <r>
    <x v="3"/>
    <s v="Kevin"/>
    <n v="10"/>
    <x v="2"/>
    <s v="Joe Mixon"/>
    <n v="16"/>
    <n v="2024"/>
  </r>
  <r>
    <x v="3"/>
    <s v="Kevin"/>
    <n v="10"/>
    <x v="3"/>
    <s v="Hunter Henry"/>
    <n v="1.9"/>
    <n v="2024"/>
  </r>
  <r>
    <x v="3"/>
    <s v="Kevin"/>
    <n v="10"/>
    <x v="5"/>
    <s v="Justin Tucker"/>
    <n v="2"/>
    <n v="2024"/>
  </r>
  <r>
    <x v="3"/>
    <s v="Kevin"/>
    <n v="10"/>
    <x v="4"/>
    <s v="LA Rams"/>
    <n v="8"/>
    <n v="2024"/>
  </r>
  <r>
    <x v="3"/>
    <s v="Kevin"/>
    <n v="10"/>
    <x v="7"/>
    <s v="Najee Harris"/>
    <n v="11.3"/>
    <n v="2024"/>
  </r>
  <r>
    <x v="4"/>
    <s v="Eli"/>
    <n v="10"/>
    <x v="0"/>
    <s v="Jalen Hurts"/>
    <n v="29.68"/>
    <n v="2024"/>
  </r>
  <r>
    <x v="4"/>
    <s v="Eli"/>
    <n v="10"/>
    <x v="1"/>
    <s v="Justin Jefferson"/>
    <n v="7.3"/>
    <n v="2024"/>
  </r>
  <r>
    <x v="4"/>
    <s v="Eli"/>
    <n v="10"/>
    <x v="1"/>
    <s v="Xavier Legette"/>
    <n v="5.5"/>
    <n v="2024"/>
  </r>
  <r>
    <x v="4"/>
    <s v="Eli"/>
    <n v="10"/>
    <x v="1"/>
    <s v="DJ Moore"/>
    <n v="4.2"/>
    <n v="2024"/>
  </r>
  <r>
    <x v="4"/>
    <s v="Eli"/>
    <n v="10"/>
    <x v="2"/>
    <s v="Bijan Robinson"/>
    <n v="27.9"/>
    <n v="2024"/>
  </r>
  <r>
    <x v="4"/>
    <s v="Eli"/>
    <n v="10"/>
    <x v="2"/>
    <s v="Tyjae Spears"/>
    <n v="6.6"/>
    <n v="2024"/>
  </r>
  <r>
    <x v="4"/>
    <s v="Eli"/>
    <n v="10"/>
    <x v="3"/>
    <s v="Kyle Pitts"/>
    <n v="7.5"/>
    <n v="2024"/>
  </r>
  <r>
    <x v="4"/>
    <s v="Eli"/>
    <n v="10"/>
    <x v="5"/>
    <s v="Tyler Bass"/>
    <n v="13"/>
    <n v="2024"/>
  </r>
  <r>
    <x v="4"/>
    <s v="Eli"/>
    <n v="10"/>
    <x v="4"/>
    <s v="NYJ"/>
    <n v="-4"/>
    <n v="2024"/>
  </r>
  <r>
    <x v="4"/>
    <s v="Eli"/>
    <n v="10"/>
    <x v="6"/>
    <s v="Rome Odunze"/>
    <n v="3.8"/>
    <n v="2024"/>
  </r>
  <r>
    <x v="8"/>
    <s v="Schulwolf"/>
    <n v="10"/>
    <x v="0"/>
    <s v="Jayden Daniels"/>
    <n v="8.58"/>
    <n v="2024"/>
  </r>
  <r>
    <x v="8"/>
    <s v="Schulwolf"/>
    <n v="10"/>
    <x v="1"/>
    <s v="Terry McLaurin"/>
    <n v="13.8"/>
    <n v="2024"/>
  </r>
  <r>
    <x v="8"/>
    <s v="Schulwolf"/>
    <n v="10"/>
    <x v="1"/>
    <s v="Cooper Kupp"/>
    <n v="11.5"/>
    <n v="2024"/>
  </r>
  <r>
    <x v="8"/>
    <s v="Schulwolf"/>
    <n v="10"/>
    <x v="1"/>
    <s v="Devonta Smith"/>
    <n v="2.4"/>
    <n v="2024"/>
  </r>
  <r>
    <x v="8"/>
    <s v="Schulwolf"/>
    <n v="10"/>
    <x v="2"/>
    <s v="James Cook"/>
    <n v="15"/>
    <n v="2024"/>
  </r>
  <r>
    <x v="8"/>
    <s v="Schulwolf"/>
    <n v="10"/>
    <x v="2"/>
    <s v="Jahmyr Gibbs"/>
    <n v="11.8"/>
    <n v="2024"/>
  </r>
  <r>
    <x v="8"/>
    <s v="Schulwolf"/>
    <n v="10"/>
    <x v="3"/>
    <s v="Dalton Kincaid"/>
    <n v="3.4"/>
    <n v="2024"/>
  </r>
  <r>
    <x v="8"/>
    <s v="Schulwolf"/>
    <n v="10"/>
    <x v="5"/>
    <s v="Brandon Aubrey"/>
    <n v="7"/>
    <n v="2024"/>
  </r>
  <r>
    <x v="8"/>
    <s v="Schulwolf"/>
    <n v="10"/>
    <x v="4"/>
    <s v="Philadelphia"/>
    <n v="23"/>
    <n v="2024"/>
  </r>
  <r>
    <x v="8"/>
    <s v="Schulwolf"/>
    <n v="10"/>
    <x v="7"/>
    <s v="Ray Davis"/>
    <n v="0.6"/>
    <n v="2024"/>
  </r>
  <r>
    <x v="10"/>
    <s v="Brand"/>
    <n v="10"/>
    <x v="0"/>
    <s v="Kirk Cousins"/>
    <n v="10.24"/>
    <n v="2024"/>
  </r>
  <r>
    <x v="10"/>
    <s v="Brand"/>
    <n v="10"/>
    <x v="1"/>
    <s v="Keenan Allen"/>
    <n v="6.9"/>
    <n v="2024"/>
  </r>
  <r>
    <x v="10"/>
    <s v="Brand"/>
    <n v="10"/>
    <x v="1"/>
    <s v="Garrett Wilson"/>
    <n v="6.6"/>
    <n v="2024"/>
  </r>
  <r>
    <x v="10"/>
    <s v="Brand"/>
    <n v="10"/>
    <x v="1"/>
    <s v="Jameson Williams"/>
    <n v="6.8"/>
    <n v="2024"/>
  </r>
  <r>
    <x v="10"/>
    <s v="Brand"/>
    <n v="10"/>
    <x v="2"/>
    <s v="Bucky Irving"/>
    <n v="16.2"/>
    <n v="2024"/>
  </r>
  <r>
    <x v="10"/>
    <s v="Brand"/>
    <n v="10"/>
    <x v="2"/>
    <s v="Breece Hall"/>
    <n v="10.3"/>
    <n v="2024"/>
  </r>
  <r>
    <x v="10"/>
    <s v="Brand"/>
    <n v="10"/>
    <x v="3"/>
    <s v="TJ Hockenson"/>
    <n v="11.2"/>
    <n v="2024"/>
  </r>
  <r>
    <x v="10"/>
    <s v="Brand"/>
    <n v="10"/>
    <x v="5"/>
    <s v="Cameron Dicker"/>
    <n v="9"/>
    <n v="2024"/>
  </r>
  <r>
    <x v="10"/>
    <s v="Brand"/>
    <n v="10"/>
    <x v="4"/>
    <s v="LA Chargers"/>
    <n v="9"/>
    <n v="2024"/>
  </r>
  <r>
    <x v="10"/>
    <s v="Brand"/>
    <n v="10"/>
    <x v="8"/>
    <s v="Taysom Hill"/>
    <n v="6"/>
    <n v="2024"/>
  </r>
  <r>
    <x v="7"/>
    <s v="Jay"/>
    <n v="10"/>
    <x v="0"/>
    <s v="Lamar Jackson"/>
    <n v="32.9"/>
    <n v="2024"/>
  </r>
  <r>
    <x v="7"/>
    <s v="Jay"/>
    <n v="10"/>
    <x v="1"/>
    <s v="Jauan Jennings"/>
    <n v="12.8"/>
    <n v="2024"/>
  </r>
  <r>
    <x v="7"/>
    <s v="Jay"/>
    <n v="10"/>
    <x v="1"/>
    <s v="Quentin Johnston"/>
    <n v="9.4"/>
    <n v="2024"/>
  </r>
  <r>
    <x v="7"/>
    <s v="Jay"/>
    <n v="10"/>
    <x v="1"/>
    <s v="Demarcus Robinson"/>
    <n v="2.8"/>
    <n v="2024"/>
  </r>
  <r>
    <x v="7"/>
    <s v="Jay"/>
    <n v="10"/>
    <x v="2"/>
    <s v="Alvin Kamara"/>
    <n v="13.4"/>
    <n v="2024"/>
  </r>
  <r>
    <x v="7"/>
    <s v="Jay"/>
    <n v="10"/>
    <x v="2"/>
    <s v="Jonathan Taylor"/>
    <n v="13.2"/>
    <n v="2024"/>
  </r>
  <r>
    <x v="7"/>
    <s v="Jay"/>
    <n v="10"/>
    <x v="3"/>
    <s v="Evan Engram"/>
    <n v="7"/>
    <n v="2024"/>
  </r>
  <r>
    <x v="7"/>
    <s v="Jay"/>
    <n v="10"/>
    <x v="5"/>
    <s v="Ka'imi Fairbairn"/>
    <n v="13"/>
    <n v="2024"/>
  </r>
  <r>
    <x v="7"/>
    <s v="Jay"/>
    <n v="10"/>
    <x v="4"/>
    <s v="New England"/>
    <n v="19"/>
    <n v="2024"/>
  </r>
  <r>
    <x v="7"/>
    <s v="Jay"/>
    <n v="10"/>
    <x v="6"/>
    <s v="Sterling Shepard"/>
    <n v="1.5"/>
    <n v="2024"/>
  </r>
  <r>
    <x v="11"/>
    <s v="Cam"/>
    <n v="10"/>
    <x v="0"/>
    <s v="Joe Burrow"/>
    <n v="33.72"/>
    <n v="2024"/>
  </r>
  <r>
    <x v="11"/>
    <s v="Cam"/>
    <n v="10"/>
    <x v="1"/>
    <s v="Ja'Marr Chase"/>
    <n v="49.9"/>
    <n v="2024"/>
  </r>
  <r>
    <x v="11"/>
    <s v="Cam"/>
    <n v="10"/>
    <x v="1"/>
    <s v="Wan'Dale Robinson"/>
    <n v="7.6"/>
    <n v="2024"/>
  </r>
  <r>
    <x v="11"/>
    <s v="Cam"/>
    <n v="10"/>
    <x v="1"/>
    <s v="Nico Collins"/>
    <n v="0"/>
    <n v="2024"/>
  </r>
  <r>
    <x v="11"/>
    <s v="Cam"/>
    <n v="10"/>
    <x v="2"/>
    <s v="Aaron Jones"/>
    <n v="11.1"/>
    <n v="2024"/>
  </r>
  <r>
    <x v="11"/>
    <s v="Cam"/>
    <n v="10"/>
    <x v="2"/>
    <s v="JK Dobbins"/>
    <n v="7"/>
    <n v="2024"/>
  </r>
  <r>
    <x v="11"/>
    <s v="Cam"/>
    <n v="10"/>
    <x v="3"/>
    <s v="George Kittle"/>
    <n v="13.2"/>
    <n v="2024"/>
  </r>
  <r>
    <x v="11"/>
    <s v="Cam"/>
    <n v="10"/>
    <x v="5"/>
    <s v="Evan McPherson"/>
    <n v="4"/>
    <n v="2024"/>
  </r>
  <r>
    <x v="11"/>
    <s v="Cam"/>
    <n v="10"/>
    <x v="4"/>
    <s v="Chicago"/>
    <n v="3"/>
    <n v="2024"/>
  </r>
  <r>
    <x v="11"/>
    <s v="Cam"/>
    <n v="10"/>
    <x v="7"/>
    <s v="D'Andre Swift"/>
    <n v="7"/>
    <n v="2024"/>
  </r>
  <r>
    <x v="9"/>
    <s v="Tommy"/>
    <n v="10"/>
    <x v="0"/>
    <s v="Josh Allen"/>
    <n v="18.2"/>
    <n v="2024"/>
  </r>
  <r>
    <x v="9"/>
    <s v="Tommy"/>
    <n v="10"/>
    <x v="1"/>
    <s v="Malik Nabers"/>
    <n v="7.8"/>
    <n v="2024"/>
  </r>
  <r>
    <x v="9"/>
    <s v="Tommy"/>
    <n v="10"/>
    <x v="1"/>
    <s v="Michael Wilson"/>
    <n v="3.9"/>
    <n v="2024"/>
  </r>
  <r>
    <x v="9"/>
    <s v="Tommy"/>
    <n v="10"/>
    <x v="1"/>
    <s v="Xavier Worthy"/>
    <n v="1.6"/>
    <n v="2024"/>
  </r>
  <r>
    <x v="9"/>
    <s v="Tommy"/>
    <n v="10"/>
    <x v="2"/>
    <s v="Saquon Barkley"/>
    <n v="8.3000000000000007"/>
    <n v="2024"/>
  </r>
  <r>
    <x v="9"/>
    <s v="Tommy"/>
    <n v="10"/>
    <x v="2"/>
    <s v="Kyren Williams"/>
    <n v="8.6999999999999993"/>
    <n v="2024"/>
  </r>
  <r>
    <x v="9"/>
    <s v="Tommy"/>
    <n v="10"/>
    <x v="3"/>
    <s v="Mark Andrews"/>
    <n v="15.8"/>
    <n v="2024"/>
  </r>
  <r>
    <x v="9"/>
    <s v="Tommy"/>
    <n v="10"/>
    <x v="5"/>
    <s v="Harrison Butker"/>
    <n v="10"/>
    <n v="2024"/>
  </r>
  <r>
    <x v="9"/>
    <s v="Tommy"/>
    <n v="10"/>
    <x v="4"/>
    <s v="Minnesota"/>
    <n v="16"/>
    <n v="2024"/>
  </r>
  <r>
    <x v="9"/>
    <s v="Tommy"/>
    <n v="10"/>
    <x v="8"/>
    <s v="Cade Otton"/>
    <n v="6"/>
    <n v="2024"/>
  </r>
  <r>
    <x v="0"/>
    <s v="Brenton"/>
    <n v="11"/>
    <x v="0"/>
    <s v="Tua Tagovailoa"/>
    <n v="23.52"/>
    <n v="2024"/>
  </r>
  <r>
    <x v="0"/>
    <s v="Brenton"/>
    <n v="11"/>
    <x v="1"/>
    <s v="Tyreek Hill"/>
    <n v="15.6"/>
    <n v="2024"/>
  </r>
  <r>
    <x v="0"/>
    <s v="Brenton"/>
    <n v="11"/>
    <x v="1"/>
    <s v="Courtland Sutton"/>
    <n v="11.3"/>
    <n v="2024"/>
  </r>
  <r>
    <x v="0"/>
    <s v="Brenton"/>
    <n v="11"/>
    <x v="1"/>
    <s v="Zay Flowers"/>
    <n v="10.9"/>
    <n v="2024"/>
  </r>
  <r>
    <x v="0"/>
    <s v="Brenton"/>
    <n v="11"/>
    <x v="2"/>
    <s v="Christian McCaffrey"/>
    <n v="12.6"/>
    <n v="2024"/>
  </r>
  <r>
    <x v="0"/>
    <s v="Brenton"/>
    <n v="11"/>
    <x v="2"/>
    <s v="Audric Estime"/>
    <n v="4"/>
    <n v="2024"/>
  </r>
  <r>
    <x v="0"/>
    <s v="Brenton"/>
    <n v="11"/>
    <x v="3"/>
    <s v="Jonnu Smith"/>
    <n v="25.1"/>
    <n v="2024"/>
  </r>
  <r>
    <x v="0"/>
    <s v="Brenton"/>
    <n v="11"/>
    <x v="5"/>
    <s v="Jake Elliott"/>
    <n v="6"/>
    <n v="2024"/>
  </r>
  <r>
    <x v="0"/>
    <s v="Brenton"/>
    <n v="11"/>
    <x v="4"/>
    <s v="Detroit"/>
    <n v="13"/>
    <n v="2024"/>
  </r>
  <r>
    <x v="0"/>
    <s v="Brenton"/>
    <n v="11"/>
    <x v="6"/>
    <s v="Cedric Tillman"/>
    <n v="6.2"/>
    <n v="2024"/>
  </r>
  <r>
    <x v="6"/>
    <s v="Will"/>
    <n v="11"/>
    <x v="0"/>
    <s v="Russell Wilson"/>
    <n v="6.3"/>
    <n v="2024"/>
  </r>
  <r>
    <x v="6"/>
    <s v="Will"/>
    <n v="11"/>
    <x v="1"/>
    <s v="Amon-Ra St. Brown"/>
    <n v="33.200000000000003"/>
    <n v="2024"/>
  </r>
  <r>
    <x v="6"/>
    <s v="Will"/>
    <n v="11"/>
    <x v="1"/>
    <s v="Josh Downs"/>
    <n v="16.899999999999999"/>
    <n v="2024"/>
  </r>
  <r>
    <x v="6"/>
    <s v="Will"/>
    <n v="11"/>
    <x v="1"/>
    <s v="Jaxon Smith-Njigba"/>
    <n v="16.8"/>
    <n v="2024"/>
  </r>
  <r>
    <x v="6"/>
    <s v="Will"/>
    <n v="11"/>
    <x v="2"/>
    <s v="Austin Ekeler"/>
    <n v="13.6"/>
    <n v="2024"/>
  </r>
  <r>
    <x v="6"/>
    <s v="Will"/>
    <n v="11"/>
    <x v="2"/>
    <s v="Tony Pollard"/>
    <n v="3.9"/>
    <n v="2024"/>
  </r>
  <r>
    <x v="6"/>
    <s v="Will"/>
    <n v="11"/>
    <x v="3"/>
    <s v="Travis Kelce"/>
    <n v="1.8"/>
    <n v="2024"/>
  </r>
  <r>
    <x v="6"/>
    <s v="Will"/>
    <n v="11"/>
    <x v="5"/>
    <s v="Jake Moody"/>
    <n v="5"/>
    <n v="2024"/>
  </r>
  <r>
    <x v="6"/>
    <s v="Will"/>
    <n v="11"/>
    <x v="4"/>
    <s v="Houston"/>
    <n v="18"/>
    <n v="2024"/>
  </r>
  <r>
    <x v="6"/>
    <s v="Will"/>
    <n v="11"/>
    <x v="6"/>
    <s v="Drake London"/>
    <n v="7.6"/>
    <n v="2024"/>
  </r>
  <r>
    <x v="2"/>
    <s v="Mike"/>
    <n v="11"/>
    <x v="0"/>
    <s v="Patrick Mahomes"/>
    <n v="15.84"/>
    <n v="2024"/>
  </r>
  <r>
    <x v="2"/>
    <s v="Mike"/>
    <n v="11"/>
    <x v="1"/>
    <s v="Khalil Shakir"/>
    <n v="11"/>
    <n v="2024"/>
  </r>
  <r>
    <x v="2"/>
    <s v="Mike"/>
    <n v="11"/>
    <x v="1"/>
    <s v="Davante Adams"/>
    <n v="10.199999999999999"/>
    <n v="2024"/>
  </r>
  <r>
    <x v="2"/>
    <s v="Mike"/>
    <n v="11"/>
    <x v="1"/>
    <s v="Tank Dell"/>
    <n v="7.8"/>
    <n v="2024"/>
  </r>
  <r>
    <x v="2"/>
    <s v="Mike"/>
    <n v="11"/>
    <x v="2"/>
    <s v="Chase Brown"/>
    <n v="16.8"/>
    <n v="2024"/>
  </r>
  <r>
    <x v="2"/>
    <s v="Mike"/>
    <n v="11"/>
    <x v="2"/>
    <s v="Derrick Henry"/>
    <n v="10.5"/>
    <n v="2024"/>
  </r>
  <r>
    <x v="2"/>
    <s v="Mike"/>
    <n v="11"/>
    <x v="3"/>
    <s v="Jake Ferguson"/>
    <n v="1.6"/>
    <n v="2024"/>
  </r>
  <r>
    <x v="2"/>
    <s v="Mike"/>
    <n v="11"/>
    <x v="5"/>
    <s v="Younghoe Koo"/>
    <n v="9"/>
    <n v="2024"/>
  </r>
  <r>
    <x v="2"/>
    <s v="Mike"/>
    <n v="11"/>
    <x v="4"/>
    <s v="Buffalo"/>
    <n v="7"/>
    <n v="2024"/>
  </r>
  <r>
    <x v="2"/>
    <s v="Mike"/>
    <n v="11"/>
    <x v="7"/>
    <s v="Kareem Hunt"/>
    <n v="6"/>
    <n v="2024"/>
  </r>
  <r>
    <x v="1"/>
    <s v="Todd"/>
    <n v="11"/>
    <x v="0"/>
    <s v="Sam Darnold"/>
    <n v="23.64"/>
    <n v="2024"/>
  </r>
  <r>
    <x v="1"/>
    <s v="Todd"/>
    <n v="11"/>
    <x v="1"/>
    <s v="AJ Brown"/>
    <n v="9"/>
    <n v="2024"/>
  </r>
  <r>
    <x v="1"/>
    <s v="Todd"/>
    <n v="11"/>
    <x v="1"/>
    <s v="Calvin Ridley"/>
    <n v="7.8"/>
    <n v="2024"/>
  </r>
  <r>
    <x v="1"/>
    <s v="Todd"/>
    <n v="11"/>
    <x v="1"/>
    <s v="Deebo Samuel"/>
    <n v="4.0999999999999996"/>
    <n v="2024"/>
  </r>
  <r>
    <x v="1"/>
    <s v="Todd"/>
    <n v="11"/>
    <x v="2"/>
    <s v="De'Von Achane"/>
    <n v="18.5"/>
    <n v="2024"/>
  </r>
  <r>
    <x v="1"/>
    <s v="Todd"/>
    <n v="11"/>
    <x v="2"/>
    <s v="Raheem Mostert"/>
    <n v="-0.2"/>
    <n v="2024"/>
  </r>
  <r>
    <x v="1"/>
    <s v="Todd"/>
    <n v="11"/>
    <x v="3"/>
    <s v="Tucker Kraft"/>
    <n v="0"/>
    <n v="2024"/>
  </r>
  <r>
    <x v="1"/>
    <s v="Todd"/>
    <n v="11"/>
    <x v="5"/>
    <s v="Chris Boswell"/>
    <n v="24"/>
    <n v="2024"/>
  </r>
  <r>
    <x v="1"/>
    <s v="Todd"/>
    <n v="11"/>
    <x v="4"/>
    <s v="Green Bay"/>
    <n v="5"/>
    <n v="2024"/>
  </r>
  <r>
    <x v="1"/>
    <s v="Todd"/>
    <n v="11"/>
    <x v="6"/>
    <s v="Darnell Mooney"/>
    <n v="3.7"/>
    <n v="2024"/>
  </r>
  <r>
    <x v="4"/>
    <s v="Eli"/>
    <n v="11"/>
    <x v="0"/>
    <s v="Jalen Hurts"/>
    <n v="18.739999999999998"/>
    <n v="2024"/>
  </r>
  <r>
    <x v="4"/>
    <s v="Eli"/>
    <n v="11"/>
    <x v="1"/>
    <s v="Justin Jefferson"/>
    <n v="11.1"/>
    <n v="2024"/>
  </r>
  <r>
    <x v="4"/>
    <s v="Eli"/>
    <n v="11"/>
    <x v="1"/>
    <s v="DJ Moore"/>
    <n v="10.199999999999999"/>
    <n v="2024"/>
  </r>
  <r>
    <x v="4"/>
    <s v="Eli"/>
    <n v="11"/>
    <x v="1"/>
    <s v="Marquez Valdes-Scantling"/>
    <n v="15.7"/>
    <n v="2024"/>
  </r>
  <r>
    <x v="4"/>
    <s v="Eli"/>
    <n v="11"/>
    <x v="2"/>
    <s v="Bijan Robinson"/>
    <n v="8.3000000000000007"/>
    <n v="2024"/>
  </r>
  <r>
    <x v="4"/>
    <s v="Eli"/>
    <n v="11"/>
    <x v="2"/>
    <s v="Tyjae Spears"/>
    <n v="1.8"/>
    <n v="2024"/>
  </r>
  <r>
    <x v="4"/>
    <s v="Eli"/>
    <n v="11"/>
    <x v="3"/>
    <s v="David Njoku"/>
    <n v="14.6"/>
    <n v="2024"/>
  </r>
  <r>
    <x v="4"/>
    <s v="Eli"/>
    <n v="11"/>
    <x v="5"/>
    <s v="Tyler Bass"/>
    <n v="5"/>
    <n v="2024"/>
  </r>
  <r>
    <x v="4"/>
    <s v="Eli"/>
    <n v="11"/>
    <x v="4"/>
    <s v="NYJ"/>
    <n v="2"/>
    <n v="2024"/>
  </r>
  <r>
    <x v="4"/>
    <s v="Eli"/>
    <n v="11"/>
    <x v="6"/>
    <s v="Rome Odunze"/>
    <n v="9.5"/>
    <n v="2024"/>
  </r>
  <r>
    <x v="10"/>
    <s v="Brand"/>
    <n v="11"/>
    <x v="0"/>
    <s v="Kirk Cousins"/>
    <n v="4.92"/>
    <n v="2024"/>
  </r>
  <r>
    <x v="10"/>
    <s v="Brand"/>
    <n v="11"/>
    <x v="1"/>
    <s v="Jameson Williams"/>
    <n v="20.6"/>
    <n v="2024"/>
  </r>
  <r>
    <x v="10"/>
    <s v="Brand"/>
    <n v="11"/>
    <x v="1"/>
    <s v="Michael Pittman"/>
    <n v="7.1"/>
    <n v="2024"/>
  </r>
  <r>
    <x v="10"/>
    <s v="Brand"/>
    <n v="11"/>
    <x v="1"/>
    <s v="Keenan Allen"/>
    <n v="6.1"/>
    <n v="2024"/>
  </r>
  <r>
    <x v="10"/>
    <s v="Brand"/>
    <n v="11"/>
    <x v="2"/>
    <s v="Breece Hall"/>
    <n v="27.6"/>
    <n v="2024"/>
  </r>
  <r>
    <x v="10"/>
    <s v="Brand"/>
    <n v="11"/>
    <x v="2"/>
    <s v="Kenneth Walker"/>
    <n v="12.9"/>
    <n v="2024"/>
  </r>
  <r>
    <x v="10"/>
    <s v="Brand"/>
    <n v="11"/>
    <x v="3"/>
    <s v="TJ Hockenson"/>
    <n v="2.2999999999999998"/>
    <n v="2024"/>
  </r>
  <r>
    <x v="10"/>
    <s v="Brand"/>
    <n v="11"/>
    <x v="5"/>
    <s v="Cameron Dicker"/>
    <n v="12"/>
    <n v="2024"/>
  </r>
  <r>
    <x v="10"/>
    <s v="Brand"/>
    <n v="11"/>
    <x v="4"/>
    <s v="Miami"/>
    <n v="5"/>
    <n v="2024"/>
  </r>
  <r>
    <x v="10"/>
    <s v="Brand"/>
    <n v="11"/>
    <x v="6"/>
    <s v="Garrett Wilson"/>
    <n v="3.8"/>
    <n v="2024"/>
  </r>
  <r>
    <x v="8"/>
    <s v="Schulwolf"/>
    <n v="11"/>
    <x v="0"/>
    <s v="Jayden Daniels"/>
    <n v="13.44"/>
    <n v="2024"/>
  </r>
  <r>
    <x v="8"/>
    <s v="Schulwolf"/>
    <n v="11"/>
    <x v="1"/>
    <s v="Cooper Kupp"/>
    <n v="25.6"/>
    <n v="2024"/>
  </r>
  <r>
    <x v="8"/>
    <s v="Schulwolf"/>
    <n v="11"/>
    <x v="1"/>
    <s v="Devonta Smith"/>
    <n v="4.9000000000000004"/>
    <n v="2024"/>
  </r>
  <r>
    <x v="8"/>
    <s v="Schulwolf"/>
    <n v="11"/>
    <x v="1"/>
    <s v="Rashod Bateman"/>
    <n v="4"/>
    <n v="2024"/>
  </r>
  <r>
    <x v="8"/>
    <s v="Schulwolf"/>
    <n v="11"/>
    <x v="2"/>
    <s v="Jahmyr Gibbs"/>
    <n v="18.8"/>
    <n v="2024"/>
  </r>
  <r>
    <x v="8"/>
    <s v="Schulwolf"/>
    <n v="11"/>
    <x v="2"/>
    <s v="James Cook"/>
    <n v="17.2"/>
    <n v="2024"/>
  </r>
  <r>
    <x v="8"/>
    <s v="Schulwolf"/>
    <n v="11"/>
    <x v="3"/>
    <s v="Dawson Knox"/>
    <n v="6"/>
    <n v="2024"/>
  </r>
  <r>
    <x v="8"/>
    <s v="Schulwolf"/>
    <n v="11"/>
    <x v="5"/>
    <s v="Brandon Aubrey"/>
    <n v="5"/>
    <n v="2024"/>
  </r>
  <r>
    <x v="8"/>
    <s v="Schulwolf"/>
    <n v="11"/>
    <x v="4"/>
    <s v="Denver"/>
    <n v="14"/>
    <n v="2024"/>
  </r>
  <r>
    <x v="8"/>
    <s v="Schulwolf"/>
    <n v="11"/>
    <x v="6"/>
    <s v="Terry McLaurin"/>
    <n v="1.5"/>
    <n v="2024"/>
  </r>
  <r>
    <x v="11"/>
    <s v="Cam"/>
    <n v="11"/>
    <x v="0"/>
    <s v="Joe Burrow"/>
    <n v="29.04"/>
    <n v="2024"/>
  </r>
  <r>
    <x v="11"/>
    <s v="Cam"/>
    <n v="11"/>
    <x v="1"/>
    <s v="Ja'Marr Chase"/>
    <n v="23"/>
    <n v="2024"/>
  </r>
  <r>
    <x v="11"/>
    <s v="Cam"/>
    <n v="11"/>
    <x v="1"/>
    <s v="Nico Collins"/>
    <n v="7.4"/>
    <n v="2024"/>
  </r>
  <r>
    <x v="11"/>
    <s v="Cam"/>
    <n v="11"/>
    <x v="1"/>
    <s v="Jakobi Meyers"/>
    <n v="6.8"/>
    <n v="2024"/>
  </r>
  <r>
    <x v="11"/>
    <s v="Cam"/>
    <n v="11"/>
    <x v="2"/>
    <s v="JK Dobbins"/>
    <n v="18.399999999999999"/>
    <n v="2024"/>
  </r>
  <r>
    <x v="11"/>
    <s v="Cam"/>
    <n v="11"/>
    <x v="2"/>
    <s v="Rhamondre Stevenson"/>
    <n v="10.9"/>
    <n v="2024"/>
  </r>
  <r>
    <x v="11"/>
    <s v="Cam"/>
    <n v="11"/>
    <x v="3"/>
    <s v="Dalton Schultz"/>
    <n v="5.8"/>
    <n v="2024"/>
  </r>
  <r>
    <x v="11"/>
    <s v="Cam"/>
    <n v="11"/>
    <x v="5"/>
    <s v="Jason Saunders"/>
    <n v="11"/>
    <n v="2024"/>
  </r>
  <r>
    <x v="11"/>
    <s v="Cam"/>
    <n v="11"/>
    <x v="4"/>
    <s v="Washington"/>
    <n v="-2"/>
    <n v="2024"/>
  </r>
  <r>
    <x v="11"/>
    <s v="Cam"/>
    <n v="11"/>
    <x v="7"/>
    <s v="Aaron Jones"/>
    <n v="4.8"/>
    <n v="2024"/>
  </r>
  <r>
    <x v="7"/>
    <s v="Jay"/>
    <n v="11"/>
    <x v="0"/>
    <s v="Lamar Jackson"/>
    <n v="14.88"/>
    <n v="2024"/>
  </r>
  <r>
    <x v="7"/>
    <s v="Jay"/>
    <n v="11"/>
    <x v="1"/>
    <s v="Tee Higgins"/>
    <n v="25.3"/>
    <n v="2024"/>
  </r>
  <r>
    <x v="7"/>
    <s v="Jay"/>
    <n v="11"/>
    <x v="1"/>
    <s v="Jauan Jennings"/>
    <n v="20.100000000000001"/>
    <n v="2024"/>
  </r>
  <r>
    <x v="7"/>
    <s v="Jay"/>
    <n v="11"/>
    <x v="1"/>
    <s v="Amari Cooper"/>
    <n v="6.5"/>
    <n v="2024"/>
  </r>
  <r>
    <x v="7"/>
    <s v="Jay"/>
    <n v="11"/>
    <x v="2"/>
    <s v="Brian Robinson"/>
    <n v="13.7"/>
    <n v="2024"/>
  </r>
  <r>
    <x v="7"/>
    <s v="Jay"/>
    <n v="11"/>
    <x v="2"/>
    <s v="Alvin Kamara"/>
    <n v="10.9"/>
    <n v="2024"/>
  </r>
  <r>
    <x v="7"/>
    <s v="Jay"/>
    <n v="11"/>
    <x v="3"/>
    <s v="Evan Engram"/>
    <n v="5.3"/>
    <n v="2024"/>
  </r>
  <r>
    <x v="7"/>
    <s v="Jay"/>
    <n v="11"/>
    <x v="5"/>
    <s v="Ka'imi Fairbairn"/>
    <n v="10"/>
    <n v="2024"/>
  </r>
  <r>
    <x v="7"/>
    <s v="Jay"/>
    <n v="11"/>
    <x v="4"/>
    <s v="New Orleans"/>
    <n v="0"/>
    <n v="2024"/>
  </r>
  <r>
    <x v="7"/>
    <s v="Jay"/>
    <n v="11"/>
    <x v="7"/>
    <s v="Jonathan Taylor"/>
    <n v="6.5"/>
    <n v="2024"/>
  </r>
  <r>
    <x v="5"/>
    <s v="Burnett/Jasjaap"/>
    <n v="11"/>
    <x v="0"/>
    <s v="Brock Purdy"/>
    <n v="18.36"/>
    <n v="2024"/>
  </r>
  <r>
    <x v="5"/>
    <s v="Burnett/Jasjaap"/>
    <n v="11"/>
    <x v="1"/>
    <s v="CeeDee Lamb"/>
    <n v="14.6"/>
    <n v="2024"/>
  </r>
  <r>
    <x v="5"/>
    <s v="Burnett/Jasjaap"/>
    <n v="11"/>
    <x v="1"/>
    <s v="Puka Nacua"/>
    <n v="21.8"/>
    <n v="2024"/>
  </r>
  <r>
    <x v="5"/>
    <s v="Burnett/Jasjaap"/>
    <n v="11"/>
    <x v="1"/>
    <s v="Jaylen Waddle"/>
    <n v="4.7"/>
    <n v="2024"/>
  </r>
  <r>
    <x v="5"/>
    <s v="Burnett/Jasjaap"/>
    <n v="11"/>
    <x v="2"/>
    <s v="David Montgomery"/>
    <n v="23"/>
    <n v="2024"/>
  </r>
  <r>
    <x v="5"/>
    <s v="Burnett/Jasjaap"/>
    <n v="11"/>
    <x v="2"/>
    <s v="Josh Jacobs"/>
    <n v="21.4"/>
    <n v="2024"/>
  </r>
  <r>
    <x v="5"/>
    <s v="Burnett/Jasjaap"/>
    <n v="11"/>
    <x v="3"/>
    <s v="Brock Bowers"/>
    <n v="24.8"/>
    <n v="2024"/>
  </r>
  <r>
    <x v="5"/>
    <s v="Burnett/Jasjaap"/>
    <n v="11"/>
    <x v="5"/>
    <s v="Jake Bates"/>
    <n v="12"/>
    <n v="2024"/>
  </r>
  <r>
    <x v="5"/>
    <s v="Burnett/Jasjaap"/>
    <n v="11"/>
    <x v="4"/>
    <s v="Kansas City"/>
    <n v="0"/>
    <n v="2024"/>
  </r>
  <r>
    <x v="5"/>
    <s v="Burnett/Jasjaap"/>
    <n v="11"/>
    <x v="7"/>
    <s v="Rico Dowdle"/>
    <n v="4.4000000000000004"/>
    <n v="2024"/>
  </r>
  <r>
    <x v="3"/>
    <s v="Kevin"/>
    <n v="11"/>
    <x v="0"/>
    <s v="Justin Herbert"/>
    <n v="24.38"/>
    <n v="2024"/>
  </r>
  <r>
    <x v="3"/>
    <s v="Kevin"/>
    <n v="11"/>
    <x v="1"/>
    <s v="George Pickens"/>
    <n v="12.9"/>
    <n v="2024"/>
  </r>
  <r>
    <x v="3"/>
    <s v="Kevin"/>
    <n v="11"/>
    <x v="1"/>
    <s v="Jordan Addison"/>
    <n v="13.6"/>
    <n v="2024"/>
  </r>
  <r>
    <x v="3"/>
    <s v="Kevin"/>
    <n v="11"/>
    <x v="1"/>
    <s v="DeAndre Hopkins"/>
    <n v="4.4000000000000004"/>
    <n v="2024"/>
  </r>
  <r>
    <x v="3"/>
    <s v="Kevin"/>
    <n v="11"/>
    <x v="2"/>
    <s v="Joe Mixon"/>
    <n v="34.299999999999997"/>
    <n v="2024"/>
  </r>
  <r>
    <x v="3"/>
    <s v="Kevin"/>
    <n v="11"/>
    <x v="2"/>
    <s v="Najee Harris"/>
    <n v="11.3"/>
    <n v="2024"/>
  </r>
  <r>
    <x v="3"/>
    <s v="Kevin"/>
    <n v="11"/>
    <x v="3"/>
    <s v="Hunter Henry"/>
    <n v="9.3000000000000007"/>
    <n v="2024"/>
  </r>
  <r>
    <x v="3"/>
    <s v="Kevin"/>
    <n v="11"/>
    <x v="5"/>
    <s v="Justin Tucker"/>
    <n v="5"/>
    <n v="2024"/>
  </r>
  <r>
    <x v="3"/>
    <s v="Kevin"/>
    <n v="11"/>
    <x v="4"/>
    <s v="LA Rams"/>
    <n v="8"/>
    <n v="2024"/>
  </r>
  <r>
    <x v="3"/>
    <s v="Kevin"/>
    <n v="11"/>
    <x v="6"/>
    <s v="Gabe Davis"/>
    <n v="0.8"/>
    <n v="2024"/>
  </r>
  <r>
    <x v="9"/>
    <s v="Tommy"/>
    <n v="11"/>
    <x v="0"/>
    <s v="Josh Allen"/>
    <n v="23.98"/>
    <n v="2024"/>
  </r>
  <r>
    <x v="9"/>
    <s v="Tommy"/>
    <n v="11"/>
    <x v="1"/>
    <s v="Xavier Worthy"/>
    <n v="14.8"/>
    <n v="2024"/>
  </r>
  <r>
    <x v="9"/>
    <s v="Tommy"/>
    <n v="11"/>
    <x v="1"/>
    <s v="DK Metcalf"/>
    <n v="10.5"/>
    <n v="2024"/>
  </r>
  <r>
    <x v="9"/>
    <s v="Tommy"/>
    <n v="11"/>
    <x v="1"/>
    <s v="Romeo Doubs"/>
    <n v="2.2000000000000002"/>
    <n v="2024"/>
  </r>
  <r>
    <x v="9"/>
    <s v="Tommy"/>
    <n v="11"/>
    <x v="2"/>
    <s v="Saquon Barkley"/>
    <n v="32.799999999999997"/>
    <n v="2024"/>
  </r>
  <r>
    <x v="9"/>
    <s v="Tommy"/>
    <n v="11"/>
    <x v="2"/>
    <s v="Kyren Williams"/>
    <n v="8.6"/>
    <n v="2024"/>
  </r>
  <r>
    <x v="9"/>
    <s v="Tommy"/>
    <n v="11"/>
    <x v="3"/>
    <s v="Mark Andrews"/>
    <n v="3.2"/>
    <n v="2024"/>
  </r>
  <r>
    <x v="9"/>
    <s v="Tommy"/>
    <n v="11"/>
    <x v="5"/>
    <s v="Brandon McManus"/>
    <n v="2"/>
    <n v="2024"/>
  </r>
  <r>
    <x v="9"/>
    <s v="Tommy"/>
    <n v="11"/>
    <x v="4"/>
    <s v="Minnesota"/>
    <n v="12"/>
    <n v="2024"/>
  </r>
  <r>
    <x v="9"/>
    <s v="Tommy"/>
    <n v="11"/>
    <x v="6"/>
    <s v="Noah Brown"/>
    <n v="0.9"/>
    <n v="2024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1404">
  <r>
    <x v="0"/>
    <s v="Brenton"/>
    <n v="1"/>
    <x v="0"/>
    <s v="Trevor Lawrence"/>
    <n v="11.28"/>
    <n v="2024"/>
  </r>
  <r>
    <x v="0"/>
    <s v="Brenton"/>
    <n v="1"/>
    <x v="1"/>
    <s v="Jayden Reed"/>
    <n v="31.1"/>
    <n v="2024"/>
  </r>
  <r>
    <x v="0"/>
    <s v="Brenton"/>
    <n v="1"/>
    <x v="1"/>
    <s v="Tyreek Hill"/>
    <n v="22.5"/>
    <n v="2024"/>
  </r>
  <r>
    <x v="0"/>
    <s v="Brenton"/>
    <n v="1"/>
    <x v="1"/>
    <s v="Zay Flowers"/>
    <n v="8.1"/>
    <n v="2024"/>
  </r>
  <r>
    <x v="0"/>
    <s v="Brenton"/>
    <n v="1"/>
    <x v="2"/>
    <s v="Jerome Ford"/>
    <n v="15.9"/>
    <n v="2024"/>
  </r>
  <r>
    <x v="0"/>
    <s v="Brenton"/>
    <n v="1"/>
    <x v="2"/>
    <s v="Javonte Williams"/>
    <n v="2.8"/>
    <n v="2024"/>
  </r>
  <r>
    <x v="0"/>
    <s v="Brenton"/>
    <n v="1"/>
    <x v="3"/>
    <s v="Trey McBride"/>
    <n v="5.5"/>
    <n v="2024"/>
  </r>
  <r>
    <x v="0"/>
    <s v="Brenton"/>
    <n v="1"/>
    <x v="4"/>
    <s v="Cincinnati"/>
    <n v="3"/>
    <n v="2024"/>
  </r>
  <r>
    <x v="0"/>
    <s v="Brenton"/>
    <n v="1"/>
    <x v="5"/>
    <s v="Tyler Bass"/>
    <n v="10"/>
    <n v="2024"/>
  </r>
  <r>
    <x v="1"/>
    <s v="Todd"/>
    <n v="1"/>
    <x v="0"/>
    <s v="Dak Prescott"/>
    <n v="11.46"/>
    <n v="2024"/>
  </r>
  <r>
    <x v="1"/>
    <s v="Todd"/>
    <n v="1"/>
    <x v="1"/>
    <s v="AJ Brown"/>
    <n v="20.399999999999999"/>
    <n v="2024"/>
  </r>
  <r>
    <x v="1"/>
    <s v="Todd"/>
    <n v="1"/>
    <x v="1"/>
    <s v="Deebo Samuel"/>
    <n v="16.2"/>
    <n v="2024"/>
  </r>
  <r>
    <x v="1"/>
    <s v="Todd"/>
    <n v="1"/>
    <x v="1"/>
    <s v="Rashee Rice"/>
    <n v="13.8"/>
    <n v="2024"/>
  </r>
  <r>
    <x v="1"/>
    <s v="Todd"/>
    <n v="1"/>
    <x v="2"/>
    <s v="De'Von Achane"/>
    <n v="19.5"/>
    <n v="2024"/>
  </r>
  <r>
    <x v="1"/>
    <s v="Todd"/>
    <n v="1"/>
    <x v="2"/>
    <s v="James Conner"/>
    <n v="17.8"/>
    <n v="2024"/>
  </r>
  <r>
    <x v="1"/>
    <s v="Todd"/>
    <n v="1"/>
    <x v="3"/>
    <s v="Pat Freiermuth"/>
    <n v="4.7"/>
    <n v="2024"/>
  </r>
  <r>
    <x v="1"/>
    <s v="Todd"/>
    <n v="1"/>
    <x v="4"/>
    <s v="Seattle"/>
    <n v="10"/>
    <n v="2024"/>
  </r>
  <r>
    <x v="1"/>
    <s v="Todd"/>
    <n v="1"/>
    <x v="5"/>
    <s v="Younghoe Koo"/>
    <n v="4"/>
    <n v="2024"/>
  </r>
  <r>
    <x v="2"/>
    <s v="Mike"/>
    <n v="1"/>
    <x v="0"/>
    <s v="Patrick Mahomes"/>
    <n v="14.64"/>
    <n v="2024"/>
  </r>
  <r>
    <x v="2"/>
    <s v="Mike"/>
    <n v="1"/>
    <x v="1"/>
    <s v="Davante Adams"/>
    <n v="8.4"/>
    <n v="2024"/>
  </r>
  <r>
    <x v="2"/>
    <s v="Mike"/>
    <n v="1"/>
    <x v="1"/>
    <s v="Mike Evans"/>
    <n v="20.6"/>
    <n v="2024"/>
  </r>
  <r>
    <x v="2"/>
    <s v="Mike"/>
    <n v="1"/>
    <x v="1"/>
    <s v="Khalil Shakir"/>
    <n v="11.7"/>
    <n v="2024"/>
  </r>
  <r>
    <x v="2"/>
    <s v="Mike"/>
    <n v="1"/>
    <x v="2"/>
    <s v="Derrick Henry"/>
    <n v="10.6"/>
    <n v="2024"/>
  </r>
  <r>
    <x v="2"/>
    <s v="Mike"/>
    <n v="1"/>
    <x v="2"/>
    <s v="Tyjae Spears"/>
    <n v="5.2"/>
    <n v="2024"/>
  </r>
  <r>
    <x v="2"/>
    <s v="Mike"/>
    <n v="1"/>
    <x v="3"/>
    <s v="Sam LaPorta"/>
    <n v="6.5"/>
    <n v="2024"/>
  </r>
  <r>
    <x v="2"/>
    <s v="Mike"/>
    <n v="1"/>
    <x v="5"/>
    <s v="Jason Sanders"/>
    <n v="9"/>
    <n v="2024"/>
  </r>
  <r>
    <x v="2"/>
    <s v="Mike"/>
    <n v="1"/>
    <x v="4"/>
    <s v="Buffalo"/>
    <n v="6"/>
    <n v="2024"/>
  </r>
  <r>
    <x v="3"/>
    <s v="Kevin"/>
    <n v="1"/>
    <x v="0"/>
    <s v="CJ Stroud"/>
    <n v="18.66"/>
    <n v="2024"/>
  </r>
  <r>
    <x v="3"/>
    <s v="Kevin"/>
    <n v="1"/>
    <x v="1"/>
    <s v="George Pickens"/>
    <n v="10.5"/>
    <n v="2024"/>
  </r>
  <r>
    <x v="3"/>
    <s v="Kevin"/>
    <n v="1"/>
    <x v="1"/>
    <s v="Chris Olave"/>
    <n v="2.1"/>
    <n v="2024"/>
  </r>
  <r>
    <x v="3"/>
    <s v="Kevin"/>
    <n v="1"/>
    <x v="1"/>
    <s v="Marvin Harrison Jr"/>
    <n v="0.9"/>
    <n v="2024"/>
  </r>
  <r>
    <x v="3"/>
    <s v="Kevin"/>
    <n v="1"/>
    <x v="2"/>
    <s v="Joe Mixon"/>
    <n v="25.3"/>
    <n v="2024"/>
  </r>
  <r>
    <x v="3"/>
    <s v="Kevin"/>
    <n v="1"/>
    <x v="2"/>
    <s v="Isiah Pacheco"/>
    <n v="14.8"/>
    <n v="2024"/>
  </r>
  <r>
    <x v="3"/>
    <s v="Kevin"/>
    <n v="1"/>
    <x v="3"/>
    <s v="Hunter Henry"/>
    <n v="2.8"/>
    <n v="2024"/>
  </r>
  <r>
    <x v="3"/>
    <s v="Kevin"/>
    <n v="1"/>
    <x v="5"/>
    <s v="Justin Tucker"/>
    <n v="8"/>
    <n v="2024"/>
  </r>
  <r>
    <x v="3"/>
    <s v="Kevin"/>
    <n v="1"/>
    <x v="4"/>
    <s v="Minnesota"/>
    <n v="23"/>
    <n v="2024"/>
  </r>
  <r>
    <x v="4"/>
    <s v="Eli"/>
    <n v="1"/>
    <x v="0"/>
    <s v="Jalen Hurts"/>
    <n v="16.420000000000002"/>
    <n v="2024"/>
  </r>
  <r>
    <x v="4"/>
    <s v="Eli"/>
    <n v="1"/>
    <x v="1"/>
    <s v="Justin Jefferson"/>
    <n v="13.9"/>
    <n v="2024"/>
  </r>
  <r>
    <x v="4"/>
    <s v="Eli"/>
    <n v="1"/>
    <x v="1"/>
    <s v="DJ Moore"/>
    <n v="7.5"/>
    <n v="2024"/>
  </r>
  <r>
    <x v="4"/>
    <s v="Eli"/>
    <n v="1"/>
    <x v="1"/>
    <s v="DeMario Douglas"/>
    <n v="2.2000000000000002"/>
    <n v="2024"/>
  </r>
  <r>
    <x v="4"/>
    <s v="Eli"/>
    <n v="1"/>
    <x v="2"/>
    <s v="Bijan Robinson"/>
    <n v="13.6"/>
    <n v="2024"/>
  </r>
  <r>
    <x v="4"/>
    <s v="Eli"/>
    <n v="1"/>
    <x v="2"/>
    <s v="Jaylen Warren"/>
    <n v="3"/>
    <n v="2024"/>
  </r>
  <r>
    <x v="4"/>
    <s v="Eli"/>
    <n v="1"/>
    <x v="3"/>
    <s v="David Njoku"/>
    <n v="6.4"/>
    <n v="2024"/>
  </r>
  <r>
    <x v="4"/>
    <s v="Eli"/>
    <n v="1"/>
    <x v="5"/>
    <s v="Jake Moody"/>
    <n v="26"/>
    <n v="2024"/>
  </r>
  <r>
    <x v="4"/>
    <s v="Eli"/>
    <n v="1"/>
    <x v="4"/>
    <s v="NYJ"/>
    <n v="-2"/>
    <n v="2024"/>
  </r>
  <r>
    <x v="5"/>
    <s v="Burnett/Jasjaap"/>
    <n v="1"/>
    <x v="0"/>
    <s v="Brock Purdy"/>
    <n v="10.34"/>
    <n v="2024"/>
  </r>
  <r>
    <x v="5"/>
    <s v="Burnett/Jasjaap"/>
    <n v="1"/>
    <x v="1"/>
    <s v="CeeDee Lamb"/>
    <n v="11.1"/>
    <n v="2024"/>
  </r>
  <r>
    <x v="5"/>
    <s v="Burnett/Jasjaap"/>
    <n v="1"/>
    <x v="1"/>
    <s v="Jaylen Waddle"/>
    <n v="13.7"/>
    <n v="2024"/>
  </r>
  <r>
    <x v="5"/>
    <s v="Burnett/Jasjaap"/>
    <n v="1"/>
    <x v="1"/>
    <s v="Puka Nacua"/>
    <n v="6.2"/>
    <n v="2024"/>
  </r>
  <r>
    <x v="5"/>
    <s v="Burnett/Jasjaap"/>
    <n v="1"/>
    <x v="2"/>
    <s v="Josh Jacobs"/>
    <n v="11.4"/>
    <n v="2024"/>
  </r>
  <r>
    <x v="5"/>
    <s v="Burnett/Jasjaap"/>
    <n v="1"/>
    <x v="2"/>
    <s v="David Montgomery"/>
    <n v="15.8"/>
    <n v="2024"/>
  </r>
  <r>
    <x v="5"/>
    <s v="Burnett/Jasjaap"/>
    <n v="1"/>
    <x v="3"/>
    <s v="Brock Bowers"/>
    <n v="8.8000000000000007"/>
    <n v="2024"/>
  </r>
  <r>
    <x v="5"/>
    <s v="Burnett/Jasjaap"/>
    <n v="1"/>
    <x v="5"/>
    <s v="Jake Elliott"/>
    <n v="10"/>
    <n v="2024"/>
  </r>
  <r>
    <x v="5"/>
    <s v="Burnett/Jasjaap"/>
    <n v="1"/>
    <x v="4"/>
    <s v="Pittsburgh"/>
    <n v="13"/>
    <n v="2024"/>
  </r>
  <r>
    <x v="6"/>
    <s v="Will"/>
    <n v="1"/>
    <x v="0"/>
    <s v="Caleb Williams"/>
    <n v="7.22"/>
    <n v="2024"/>
  </r>
  <r>
    <x v="6"/>
    <s v="Will"/>
    <n v="1"/>
    <x v="1"/>
    <s v="Ladd McConkey"/>
    <n v="12.4"/>
    <n v="2024"/>
  </r>
  <r>
    <x v="6"/>
    <s v="Will"/>
    <n v="1"/>
    <x v="1"/>
    <s v="Amon-Ra St. Brown"/>
    <n v="2.8"/>
    <n v="2024"/>
  </r>
  <r>
    <x v="6"/>
    <s v="Will"/>
    <n v="1"/>
    <x v="1"/>
    <s v="Drake London"/>
    <n v="2.5"/>
    <n v="2024"/>
  </r>
  <r>
    <x v="6"/>
    <s v="Will"/>
    <n v="1"/>
    <x v="2"/>
    <s v="Travis Etienne"/>
    <n v="10.9"/>
    <n v="2024"/>
  </r>
  <r>
    <x v="6"/>
    <s v="Will"/>
    <n v="1"/>
    <x v="2"/>
    <s v="Zamir White"/>
    <n v="3.6"/>
    <n v="2024"/>
  </r>
  <r>
    <x v="6"/>
    <s v="Will"/>
    <n v="1"/>
    <x v="3"/>
    <s v="Kyle Pitts"/>
    <n v="10.1"/>
    <n v="2024"/>
  </r>
  <r>
    <x v="6"/>
    <s v="Will"/>
    <n v="1"/>
    <x v="5"/>
    <s v="Jason Myers"/>
    <n v="10"/>
    <n v="2024"/>
  </r>
  <r>
    <x v="6"/>
    <s v="Will"/>
    <n v="1"/>
    <x v="4"/>
    <s v="Houston"/>
    <n v="3"/>
    <n v="2024"/>
  </r>
  <r>
    <x v="7"/>
    <s v="Jay"/>
    <n v="1"/>
    <x v="0"/>
    <s v="Lamar Jackson"/>
    <n v="25.12"/>
    <n v="2024"/>
  </r>
  <r>
    <x v="7"/>
    <s v="Jay"/>
    <n v="1"/>
    <x v="1"/>
    <s v="Stefon Diggs"/>
    <n v="18.899999999999999"/>
    <n v="2024"/>
  </r>
  <r>
    <x v="7"/>
    <s v="Jay"/>
    <n v="1"/>
    <x v="1"/>
    <s v="Christian Kirk"/>
    <n v="3.5"/>
    <n v="2024"/>
  </r>
  <r>
    <x v="7"/>
    <s v="Jay"/>
    <n v="1"/>
    <x v="1"/>
    <s v="Amari Cooper"/>
    <n v="2.6"/>
    <n v="2024"/>
  </r>
  <r>
    <x v="7"/>
    <s v="Jay"/>
    <n v="1"/>
    <x v="2"/>
    <s v="Alvin Kamara"/>
    <n v="19.5"/>
    <n v="2024"/>
  </r>
  <r>
    <x v="7"/>
    <s v="Jay"/>
    <n v="1"/>
    <x v="2"/>
    <s v="Jonathan Taylor"/>
    <n v="10.8"/>
    <n v="2024"/>
  </r>
  <r>
    <x v="7"/>
    <s v="Jay"/>
    <n v="1"/>
    <x v="3"/>
    <s v="Mark Andrews"/>
    <n v="2.4"/>
    <n v="2024"/>
  </r>
  <r>
    <x v="7"/>
    <s v="Jay"/>
    <n v="1"/>
    <x v="5"/>
    <s v="Ka'imi Fairbairn"/>
    <n v="17"/>
    <n v="2024"/>
  </r>
  <r>
    <x v="7"/>
    <s v="Jay"/>
    <n v="1"/>
    <x v="4"/>
    <s v="LA Chargers"/>
    <n v="15"/>
    <n v="2024"/>
  </r>
  <r>
    <x v="8"/>
    <s v="Schulwolf"/>
    <n v="1"/>
    <x v="0"/>
    <s v="Jordan Love"/>
    <n v="16.399999999999999"/>
    <n v="2024"/>
  </r>
  <r>
    <x v="8"/>
    <s v="Schulwolf"/>
    <n v="1"/>
    <x v="1"/>
    <s v="Cooper Kupp"/>
    <n v="25"/>
    <n v="2024"/>
  </r>
  <r>
    <x v="8"/>
    <s v="Schulwolf"/>
    <n v="1"/>
    <x v="1"/>
    <s v="DeVonta Smith"/>
    <n v="11.9"/>
    <n v="2024"/>
  </r>
  <r>
    <x v="8"/>
    <s v="Schulwolf"/>
    <n v="1"/>
    <x v="1"/>
    <s v="Chris Godwin"/>
    <n v="18.3"/>
    <n v="2024"/>
  </r>
  <r>
    <x v="8"/>
    <s v="Schulwolf"/>
    <n v="1"/>
    <x v="2"/>
    <s v="Jahmyr Gibbs"/>
    <n v="15.4"/>
    <n v="2024"/>
  </r>
  <r>
    <x v="8"/>
    <s v="Schulwolf"/>
    <n v="1"/>
    <x v="2"/>
    <s v="James Cook"/>
    <n v="11.8"/>
    <n v="2024"/>
  </r>
  <r>
    <x v="8"/>
    <s v="Schulwolf"/>
    <n v="1"/>
    <x v="3"/>
    <s v="Dalton Kincaid"/>
    <n v="1.6"/>
    <n v="2024"/>
  </r>
  <r>
    <x v="8"/>
    <s v="Schulwolf"/>
    <n v="1"/>
    <x v="5"/>
    <s v="Brandon Aubrey"/>
    <n v="21"/>
    <n v="2024"/>
  </r>
  <r>
    <x v="8"/>
    <s v="Schulwolf"/>
    <n v="1"/>
    <x v="4"/>
    <s v="Dallas"/>
    <n v="18"/>
    <n v="2024"/>
  </r>
  <r>
    <x v="9"/>
    <s v="Tommy"/>
    <n v="1"/>
    <x v="0"/>
    <s v="Josh Allen"/>
    <n v="31.18"/>
    <n v="2024"/>
  </r>
  <r>
    <x v="9"/>
    <s v="Tommy"/>
    <n v="1"/>
    <x v="1"/>
    <s v="Malik Nabers"/>
    <n v="9.1"/>
    <n v="2024"/>
  </r>
  <r>
    <x v="9"/>
    <s v="Tommy"/>
    <n v="1"/>
    <x v="1"/>
    <s v="DK Metcalf"/>
    <n v="4.4000000000000004"/>
    <n v="2024"/>
  </r>
  <r>
    <x v="9"/>
    <s v="Tommy"/>
    <n v="1"/>
    <x v="1"/>
    <s v="Romeo Doubs"/>
    <n v="7"/>
    <n v="2024"/>
  </r>
  <r>
    <x v="9"/>
    <s v="Tommy"/>
    <n v="1"/>
    <x v="2"/>
    <s v="Saquon Barkley"/>
    <n v="32.200000000000003"/>
    <n v="2024"/>
  </r>
  <r>
    <x v="9"/>
    <s v="Tommy"/>
    <n v="1"/>
    <x v="2"/>
    <s v="Rachaad White"/>
    <n v="13.6"/>
    <n v="2024"/>
  </r>
  <r>
    <x v="9"/>
    <s v="Tommy"/>
    <n v="1"/>
    <x v="3"/>
    <s v="Evan Engram"/>
    <n v="1"/>
    <n v="2024"/>
  </r>
  <r>
    <x v="9"/>
    <s v="Tommy"/>
    <n v="1"/>
    <x v="5"/>
    <s v="Harrison Butker"/>
    <n v="9"/>
    <n v="2024"/>
  </r>
  <r>
    <x v="9"/>
    <s v="Tommy"/>
    <n v="1"/>
    <x v="4"/>
    <s v="San Francisco"/>
    <n v="7"/>
    <n v="2024"/>
  </r>
  <r>
    <x v="10"/>
    <s v="Brand"/>
    <n v="1"/>
    <x v="0"/>
    <s v="Anthony Richardson"/>
    <n v="26.08"/>
    <n v="2024"/>
  </r>
  <r>
    <x v="10"/>
    <s v="Brand"/>
    <n v="1"/>
    <x v="1"/>
    <s v="Jameson Williams"/>
    <n v="21.9"/>
    <n v="2024"/>
  </r>
  <r>
    <x v="10"/>
    <s v="Brand"/>
    <n v="1"/>
    <x v="1"/>
    <s v="Christian Watson"/>
    <n v="8.8000000000000007"/>
    <n v="2024"/>
  </r>
  <r>
    <x v="10"/>
    <s v="Brand"/>
    <n v="1"/>
    <x v="1"/>
    <s v="Garrett Wilson"/>
    <n v="9"/>
    <n v="2024"/>
  </r>
  <r>
    <x v="10"/>
    <s v="Brand"/>
    <n v="1"/>
    <x v="2"/>
    <s v="Kenneth Walker"/>
    <n v="17.899999999999999"/>
    <n v="2024"/>
  </r>
  <r>
    <x v="10"/>
    <s v="Brand"/>
    <n v="1"/>
    <x v="2"/>
    <s v="Breece Hall"/>
    <n v="15.8"/>
    <n v="2024"/>
  </r>
  <r>
    <x v="10"/>
    <s v="Brand"/>
    <n v="1"/>
    <x v="3"/>
    <s v="Dallas Goedert"/>
    <n v="5.0999999999999996"/>
    <n v="2024"/>
  </r>
  <r>
    <x v="10"/>
    <s v="Brand"/>
    <n v="1"/>
    <x v="5"/>
    <s v="Cairo Santos"/>
    <n v="13"/>
    <n v="2024"/>
  </r>
  <r>
    <x v="10"/>
    <s v="Brand"/>
    <n v="1"/>
    <x v="4"/>
    <s v="New Orleans"/>
    <n v="17"/>
    <n v="2024"/>
  </r>
  <r>
    <x v="11"/>
    <s v="Cam"/>
    <n v="1"/>
    <x v="0"/>
    <s v="Joe Burrow"/>
    <n v="8.06"/>
    <n v="2024"/>
  </r>
  <r>
    <x v="11"/>
    <s v="Cam"/>
    <n v="1"/>
    <x v="1"/>
    <s v="Ja'Marr Chase"/>
    <n v="9.1999999999999993"/>
    <n v="2024"/>
  </r>
  <r>
    <x v="11"/>
    <s v="Cam"/>
    <n v="1"/>
    <x v="1"/>
    <s v="Nico Collins"/>
    <n v="14.7"/>
    <n v="2024"/>
  </r>
  <r>
    <x v="11"/>
    <s v="Cam"/>
    <n v="1"/>
    <x v="1"/>
    <s v="Andrei Iosivas"/>
    <n v="4.0999999999999996"/>
    <n v="2024"/>
  </r>
  <r>
    <x v="11"/>
    <s v="Cam"/>
    <n v="1"/>
    <x v="2"/>
    <s v="Rhamondre Stevenson"/>
    <n v="20.100000000000001"/>
    <n v="2024"/>
  </r>
  <r>
    <x v="11"/>
    <s v="Cam"/>
    <n v="1"/>
    <x v="2"/>
    <s v="Aaron Jones"/>
    <n v="17.899999999999999"/>
    <n v="2024"/>
  </r>
  <r>
    <x v="11"/>
    <s v="Cam"/>
    <n v="1"/>
    <x v="3"/>
    <s v="George Kittle"/>
    <n v="6"/>
    <n v="2024"/>
  </r>
  <r>
    <x v="11"/>
    <s v="Cam"/>
    <n v="1"/>
    <x v="5"/>
    <s v="Evan McPherson"/>
    <n v="6"/>
    <n v="2024"/>
  </r>
  <r>
    <x v="11"/>
    <s v="Cam"/>
    <n v="1"/>
    <x v="4"/>
    <s v="Atlanta"/>
    <n v="4"/>
    <n v="2024"/>
  </r>
  <r>
    <x v="0"/>
    <s v="Brenton"/>
    <n v="2"/>
    <x v="0"/>
    <s v="Baker Mayfield"/>
    <n v="18.8"/>
    <n v="2024"/>
  </r>
  <r>
    <x v="0"/>
    <s v="Brenton"/>
    <n v="2"/>
    <x v="1"/>
    <s v="Tyreek Hill"/>
    <n v="5.0999999999999996"/>
    <n v="2024"/>
  </r>
  <r>
    <x v="0"/>
    <s v="Brenton"/>
    <n v="2"/>
    <x v="1"/>
    <s v="Zay Flowers"/>
    <n v="18.600000000000001"/>
    <n v="2024"/>
  </r>
  <r>
    <x v="0"/>
    <s v="Brenton"/>
    <n v="2"/>
    <x v="1"/>
    <s v="Jayden Reed"/>
    <n v="5.6"/>
    <n v="2024"/>
  </r>
  <r>
    <x v="0"/>
    <s v="Brenton"/>
    <n v="2"/>
    <x v="2"/>
    <s v="Ezekiel Elliott"/>
    <n v="4.2"/>
    <n v="2024"/>
  </r>
  <r>
    <x v="0"/>
    <s v="Brenton"/>
    <n v="2"/>
    <x v="2"/>
    <s v="Jerome Ford"/>
    <n v="6.9"/>
    <n v="2024"/>
  </r>
  <r>
    <x v="0"/>
    <s v="Brenton"/>
    <n v="2"/>
    <x v="3"/>
    <s v="Trey McBride"/>
    <n v="15.7"/>
    <n v="2024"/>
  </r>
  <r>
    <x v="0"/>
    <s v="Brenton"/>
    <n v="2"/>
    <x v="4"/>
    <s v="Tyler Bass"/>
    <n v="7"/>
    <n v="2024"/>
  </r>
  <r>
    <x v="0"/>
    <s v="Brenton"/>
    <n v="2"/>
    <x v="5"/>
    <s v="Jacksonville"/>
    <n v="4"/>
    <n v="2024"/>
  </r>
  <r>
    <x v="2"/>
    <s v="Mike"/>
    <n v="2"/>
    <x v="0"/>
    <s v="Patrick Mahomes"/>
    <n v="12.94"/>
    <n v="2024"/>
  </r>
  <r>
    <x v="2"/>
    <s v="Mike"/>
    <n v="2"/>
    <x v="1"/>
    <s v="Davante Adams"/>
    <n v="21.5"/>
    <n v="2024"/>
  </r>
  <r>
    <x v="2"/>
    <s v="Mike"/>
    <n v="2"/>
    <x v="1"/>
    <s v="Mike Evans"/>
    <n v="5.7"/>
    <n v="2024"/>
  </r>
  <r>
    <x v="2"/>
    <s v="Mike"/>
    <n v="2"/>
    <x v="1"/>
    <s v="Khalil Shakir"/>
    <n v="8.1"/>
    <n v="2024"/>
  </r>
  <r>
    <x v="2"/>
    <s v="Mike"/>
    <n v="2"/>
    <x v="2"/>
    <s v="Derrick Henry"/>
    <n v="16.100000000000001"/>
    <n v="2024"/>
  </r>
  <r>
    <x v="2"/>
    <s v="Mike"/>
    <n v="2"/>
    <x v="2"/>
    <s v="Tyjae Spears"/>
    <n v="4.0999999999999996"/>
    <n v="2024"/>
  </r>
  <r>
    <x v="2"/>
    <s v="Mike"/>
    <n v="2"/>
    <x v="3"/>
    <s v="Sam LaPorta"/>
    <n v="2.2999999999999998"/>
    <n v="2024"/>
  </r>
  <r>
    <x v="2"/>
    <s v="Mike"/>
    <n v="2"/>
    <x v="4"/>
    <s v="Buffalo"/>
    <n v="17"/>
    <n v="2024"/>
  </r>
  <r>
    <x v="2"/>
    <s v="Mike"/>
    <n v="2"/>
    <x v="5"/>
    <s v="Jason Sanders"/>
    <n v="4"/>
    <n v="2024"/>
  </r>
  <r>
    <x v="1"/>
    <s v="Todd"/>
    <n v="2"/>
    <x v="0"/>
    <s v="Dak Prescott"/>
    <n v="12.92"/>
    <n v="2024"/>
  </r>
  <r>
    <x v="1"/>
    <s v="Todd"/>
    <n v="2"/>
    <x v="1"/>
    <s v="Deebo Samuel"/>
    <n v="14"/>
    <n v="2024"/>
  </r>
  <r>
    <x v="1"/>
    <s v="Todd"/>
    <n v="2"/>
    <x v="1"/>
    <s v="Rashee Rice"/>
    <n v="16"/>
    <n v="2024"/>
  </r>
  <r>
    <x v="1"/>
    <s v="Todd"/>
    <n v="2"/>
    <x v="1"/>
    <s v="Calvin Ridley"/>
    <n v="22.7"/>
    <n v="2024"/>
  </r>
  <r>
    <x v="1"/>
    <s v="Todd"/>
    <n v="2"/>
    <x v="2"/>
    <s v="De'Von Achane"/>
    <n v="26"/>
    <n v="2024"/>
  </r>
  <r>
    <x v="1"/>
    <s v="Todd"/>
    <n v="2"/>
    <x v="2"/>
    <s v="James Conner"/>
    <n v="18.899999999999999"/>
    <n v="2024"/>
  </r>
  <r>
    <x v="1"/>
    <s v="Todd"/>
    <n v="2"/>
    <x v="3"/>
    <s v="Kyle Pitts"/>
    <n v="3.5"/>
    <n v="2024"/>
  </r>
  <r>
    <x v="1"/>
    <s v="Todd"/>
    <n v="2"/>
    <x v="4"/>
    <s v="Seattle"/>
    <n v="5"/>
    <n v="2024"/>
  </r>
  <r>
    <x v="1"/>
    <s v="Todd"/>
    <n v="2"/>
    <x v="5"/>
    <s v="Chris Boswell"/>
    <n v="9"/>
    <n v="2024"/>
  </r>
  <r>
    <x v="7"/>
    <s v="Jay"/>
    <n v="2"/>
    <x v="0"/>
    <s v="Lamar Jackson"/>
    <n v="16.38"/>
    <n v="2024"/>
  </r>
  <r>
    <x v="7"/>
    <s v="Jay"/>
    <n v="2"/>
    <x v="1"/>
    <s v="Stefon Diggs"/>
    <n v="5.7"/>
    <n v="2024"/>
  </r>
  <r>
    <x v="7"/>
    <s v="Jay"/>
    <n v="2"/>
    <x v="1"/>
    <s v="Amari Cooper"/>
    <n v="2.6"/>
    <n v="2024"/>
  </r>
  <r>
    <x v="7"/>
    <s v="Jay"/>
    <n v="2"/>
    <x v="1"/>
    <s v="Christian Kirk"/>
    <n v="0.4"/>
    <n v="2024"/>
  </r>
  <r>
    <x v="7"/>
    <s v="Jay"/>
    <n v="2"/>
    <x v="2"/>
    <s v="Alvin Kamara"/>
    <n v="43"/>
    <n v="2024"/>
  </r>
  <r>
    <x v="7"/>
    <s v="Jay"/>
    <n v="2"/>
    <x v="2"/>
    <s v="Jonathan Taylor"/>
    <n v="14.5"/>
    <n v="2024"/>
  </r>
  <r>
    <x v="7"/>
    <s v="Jay"/>
    <n v="2"/>
    <x v="3"/>
    <s v="Mark Andrews"/>
    <n v="7.1"/>
    <n v="2024"/>
  </r>
  <r>
    <x v="7"/>
    <s v="Jay"/>
    <n v="2"/>
    <x v="5"/>
    <s v="Ka'imi Fairbairn"/>
    <n v="20"/>
    <n v="2024"/>
  </r>
  <r>
    <x v="7"/>
    <s v="Jay"/>
    <n v="2"/>
    <x v="4"/>
    <s v="LA Chargers"/>
    <n v="14"/>
    <n v="2024"/>
  </r>
  <r>
    <x v="4"/>
    <s v="Eli"/>
    <n v="2"/>
    <x v="0"/>
    <s v="Jalen Hurts"/>
    <n v="23.82"/>
    <n v="2024"/>
  </r>
  <r>
    <x v="4"/>
    <s v="Eli"/>
    <n v="2"/>
    <x v="1"/>
    <s v="Justin Jefferson"/>
    <n v="21.3"/>
    <n v="2024"/>
  </r>
  <r>
    <x v="4"/>
    <s v="Eli"/>
    <n v="2"/>
    <x v="1"/>
    <s v="DJ Moore"/>
    <n v="8.3000000000000007"/>
    <n v="2024"/>
  </r>
  <r>
    <x v="4"/>
    <s v="Eli"/>
    <n v="2"/>
    <x v="1"/>
    <s v="Demarcus Robinson"/>
    <n v="6"/>
    <n v="2024"/>
  </r>
  <r>
    <x v="4"/>
    <s v="Eli"/>
    <n v="2"/>
    <x v="2"/>
    <s v="Bijan Robinson"/>
    <n v="14.2"/>
    <n v="2024"/>
  </r>
  <r>
    <x v="4"/>
    <s v="Eli"/>
    <n v="2"/>
    <x v="2"/>
    <s v="Jordan Mason"/>
    <n v="16.899999999999999"/>
    <n v="2024"/>
  </r>
  <r>
    <x v="4"/>
    <s v="Eli"/>
    <n v="2"/>
    <x v="3"/>
    <s v="Dalton Schultz"/>
    <n v="3.1"/>
    <n v="2024"/>
  </r>
  <r>
    <x v="4"/>
    <s v="Eli"/>
    <n v="2"/>
    <x v="5"/>
    <s v="Jake Moody"/>
    <n v="5"/>
    <n v="2024"/>
  </r>
  <r>
    <x v="4"/>
    <s v="Eli"/>
    <n v="2"/>
    <x v="4"/>
    <s v="NYJ"/>
    <n v="10"/>
    <n v="2024"/>
  </r>
  <r>
    <x v="6"/>
    <s v="Will"/>
    <n v="2"/>
    <x v="0"/>
    <s v="Geno Smith"/>
    <n v="17.88"/>
    <n v="2024"/>
  </r>
  <r>
    <x v="6"/>
    <s v="Will"/>
    <n v="2"/>
    <x v="1"/>
    <s v="Amon-Ra St. Brown"/>
    <n v="17.399999999999999"/>
    <n v="2024"/>
  </r>
  <r>
    <x v="6"/>
    <s v="Will"/>
    <n v="2"/>
    <x v="1"/>
    <s v="Drake London"/>
    <n v="14.4"/>
    <n v="2024"/>
  </r>
  <r>
    <x v="6"/>
    <s v="Will"/>
    <n v="2"/>
    <x v="1"/>
    <s v="Jaxon Smith-Njigba"/>
    <n v="17.7"/>
    <n v="2024"/>
  </r>
  <r>
    <x v="6"/>
    <s v="Will"/>
    <n v="2"/>
    <x v="2"/>
    <s v="Travis Etienne"/>
    <n v="13.3"/>
    <n v="2024"/>
  </r>
  <r>
    <x v="6"/>
    <s v="Will"/>
    <n v="2"/>
    <x v="2"/>
    <s v="Zach Charbonet"/>
    <n v="15.4"/>
    <n v="2024"/>
  </r>
  <r>
    <x v="6"/>
    <s v="Will"/>
    <n v="2"/>
    <x v="3"/>
    <s v="Travis Kelce"/>
    <n v="1.1000000000000001"/>
    <n v="2024"/>
  </r>
  <r>
    <x v="6"/>
    <s v="Will"/>
    <n v="2"/>
    <x v="5"/>
    <s v="Jason Myers"/>
    <n v="12"/>
    <n v="2024"/>
  </r>
  <r>
    <x v="6"/>
    <s v="Will"/>
    <n v="2"/>
    <x v="4"/>
    <s v="Houston"/>
    <n v="16"/>
    <n v="2024"/>
  </r>
  <r>
    <x v="8"/>
    <s v="Schulwolf"/>
    <n v="2"/>
    <x v="0"/>
    <s v="Jayden Daniels"/>
    <n v="13.44"/>
    <n v="2024"/>
  </r>
  <r>
    <x v="8"/>
    <s v="Schulwolf"/>
    <n v="2"/>
    <x v="1"/>
    <s v="Chris Godwin"/>
    <n v="21.2"/>
    <n v="2024"/>
  </r>
  <r>
    <x v="8"/>
    <s v="Schulwolf"/>
    <n v="2"/>
    <x v="1"/>
    <s v="DeVonta Smith"/>
    <n v="17.100000000000001"/>
    <n v="2024"/>
  </r>
  <r>
    <x v="8"/>
    <s v="Schulwolf"/>
    <n v="2"/>
    <x v="1"/>
    <s v="Cooper Kupp"/>
    <n v="5.7"/>
    <n v="2024"/>
  </r>
  <r>
    <x v="8"/>
    <s v="Schulwolf"/>
    <n v="2"/>
    <x v="2"/>
    <s v="James Cook"/>
    <n v="28"/>
    <n v="2024"/>
  </r>
  <r>
    <x v="8"/>
    <s v="Schulwolf"/>
    <n v="2"/>
    <x v="2"/>
    <s v="Jahmyr Gibbs"/>
    <n v="14.1"/>
    <n v="2024"/>
  </r>
  <r>
    <x v="8"/>
    <s v="Schulwolf"/>
    <n v="2"/>
    <x v="3"/>
    <s v="Dalton Kincaid"/>
    <n v="5.3"/>
    <n v="2024"/>
  </r>
  <r>
    <x v="8"/>
    <s v="Schulwolf"/>
    <n v="2"/>
    <x v="5"/>
    <s v="Brandon Aubrey"/>
    <n v="17"/>
    <n v="2024"/>
  </r>
  <r>
    <x v="8"/>
    <s v="Schulwolf"/>
    <n v="2"/>
    <x v="4"/>
    <s v="Dallas"/>
    <n v="-3"/>
    <n v="2024"/>
  </r>
  <r>
    <x v="3"/>
    <s v="Kevin"/>
    <n v="2"/>
    <x v="0"/>
    <s v="CJ Stroud"/>
    <n v="14.3"/>
    <n v="2024"/>
  </r>
  <r>
    <x v="3"/>
    <s v="Kevin"/>
    <n v="2"/>
    <x v="1"/>
    <s v="Marvin Harrison Jr"/>
    <n v="27"/>
    <n v="2024"/>
  </r>
  <r>
    <x v="3"/>
    <s v="Kevin"/>
    <n v="2"/>
    <x v="1"/>
    <s v="Chris Olave"/>
    <n v="10.8"/>
    <n v="2024"/>
  </r>
  <r>
    <x v="3"/>
    <s v="Kevin"/>
    <n v="2"/>
    <x v="1"/>
    <s v="George Pickens"/>
    <n v="3.9"/>
    <n v="2024"/>
  </r>
  <r>
    <x v="3"/>
    <s v="Kevin"/>
    <n v="2"/>
    <x v="2"/>
    <s v="Isiah Pacheco"/>
    <n v="13.6"/>
    <n v="2024"/>
  </r>
  <r>
    <x v="3"/>
    <s v="Kevin"/>
    <n v="2"/>
    <x v="2"/>
    <s v="Najee Harris"/>
    <n v="7.9"/>
    <n v="2024"/>
  </r>
  <r>
    <x v="3"/>
    <s v="Kevin"/>
    <n v="2"/>
    <x v="3"/>
    <s v="Hunter Henry"/>
    <n v="14.9"/>
    <n v="2024"/>
  </r>
  <r>
    <x v="3"/>
    <s v="Kevin"/>
    <n v="2"/>
    <x v="5"/>
    <s v="Justin Tucker"/>
    <n v="13"/>
    <n v="2024"/>
  </r>
  <r>
    <x v="3"/>
    <s v="Kevin"/>
    <n v="2"/>
    <x v="4"/>
    <s v="Cleveland"/>
    <n v="9"/>
    <n v="2024"/>
  </r>
  <r>
    <x v="10"/>
    <s v="Brand"/>
    <n v="2"/>
    <x v="0"/>
    <s v="Anthony Richardson"/>
    <n v="9.86"/>
    <n v="2024"/>
  </r>
  <r>
    <x v="10"/>
    <s v="Brand"/>
    <n v="2"/>
    <x v="1"/>
    <s v="Jameson Williams"/>
    <n v="11.9"/>
    <n v="2024"/>
  </r>
  <r>
    <x v="10"/>
    <s v="Brand"/>
    <n v="2"/>
    <x v="1"/>
    <s v="Garrett Wilson"/>
    <n v="8.1999999999999993"/>
    <n v="2024"/>
  </r>
  <r>
    <x v="10"/>
    <s v="Brand"/>
    <n v="2"/>
    <x v="1"/>
    <s v="Michael Pittman"/>
    <n v="3.6"/>
    <n v="2024"/>
  </r>
  <r>
    <x v="10"/>
    <s v="Brand"/>
    <n v="2"/>
    <x v="2"/>
    <s v="Breece Hall"/>
    <n v="20.9"/>
    <n v="2024"/>
  </r>
  <r>
    <x v="10"/>
    <s v="Brand"/>
    <n v="2"/>
    <x v="2"/>
    <s v="Bucky Irving"/>
    <n v="2.2000000000000002"/>
    <n v="2024"/>
  </r>
  <r>
    <x v="10"/>
    <s v="Brand"/>
    <n v="2"/>
    <x v="3"/>
    <s v="Dallas Goedert"/>
    <n v="5.3"/>
    <n v="2024"/>
  </r>
  <r>
    <x v="10"/>
    <s v="Brand"/>
    <n v="2"/>
    <x v="5"/>
    <s v="Cairo Santos"/>
    <n v="11"/>
    <n v="2024"/>
  </r>
  <r>
    <x v="10"/>
    <s v="Brand"/>
    <n v="2"/>
    <x v="4"/>
    <s v="Indianapolis"/>
    <n v="2"/>
    <n v="2024"/>
  </r>
  <r>
    <x v="9"/>
    <s v="Tommy"/>
    <n v="2"/>
    <x v="0"/>
    <s v="Josh Allen"/>
    <n v="9.76"/>
    <n v="2024"/>
  </r>
  <r>
    <x v="9"/>
    <s v="Tommy"/>
    <n v="2"/>
    <x v="1"/>
    <s v="DK Metcalf"/>
    <n v="23.9"/>
    <n v="2024"/>
  </r>
  <r>
    <x v="9"/>
    <s v="Tommy"/>
    <n v="2"/>
    <x v="1"/>
    <s v="Malik Nabers"/>
    <n v="23.7"/>
    <n v="2024"/>
  </r>
  <r>
    <x v="9"/>
    <s v="Tommy"/>
    <n v="2"/>
    <x v="1"/>
    <s v="Xavier Worthy"/>
    <n v="3.2"/>
    <n v="2024"/>
  </r>
  <r>
    <x v="9"/>
    <s v="Tommy"/>
    <n v="2"/>
    <x v="2"/>
    <s v="Saquon Barkley"/>
    <n v="15.6"/>
    <n v="2024"/>
  </r>
  <r>
    <x v="9"/>
    <s v="Tommy"/>
    <n v="2"/>
    <x v="2"/>
    <s v="Kyren Williams"/>
    <n v="13.2"/>
    <n v="2024"/>
  </r>
  <r>
    <x v="9"/>
    <s v="Tommy"/>
    <n v="2"/>
    <x v="3"/>
    <s v="Evan Engram"/>
    <n v="0"/>
    <n v="2024"/>
  </r>
  <r>
    <x v="9"/>
    <s v="Tommy"/>
    <n v="2"/>
    <x v="5"/>
    <s v="Harrison Butker"/>
    <n v="10"/>
    <n v="2024"/>
  </r>
  <r>
    <x v="9"/>
    <s v="Tommy"/>
    <n v="2"/>
    <x v="4"/>
    <s v="San Francisco"/>
    <n v="4"/>
    <n v="2024"/>
  </r>
  <r>
    <x v="11"/>
    <s v="Cam"/>
    <n v="2"/>
    <x v="0"/>
    <s v="Kyler Murray"/>
    <n v="28.54"/>
    <n v="2024"/>
  </r>
  <r>
    <x v="11"/>
    <s v="Cam"/>
    <n v="2"/>
    <x v="1"/>
    <s v="Nico Collins"/>
    <n v="23.5"/>
    <n v="2024"/>
  </r>
  <r>
    <x v="11"/>
    <s v="Cam"/>
    <n v="2"/>
    <x v="1"/>
    <s v="Ja'Marr Chase"/>
    <n v="5.5"/>
    <n v="2024"/>
  </r>
  <r>
    <x v="11"/>
    <s v="Cam"/>
    <n v="2"/>
    <x v="1"/>
    <s v="Brandon Aiyuk"/>
    <n v="6.3"/>
    <n v="2024"/>
  </r>
  <r>
    <x v="11"/>
    <s v="Cam"/>
    <n v="2"/>
    <x v="2"/>
    <s v="Rhamondre Stevenson"/>
    <n v="16"/>
    <n v="2024"/>
  </r>
  <r>
    <x v="11"/>
    <s v="Cam"/>
    <n v="2"/>
    <x v="2"/>
    <s v="JK Dobbins"/>
    <n v="19.600000000000001"/>
    <n v="2024"/>
  </r>
  <r>
    <x v="11"/>
    <s v="Cam"/>
    <n v="2"/>
    <x v="3"/>
    <s v="George Kittle"/>
    <n v="17.100000000000001"/>
    <n v="2024"/>
  </r>
  <r>
    <x v="11"/>
    <s v="Cam"/>
    <n v="2"/>
    <x v="5"/>
    <s v="Evan McPherson"/>
    <n v="15"/>
    <n v="2024"/>
  </r>
  <r>
    <x v="11"/>
    <s v="Cam"/>
    <n v="2"/>
    <x v="4"/>
    <s v="Baltimore"/>
    <n v="8"/>
    <n v="2024"/>
  </r>
  <r>
    <x v="5"/>
    <s v="Burnett/Jasjaap"/>
    <n v="2"/>
    <x v="0"/>
    <s v="Brock Purdy"/>
    <n v="13.96"/>
    <n v="2024"/>
  </r>
  <r>
    <x v="5"/>
    <s v="Burnett/Jasjaap"/>
    <n v="2"/>
    <x v="1"/>
    <s v="CeeDee Lamb"/>
    <n v="17"/>
    <n v="2024"/>
  </r>
  <r>
    <x v="5"/>
    <s v="Burnett/Jasjaap"/>
    <n v="2"/>
    <x v="1"/>
    <s v="Jaylen Waddle"/>
    <n v="6.5"/>
    <n v="2024"/>
  </r>
  <r>
    <x v="5"/>
    <s v="Burnett/Jasjaap"/>
    <n v="2"/>
    <x v="1"/>
    <s v="Rashid Shaheed"/>
    <n v="18.899999999999999"/>
    <n v="2024"/>
  </r>
  <r>
    <x v="5"/>
    <s v="Burnett/Jasjaap"/>
    <n v="2"/>
    <x v="2"/>
    <s v="David Montgomery"/>
    <n v="15"/>
    <n v="2024"/>
  </r>
  <r>
    <x v="5"/>
    <s v="Burnett/Jasjaap"/>
    <n v="2"/>
    <x v="2"/>
    <s v="Josh Jacobs"/>
    <n v="13.1"/>
    <n v="2024"/>
  </r>
  <r>
    <x v="5"/>
    <s v="Burnett/Jasjaap"/>
    <n v="2"/>
    <x v="3"/>
    <s v="Brock Bowers"/>
    <n v="14.3"/>
    <n v="2024"/>
  </r>
  <r>
    <x v="5"/>
    <s v="Burnett/Jasjaap"/>
    <n v="2"/>
    <x v="5"/>
    <s v="Jake Elliott"/>
    <n v="7"/>
    <n v="2024"/>
  </r>
  <r>
    <x v="5"/>
    <s v="Burnett/Jasjaap"/>
    <n v="2"/>
    <x v="4"/>
    <s v="Pittsburgh"/>
    <n v="14"/>
    <n v="2024"/>
  </r>
  <r>
    <x v="0"/>
    <s v="Brenton"/>
    <n v="3"/>
    <x v="0"/>
    <s v="Derek Carr"/>
    <n v="7.98"/>
    <n v="2024"/>
  </r>
  <r>
    <x v="0"/>
    <s v="Brenton"/>
    <n v="3"/>
    <x v="1"/>
    <s v="Tyreek Hill"/>
    <n v="5.5"/>
    <n v="2024"/>
  </r>
  <r>
    <x v="0"/>
    <s v="Brenton"/>
    <n v="3"/>
    <x v="1"/>
    <s v="Zay Flowers"/>
    <n v="3.8"/>
    <n v="2024"/>
  </r>
  <r>
    <x v="0"/>
    <s v="Brenton"/>
    <n v="3"/>
    <x v="1"/>
    <s v="Jayden Reed"/>
    <n v="8.9"/>
    <n v="2024"/>
  </r>
  <r>
    <x v="0"/>
    <s v="Brenton"/>
    <n v="3"/>
    <x v="2"/>
    <s v="Cam Akers"/>
    <n v="9.4"/>
    <n v="2024"/>
  </r>
  <r>
    <x v="0"/>
    <s v="Brenton"/>
    <n v="3"/>
    <x v="2"/>
    <s v="Jerome Ford"/>
    <n v="8.5"/>
    <n v="2024"/>
  </r>
  <r>
    <x v="0"/>
    <s v="Brenton"/>
    <n v="3"/>
    <x v="3"/>
    <s v="Trey McBride"/>
    <n v="4"/>
    <n v="2024"/>
  </r>
  <r>
    <x v="0"/>
    <s v="Brenton"/>
    <n v="3"/>
    <x v="5"/>
    <s v="Tyler Bass"/>
    <n v="11"/>
    <n v="2024"/>
  </r>
  <r>
    <x v="0"/>
    <s v="Brenton"/>
    <n v="3"/>
    <x v="4"/>
    <s v="Tampa Bay"/>
    <n v="1"/>
    <n v="2024"/>
  </r>
  <r>
    <x v="3"/>
    <s v="Kevin"/>
    <n v="3"/>
    <x v="0"/>
    <s v="CJ Stroud"/>
    <n v="9.8000000000000007"/>
    <n v="2024"/>
  </r>
  <r>
    <x v="3"/>
    <s v="Kevin"/>
    <n v="3"/>
    <x v="1"/>
    <s v="Chris Olave"/>
    <n v="17.600000000000001"/>
    <n v="2024"/>
  </r>
  <r>
    <x v="3"/>
    <s v="Kevin"/>
    <n v="3"/>
    <x v="1"/>
    <s v="Marvin Harrison Jr"/>
    <n v="14.9"/>
    <n v="2024"/>
  </r>
  <r>
    <x v="3"/>
    <s v="Kevin"/>
    <n v="3"/>
    <x v="1"/>
    <s v="George Pickens"/>
    <n v="8.1999999999999993"/>
    <n v="2024"/>
  </r>
  <r>
    <x v="3"/>
    <s v="Kevin"/>
    <n v="3"/>
    <x v="2"/>
    <s v="Najee Harris"/>
    <n v="11.1"/>
    <n v="2024"/>
  </r>
  <r>
    <x v="3"/>
    <s v="Kevin"/>
    <n v="3"/>
    <x v="2"/>
    <s v="Joe Mixon"/>
    <n v="0"/>
    <n v="2024"/>
  </r>
  <r>
    <x v="3"/>
    <s v="Kevin"/>
    <n v="3"/>
    <x v="3"/>
    <s v="Hunter Henry"/>
    <n v="1.9"/>
    <n v="2024"/>
  </r>
  <r>
    <x v="3"/>
    <s v="Kevin"/>
    <n v="3"/>
    <x v="5"/>
    <s v="Justin Tucker"/>
    <n v="3"/>
    <n v="2024"/>
  </r>
  <r>
    <x v="3"/>
    <s v="Kevin"/>
    <n v="3"/>
    <x v="4"/>
    <s v="Cleveland"/>
    <n v="5"/>
    <n v="2024"/>
  </r>
  <r>
    <x v="2"/>
    <s v="Mike"/>
    <n v="3"/>
    <x v="0"/>
    <s v="Patrick Mahomes"/>
    <n v="16.38"/>
    <n v="2024"/>
  </r>
  <r>
    <x v="2"/>
    <s v="Mike"/>
    <n v="3"/>
    <x v="1"/>
    <s v="Tank Dell"/>
    <n v="8.6999999999999993"/>
    <n v="2024"/>
  </r>
  <r>
    <x v="2"/>
    <s v="Mike"/>
    <n v="3"/>
    <x v="1"/>
    <s v="Davante Adams"/>
    <n v="6"/>
    <n v="2024"/>
  </r>
  <r>
    <x v="2"/>
    <s v="Mike"/>
    <n v="3"/>
    <x v="1"/>
    <s v="Khalil Shakir"/>
    <n v="16.2"/>
    <n v="2024"/>
  </r>
  <r>
    <x v="2"/>
    <s v="Mike"/>
    <n v="3"/>
    <x v="2"/>
    <s v="Derrick Henry"/>
    <n v="29.9"/>
    <n v="2024"/>
  </r>
  <r>
    <x v="2"/>
    <s v="Mike"/>
    <n v="3"/>
    <x v="2"/>
    <s v="Carson Steele"/>
    <n v="7.9"/>
    <n v="2024"/>
  </r>
  <r>
    <x v="2"/>
    <s v="Mike"/>
    <n v="3"/>
    <x v="3"/>
    <s v="Sam LaPorta"/>
    <n v="4.5999999999999996"/>
    <n v="2024"/>
  </r>
  <r>
    <x v="2"/>
    <s v="Mike"/>
    <n v="3"/>
    <x v="5"/>
    <s v="Younghoe Koo"/>
    <n v="7"/>
    <n v="2024"/>
  </r>
  <r>
    <x v="2"/>
    <s v="Mike"/>
    <n v="3"/>
    <x v="4"/>
    <s v="Buffalo"/>
    <n v="14"/>
    <n v="2024"/>
  </r>
  <r>
    <x v="7"/>
    <s v="Jay"/>
    <n v="3"/>
    <x v="0"/>
    <s v="Lamar Jackson"/>
    <n v="25.98"/>
    <n v="2024"/>
  </r>
  <r>
    <x v="7"/>
    <s v="Jay"/>
    <n v="3"/>
    <x v="1"/>
    <s v="Amari Cooper"/>
    <n v="24.1"/>
    <n v="2024"/>
  </r>
  <r>
    <x v="7"/>
    <s v="Jay"/>
    <n v="3"/>
    <x v="1"/>
    <s v="Stefon Diggs"/>
    <n v="14.92"/>
    <n v="2024"/>
  </r>
  <r>
    <x v="7"/>
    <s v="Jay"/>
    <n v="3"/>
    <x v="1"/>
    <s v="Tee Higgins"/>
    <n v="5.4"/>
    <n v="2024"/>
  </r>
  <r>
    <x v="7"/>
    <s v="Jay"/>
    <n v="3"/>
    <x v="2"/>
    <s v="Jonathan Taylor"/>
    <n v="26"/>
    <n v="2024"/>
  </r>
  <r>
    <x v="7"/>
    <s v="Jay"/>
    <n v="3"/>
    <x v="2"/>
    <s v="Alvin Kamara"/>
    <n v="14.2"/>
    <n v="2024"/>
  </r>
  <r>
    <x v="7"/>
    <s v="Jay"/>
    <n v="3"/>
    <x v="3"/>
    <s v="Mark Andrews"/>
    <n v="0"/>
    <n v="2024"/>
  </r>
  <r>
    <x v="7"/>
    <s v="Jay"/>
    <n v="3"/>
    <x v="5"/>
    <s v="Ka'imi Fairbairn"/>
    <n v="1"/>
    <n v="2024"/>
  </r>
  <r>
    <x v="7"/>
    <s v="Jay"/>
    <n v="3"/>
    <x v="4"/>
    <s v="Cincinnati"/>
    <n v="-3"/>
    <n v="2024"/>
  </r>
  <r>
    <x v="1"/>
    <s v="Todd"/>
    <n v="3"/>
    <x v="0"/>
    <s v="Dak Prescott"/>
    <n v="29.86"/>
    <n v="2024"/>
  </r>
  <r>
    <x v="1"/>
    <s v="Todd"/>
    <n v="3"/>
    <x v="1"/>
    <s v="Rashee Rice"/>
    <n v="23.1"/>
    <n v="2024"/>
  </r>
  <r>
    <x v="1"/>
    <s v="Todd"/>
    <n v="3"/>
    <x v="1"/>
    <s v="Brian Thomas Jr"/>
    <n v="7.3"/>
    <n v="2024"/>
  </r>
  <r>
    <x v="1"/>
    <s v="Todd"/>
    <n v="3"/>
    <x v="1"/>
    <s v="Calvin Ridley"/>
    <n v="1.4"/>
    <n v="2024"/>
  </r>
  <r>
    <x v="1"/>
    <s v="Todd"/>
    <n v="3"/>
    <x v="2"/>
    <s v="De'Von Achane"/>
    <n v="7.3"/>
    <n v="2024"/>
  </r>
  <r>
    <x v="1"/>
    <s v="Todd"/>
    <n v="3"/>
    <x v="2"/>
    <s v="D'Andre Swift"/>
    <n v="5.2"/>
    <n v="2024"/>
  </r>
  <r>
    <x v="1"/>
    <s v="Todd"/>
    <n v="3"/>
    <x v="3"/>
    <s v="Kyle Pitts"/>
    <n v="6.9"/>
    <n v="2024"/>
  </r>
  <r>
    <x v="1"/>
    <s v="Todd"/>
    <n v="3"/>
    <x v="5"/>
    <s v="Chris Boswell"/>
    <n v="8"/>
    <n v="2024"/>
  </r>
  <r>
    <x v="1"/>
    <s v="Todd"/>
    <n v="3"/>
    <x v="4"/>
    <s v="Las Vegas"/>
    <n v="-6"/>
    <n v="2024"/>
  </r>
  <r>
    <x v="4"/>
    <s v="Eli"/>
    <n v="3"/>
    <x v="0"/>
    <s v="Jalen Hurts"/>
    <n v="10.94"/>
    <n v="2024"/>
  </r>
  <r>
    <x v="4"/>
    <s v="Eli"/>
    <n v="3"/>
    <x v="1"/>
    <s v="Justin Jefferson"/>
    <n v="17.100000000000001"/>
    <n v="2024"/>
  </r>
  <r>
    <x v="4"/>
    <s v="Eli"/>
    <n v="3"/>
    <x v="1"/>
    <s v="Rome Odunze"/>
    <n v="20.399999999999999"/>
    <n v="2024"/>
  </r>
  <r>
    <x v="4"/>
    <s v="Eli"/>
    <n v="3"/>
    <x v="1"/>
    <s v="DJ Moore"/>
    <n v="11.2"/>
    <n v="2024"/>
  </r>
  <r>
    <x v="4"/>
    <s v="Eli"/>
    <n v="3"/>
    <x v="2"/>
    <s v="Bijan Robinson"/>
    <n v="12.2"/>
    <n v="2024"/>
  </r>
  <r>
    <x v="4"/>
    <s v="Eli"/>
    <n v="3"/>
    <x v="2"/>
    <s v="Jordan Mason"/>
    <n v="9.8000000000000007"/>
    <n v="2024"/>
  </r>
  <r>
    <x v="4"/>
    <s v="Eli"/>
    <n v="3"/>
    <x v="3"/>
    <s v="Dalton Schultz"/>
    <n v="2.1"/>
    <n v="2024"/>
  </r>
  <r>
    <x v="4"/>
    <s v="Eli"/>
    <n v="3"/>
    <x v="5"/>
    <s v="Jake Moody"/>
    <n v="6"/>
    <n v="2024"/>
  </r>
  <r>
    <x v="4"/>
    <s v="Eli"/>
    <n v="3"/>
    <x v="4"/>
    <s v="NYJ"/>
    <n v="19"/>
    <n v="2024"/>
  </r>
  <r>
    <x v="6"/>
    <s v="Will"/>
    <n v="3"/>
    <x v="0"/>
    <s v="Geno Smith"/>
    <n v="11.36"/>
    <n v="2024"/>
  </r>
  <r>
    <x v="6"/>
    <s v="Will"/>
    <n v="3"/>
    <x v="1"/>
    <s v="Amon-Ra St. Brown"/>
    <n v="17"/>
    <n v="2024"/>
  </r>
  <r>
    <x v="6"/>
    <s v="Will"/>
    <n v="3"/>
    <x v="1"/>
    <s v="Drake London"/>
    <n v="15.7"/>
    <n v="2024"/>
  </r>
  <r>
    <x v="6"/>
    <s v="Will"/>
    <n v="3"/>
    <x v="1"/>
    <s v="Ladd McConkey"/>
    <n v="5.9"/>
    <n v="2024"/>
  </r>
  <r>
    <x v="6"/>
    <s v="Will"/>
    <n v="3"/>
    <x v="2"/>
    <s v="Zach Charbonet"/>
    <n v="24.2"/>
    <n v="2024"/>
  </r>
  <r>
    <x v="6"/>
    <s v="Will"/>
    <n v="3"/>
    <x v="2"/>
    <s v="Travis Etienne"/>
    <n v="10.5"/>
    <n v="2024"/>
  </r>
  <r>
    <x v="6"/>
    <s v="Will"/>
    <n v="3"/>
    <x v="3"/>
    <s v="Travis Kelce"/>
    <n v="5"/>
    <n v="2024"/>
  </r>
  <r>
    <x v="6"/>
    <s v="Will"/>
    <n v="3"/>
    <x v="5"/>
    <s v="Jason Myers"/>
    <n v="8"/>
    <n v="2024"/>
  </r>
  <r>
    <x v="6"/>
    <s v="Will"/>
    <n v="3"/>
    <x v="4"/>
    <s v="Houston"/>
    <n v="4"/>
    <n v="2024"/>
  </r>
  <r>
    <x v="11"/>
    <s v="Cam"/>
    <n v="3"/>
    <x v="0"/>
    <s v="Joe Burrow"/>
    <n v="25.36"/>
    <n v="2024"/>
  </r>
  <r>
    <x v="11"/>
    <s v="Cam"/>
    <n v="3"/>
    <x v="1"/>
    <s v="Ja'Marr Chase"/>
    <n v="26.8"/>
    <n v="2024"/>
  </r>
  <r>
    <x v="11"/>
    <s v="Cam"/>
    <n v="3"/>
    <x v="1"/>
    <s v="Nico Collins"/>
    <n v="10.6"/>
    <n v="2024"/>
  </r>
  <r>
    <x v="11"/>
    <s v="Cam"/>
    <n v="3"/>
    <x v="1"/>
    <s v="Brandon Aiyuk"/>
    <n v="7.3"/>
    <n v="2024"/>
  </r>
  <r>
    <x v="11"/>
    <s v="Cam"/>
    <n v="3"/>
    <x v="2"/>
    <s v="Aaron Jones"/>
    <n v="23.3"/>
    <n v="2024"/>
  </r>
  <r>
    <x v="11"/>
    <s v="Cam"/>
    <n v="3"/>
    <x v="2"/>
    <s v="JK Dobbins"/>
    <n v="6.9"/>
    <n v="2024"/>
  </r>
  <r>
    <x v="11"/>
    <s v="Cam"/>
    <n v="3"/>
    <x v="3"/>
    <s v="Pat Freiermuth"/>
    <n v="5.3"/>
    <n v="2024"/>
  </r>
  <r>
    <x v="11"/>
    <s v="Cam"/>
    <n v="3"/>
    <x v="5"/>
    <s v="Evan McPherson"/>
    <n v="8"/>
    <n v="2024"/>
  </r>
  <r>
    <x v="11"/>
    <s v="Cam"/>
    <n v="3"/>
    <x v="4"/>
    <s v="Chicago"/>
    <n v="4"/>
    <n v="2024"/>
  </r>
  <r>
    <x v="8"/>
    <s v="Schulwolf"/>
    <n v="3"/>
    <x v="0"/>
    <s v="Jayden Daniels"/>
    <n v="28.06"/>
    <n v="2024"/>
  </r>
  <r>
    <x v="8"/>
    <s v="Schulwolf"/>
    <n v="3"/>
    <x v="1"/>
    <s v="Chris Godwin"/>
    <n v="14.3"/>
    <n v="2024"/>
  </r>
  <r>
    <x v="8"/>
    <s v="Schulwolf"/>
    <n v="3"/>
    <x v="1"/>
    <s v="DeVonta Smith"/>
    <n v="11.4"/>
    <n v="2024"/>
  </r>
  <r>
    <x v="8"/>
    <s v="Schulwolf"/>
    <n v="3"/>
    <x v="1"/>
    <s v="Jerry Jeudy"/>
    <n v="6.7"/>
    <n v="2024"/>
  </r>
  <r>
    <x v="8"/>
    <s v="Schulwolf"/>
    <n v="3"/>
    <x v="2"/>
    <s v="Zack Moss"/>
    <n v="18.2"/>
    <n v="2024"/>
  </r>
  <r>
    <x v="8"/>
    <s v="Schulwolf"/>
    <n v="3"/>
    <x v="2"/>
    <s v="James Cook"/>
    <n v="16.7"/>
    <n v="2024"/>
  </r>
  <r>
    <x v="8"/>
    <s v="Schulwolf"/>
    <n v="3"/>
    <x v="3"/>
    <s v="Dalton Kincaid"/>
    <n v="11.6"/>
    <n v="2024"/>
  </r>
  <r>
    <x v="8"/>
    <s v="Schulwolf"/>
    <n v="3"/>
    <x v="5"/>
    <s v="Brandon Aubrey"/>
    <n v="11"/>
    <n v="2024"/>
  </r>
  <r>
    <x v="8"/>
    <s v="Schulwolf"/>
    <n v="3"/>
    <x v="4"/>
    <s v="Dallas"/>
    <n v="-5"/>
    <n v="2024"/>
  </r>
  <r>
    <x v="10"/>
    <s v="Brand"/>
    <n v="3"/>
    <x v="0"/>
    <s v="Anthony Richardson"/>
    <n v="5.08"/>
    <n v="2024"/>
  </r>
  <r>
    <x v="10"/>
    <s v="Brand"/>
    <n v="3"/>
    <x v="1"/>
    <s v="Garrett Wilson"/>
    <n v="11.8"/>
    <n v="2024"/>
  </r>
  <r>
    <x v="10"/>
    <s v="Brand"/>
    <n v="3"/>
    <x v="1"/>
    <s v="Michael Pittman"/>
    <n v="5.6"/>
    <n v="2024"/>
  </r>
  <r>
    <x v="10"/>
    <s v="Brand"/>
    <n v="3"/>
    <x v="1"/>
    <s v="Brandin Cooks"/>
    <n v="2.6"/>
    <n v="2024"/>
  </r>
  <r>
    <x v="10"/>
    <s v="Brand"/>
    <n v="3"/>
    <x v="2"/>
    <s v="Breece Hall"/>
    <n v="16.3"/>
    <n v="2024"/>
  </r>
  <r>
    <x v="10"/>
    <s v="Brand"/>
    <n v="3"/>
    <x v="2"/>
    <s v="Bucky Irving"/>
    <n v="9.9"/>
    <n v="2024"/>
  </r>
  <r>
    <x v="10"/>
    <s v="Brand"/>
    <n v="3"/>
    <x v="3"/>
    <s v="Dallas Goedert"/>
    <n v="22"/>
    <n v="2024"/>
  </r>
  <r>
    <x v="10"/>
    <s v="Brand"/>
    <n v="3"/>
    <x v="5"/>
    <s v="Cairo Santos"/>
    <n v="6"/>
    <n v="2024"/>
  </r>
  <r>
    <x v="10"/>
    <s v="Brand"/>
    <n v="3"/>
    <x v="4"/>
    <s v="Indianapolis"/>
    <n v="10"/>
    <n v="2024"/>
  </r>
  <r>
    <x v="9"/>
    <s v="Tommy"/>
    <n v="3"/>
    <x v="0"/>
    <s v="Josh Allen"/>
    <n v="30.92"/>
    <n v="2024"/>
  </r>
  <r>
    <x v="9"/>
    <s v="Tommy"/>
    <n v="3"/>
    <x v="1"/>
    <s v="Malik Nabers"/>
    <n v="24.2"/>
    <n v="2024"/>
  </r>
  <r>
    <x v="9"/>
    <s v="Tommy"/>
    <n v="3"/>
    <x v="1"/>
    <s v="DK Metcalf"/>
    <n v="18.399999999999999"/>
    <n v="2024"/>
  </r>
  <r>
    <x v="9"/>
    <s v="Tommy"/>
    <n v="3"/>
    <x v="1"/>
    <s v="Xavier Worthy"/>
    <n v="4"/>
    <n v="2024"/>
  </r>
  <r>
    <x v="9"/>
    <s v="Tommy"/>
    <n v="3"/>
    <x v="2"/>
    <s v="Saquon Barkley"/>
    <n v="31.6"/>
    <n v="2024"/>
  </r>
  <r>
    <x v="9"/>
    <s v="Tommy"/>
    <n v="3"/>
    <x v="2"/>
    <s v="Kyren Williams"/>
    <n v="30.6"/>
    <n v="2024"/>
  </r>
  <r>
    <x v="9"/>
    <s v="Tommy"/>
    <n v="3"/>
    <x v="3"/>
    <s v="Mike Gesicki"/>
    <n v="6.7"/>
    <n v="2024"/>
  </r>
  <r>
    <x v="9"/>
    <s v="Tommy"/>
    <n v="3"/>
    <x v="5"/>
    <s v="Harrison Butker"/>
    <n v="12"/>
    <n v="2024"/>
  </r>
  <r>
    <x v="9"/>
    <s v="Tommy"/>
    <n v="3"/>
    <x v="4"/>
    <s v="San Francisco"/>
    <n v="4"/>
    <n v="2024"/>
  </r>
  <r>
    <x v="5"/>
    <s v="Burnett/Jasjaap"/>
    <n v="3"/>
    <x v="0"/>
    <s v="Brock Purdy"/>
    <n v="25.78"/>
    <n v="2024"/>
  </r>
  <r>
    <x v="5"/>
    <s v="Burnett/Jasjaap"/>
    <n v="3"/>
    <x v="1"/>
    <s v="CeeDee Lamb"/>
    <n v="6.7"/>
    <n v="2024"/>
  </r>
  <r>
    <x v="5"/>
    <s v="Burnett/Jasjaap"/>
    <n v="3"/>
    <x v="1"/>
    <s v="Jaylen Waddle"/>
    <n v="4.5999999999999996"/>
    <n v="2024"/>
  </r>
  <r>
    <x v="5"/>
    <s v="Burnett/Jasjaap"/>
    <n v="3"/>
    <x v="1"/>
    <s v="Rashid Shaheed"/>
    <n v="0"/>
    <n v="2024"/>
  </r>
  <r>
    <x v="5"/>
    <s v="Burnett/Jasjaap"/>
    <n v="3"/>
    <x v="2"/>
    <s v="David Montgomery"/>
    <n v="19.7"/>
    <n v="2024"/>
  </r>
  <r>
    <x v="5"/>
    <s v="Burnett/Jasjaap"/>
    <n v="3"/>
    <x v="2"/>
    <s v="Josh Jacobs"/>
    <n v="5.3"/>
    <n v="2024"/>
  </r>
  <r>
    <x v="5"/>
    <s v="Burnett/Jasjaap"/>
    <n v="3"/>
    <x v="3"/>
    <s v="Brock Bowers"/>
    <n v="5.6"/>
    <n v="2024"/>
  </r>
  <r>
    <x v="5"/>
    <s v="Burnett/Jasjaap"/>
    <n v="3"/>
    <x v="5"/>
    <s v="Jake Elliott"/>
    <n v="1"/>
    <n v="2024"/>
  </r>
  <r>
    <x v="5"/>
    <s v="Burnett/Jasjaap"/>
    <n v="3"/>
    <x v="4"/>
    <s v="Pittsburgh"/>
    <n v="12"/>
    <n v="2024"/>
  </r>
  <r>
    <x v="0"/>
    <s v="Brenton"/>
    <n v="4"/>
    <x v="0"/>
    <s v="Baker Mayfield"/>
    <n v="28.88"/>
    <n v="2024"/>
  </r>
  <r>
    <x v="0"/>
    <s v="Brenton"/>
    <n v="4"/>
    <x v="1"/>
    <s v="Jayden Reed"/>
    <n v="23.6"/>
    <n v="2024"/>
  </r>
  <r>
    <x v="0"/>
    <s v="Brenton"/>
    <n v="4"/>
    <x v="1"/>
    <s v="Courtland Sutton"/>
    <n v="13.5"/>
    <n v="2024"/>
  </r>
  <r>
    <x v="0"/>
    <s v="Brenton"/>
    <n v="4"/>
    <x v="1"/>
    <s v="Tyreek Hill"/>
    <n v="6.2"/>
    <n v="2024"/>
  </r>
  <r>
    <x v="0"/>
    <s v="Brenton"/>
    <n v="4"/>
    <x v="2"/>
    <s v="Jerome Ford"/>
    <n v="12"/>
    <n v="2024"/>
  </r>
  <r>
    <x v="0"/>
    <s v="Brenton"/>
    <n v="4"/>
    <x v="2"/>
    <s v="Cam Akers"/>
    <n v="5.3"/>
    <n v="2024"/>
  </r>
  <r>
    <x v="0"/>
    <s v="Brenton"/>
    <n v="4"/>
    <x v="3"/>
    <s v="Colby Parkinson"/>
    <n v="5.3"/>
    <n v="2024"/>
  </r>
  <r>
    <x v="0"/>
    <s v="Brenton"/>
    <n v="4"/>
    <x v="5"/>
    <s v="Tyler Bass"/>
    <n v="5"/>
    <n v="2024"/>
  </r>
  <r>
    <x v="0"/>
    <s v="Brenton"/>
    <n v="4"/>
    <x v="4"/>
    <s v="Kansas City"/>
    <n v="7"/>
    <n v="2024"/>
  </r>
  <r>
    <x v="0"/>
    <s v="Brenton"/>
    <n v="4"/>
    <x v="6"/>
    <s v="Zay Flowers"/>
    <n v="1.5"/>
    <n v="2024"/>
  </r>
  <r>
    <x v="7"/>
    <s v="Jay"/>
    <n v="4"/>
    <x v="0"/>
    <s v="Lamar Jackson"/>
    <n v="23.64"/>
    <n v="2024"/>
  </r>
  <r>
    <x v="7"/>
    <s v="Jay"/>
    <n v="4"/>
    <x v="1"/>
    <s v="Amari Cooper"/>
    <n v="5.5"/>
    <n v="2024"/>
  </r>
  <r>
    <x v="7"/>
    <s v="Jay"/>
    <n v="4"/>
    <x v="1"/>
    <s v="Stefon Diggs"/>
    <n v="16"/>
    <n v="2024"/>
  </r>
  <r>
    <x v="7"/>
    <s v="Jay"/>
    <n v="4"/>
    <x v="1"/>
    <s v="Jauan Jennings"/>
    <n v="10.3"/>
    <n v="2024"/>
  </r>
  <r>
    <x v="7"/>
    <s v="Jay"/>
    <n v="4"/>
    <x v="2"/>
    <s v="Brian Robinson"/>
    <n v="18.8"/>
    <n v="2024"/>
  </r>
  <r>
    <x v="7"/>
    <s v="Jay"/>
    <n v="4"/>
    <x v="2"/>
    <s v="Alvin Kamara"/>
    <n v="21.4"/>
    <n v="2024"/>
  </r>
  <r>
    <x v="7"/>
    <s v="Jay"/>
    <n v="4"/>
    <x v="3"/>
    <s v="Tyler Conklin"/>
    <n v="3.7"/>
    <n v="2024"/>
  </r>
  <r>
    <x v="7"/>
    <s v="Jay"/>
    <n v="4"/>
    <x v="5"/>
    <s v="Ka'imi Fairbairn"/>
    <n v="6"/>
    <n v="2024"/>
  </r>
  <r>
    <x v="7"/>
    <s v="Jay"/>
    <n v="4"/>
    <x v="4"/>
    <s v="Miami"/>
    <n v="3"/>
    <n v="2024"/>
  </r>
  <r>
    <x v="7"/>
    <s v="Jay"/>
    <n v="4"/>
    <x v="7"/>
    <s v="Jonathan Taylor"/>
    <n v="18.3"/>
    <n v="2024"/>
  </r>
  <r>
    <x v="8"/>
    <s v="Schulwolf"/>
    <n v="4"/>
    <x v="0"/>
    <s v="Jayden Daniels"/>
    <n v="24.02"/>
    <n v="2024"/>
  </r>
  <r>
    <x v="8"/>
    <s v="Schulwolf"/>
    <n v="4"/>
    <x v="1"/>
    <s v="Terry McLaurin"/>
    <n v="14.7"/>
    <n v="2024"/>
  </r>
  <r>
    <x v="8"/>
    <s v="Schulwolf"/>
    <n v="4"/>
    <x v="1"/>
    <s v="Jerry Jeudy"/>
    <n v="10.199999999999999"/>
    <n v="2024"/>
  </r>
  <r>
    <x v="8"/>
    <s v="Schulwolf"/>
    <n v="4"/>
    <x v="1"/>
    <s v="Chris Godwin"/>
    <n v="9.9"/>
    <n v="2024"/>
  </r>
  <r>
    <x v="8"/>
    <s v="Schulwolf"/>
    <n v="4"/>
    <x v="2"/>
    <s v="Jahmyr Gibbs"/>
    <n v="19.8"/>
    <n v="2024"/>
  </r>
  <r>
    <x v="8"/>
    <s v="Schulwolf"/>
    <n v="4"/>
    <x v="2"/>
    <s v="Zack Moss"/>
    <n v="15.8"/>
    <n v="2024"/>
  </r>
  <r>
    <x v="8"/>
    <s v="Schulwolf"/>
    <n v="4"/>
    <x v="3"/>
    <s v="Dalton Kincaid"/>
    <n v="7.2"/>
    <n v="2024"/>
  </r>
  <r>
    <x v="8"/>
    <s v="Schulwolf"/>
    <n v="4"/>
    <x v="5"/>
    <s v="Brandon Aubrey"/>
    <n v="11"/>
    <n v="2024"/>
  </r>
  <r>
    <x v="8"/>
    <s v="Schulwolf"/>
    <n v="4"/>
    <x v="4"/>
    <s v="Dallas"/>
    <n v="3"/>
    <n v="2024"/>
  </r>
  <r>
    <x v="8"/>
    <s v="Schulwolf"/>
    <n v="4"/>
    <x v="7"/>
    <s v="James Cook"/>
    <n v="5.3"/>
    <n v="2024"/>
  </r>
  <r>
    <x v="5"/>
    <s v="Burnett/Jasjaap"/>
    <n v="4"/>
    <x v="0"/>
    <s v="Brock Purdy"/>
    <n v="14.62"/>
    <n v="2024"/>
  </r>
  <r>
    <x v="5"/>
    <s v="Burnett/Jasjaap"/>
    <n v="4"/>
    <x v="1"/>
    <s v="CeeDee Lamb"/>
    <n v="20.100000000000001"/>
    <n v="2024"/>
  </r>
  <r>
    <x v="5"/>
    <s v="Burnett/Jasjaap"/>
    <n v="4"/>
    <x v="1"/>
    <s v="Jaylen Waddle"/>
    <n v="5.6"/>
    <n v="2024"/>
  </r>
  <r>
    <x v="5"/>
    <s v="Burnett/Jasjaap"/>
    <n v="4"/>
    <x v="1"/>
    <s v="Rashid Shaheed"/>
    <n v="11.7"/>
    <n v="2024"/>
  </r>
  <r>
    <x v="5"/>
    <s v="Burnett/Jasjaap"/>
    <n v="4"/>
    <x v="2"/>
    <s v="David Montgomery"/>
    <n v="14.5"/>
    <n v="2024"/>
  </r>
  <r>
    <x v="5"/>
    <s v="Burnett/Jasjaap"/>
    <n v="4"/>
    <x v="2"/>
    <s v="Josh Jacobs"/>
    <n v="9.8000000000000007"/>
    <n v="2024"/>
  </r>
  <r>
    <x v="5"/>
    <s v="Burnett/Jasjaap"/>
    <n v="4"/>
    <x v="3"/>
    <s v="Brock Bowers"/>
    <n v="4.0999999999999996"/>
    <n v="2024"/>
  </r>
  <r>
    <x v="5"/>
    <s v="Burnett/Jasjaap"/>
    <n v="4"/>
    <x v="5"/>
    <s v="Jake Elliott"/>
    <n v="2"/>
    <n v="2024"/>
  </r>
  <r>
    <x v="5"/>
    <s v="Burnett/Jasjaap"/>
    <n v="4"/>
    <x v="4"/>
    <s v="Pittsburgh"/>
    <n v="1"/>
    <n v="2024"/>
  </r>
  <r>
    <x v="5"/>
    <s v="Burnett/Jasjaap"/>
    <n v="4"/>
    <x v="7"/>
    <s v="Gus Edwards"/>
    <n v="1.9"/>
    <n v="2024"/>
  </r>
  <r>
    <x v="2"/>
    <s v="Mike"/>
    <n v="4"/>
    <x v="0"/>
    <s v="Patrick Mahomes"/>
    <n v="13"/>
    <n v="2024"/>
  </r>
  <r>
    <x v="2"/>
    <s v="Mike"/>
    <n v="4"/>
    <x v="1"/>
    <s v="Mike Evans"/>
    <n v="19.399999999999999"/>
    <n v="2024"/>
  </r>
  <r>
    <x v="2"/>
    <s v="Mike"/>
    <n v="4"/>
    <x v="1"/>
    <s v="Khalil Shakir"/>
    <n v="8.1999999999999993"/>
    <n v="2024"/>
  </r>
  <r>
    <x v="2"/>
    <s v="Mike"/>
    <n v="4"/>
    <x v="1"/>
    <s v="Quentin Johnston"/>
    <n v="1.8"/>
    <n v="2024"/>
  </r>
  <r>
    <x v="2"/>
    <s v="Mike"/>
    <n v="4"/>
    <x v="2"/>
    <s v="Derrick Henry"/>
    <n v="34.4"/>
    <n v="2024"/>
  </r>
  <r>
    <x v="2"/>
    <s v="Mike"/>
    <n v="4"/>
    <x v="2"/>
    <s v="Carson Steele"/>
    <n v="-0.9"/>
    <n v="2024"/>
  </r>
  <r>
    <x v="2"/>
    <s v="Mike"/>
    <n v="4"/>
    <x v="3"/>
    <s v="Jake Ferguson"/>
    <n v="8.4"/>
    <n v="2024"/>
  </r>
  <r>
    <x v="2"/>
    <s v="Mike"/>
    <n v="4"/>
    <x v="5"/>
    <s v="Younghoe Koo"/>
    <n v="20"/>
    <n v="2024"/>
  </r>
  <r>
    <x v="2"/>
    <s v="Mike"/>
    <n v="4"/>
    <x v="4"/>
    <s v="Buffalo"/>
    <n v="-5"/>
    <n v="2024"/>
  </r>
  <r>
    <x v="2"/>
    <s v="Mike"/>
    <n v="4"/>
    <x v="8"/>
    <s v="Sam LaPorta"/>
    <n v="7.3"/>
    <n v="2024"/>
  </r>
  <r>
    <x v="4"/>
    <s v="Eli"/>
    <n v="4"/>
    <x v="0"/>
    <s v="Jalen Hurts"/>
    <n v="16.32"/>
    <n v="2024"/>
  </r>
  <r>
    <x v="4"/>
    <s v="Eli"/>
    <n v="4"/>
    <x v="1"/>
    <s v="Justin Jefferson"/>
    <n v="17.5"/>
    <n v="2024"/>
  </r>
  <r>
    <x v="4"/>
    <s v="Eli"/>
    <n v="4"/>
    <x v="1"/>
    <s v="DJ Moore"/>
    <n v="9.6999999999999993"/>
    <n v="2024"/>
  </r>
  <r>
    <x v="4"/>
    <s v="Eli"/>
    <n v="4"/>
    <x v="1"/>
    <s v="Jalen Tolbert"/>
    <n v="3.9"/>
    <n v="2024"/>
  </r>
  <r>
    <x v="4"/>
    <s v="Eli"/>
    <n v="4"/>
    <x v="2"/>
    <s v="Jordan Mason"/>
    <n v="23"/>
    <n v="2024"/>
  </r>
  <r>
    <x v="4"/>
    <s v="Eli"/>
    <n v="4"/>
    <x v="2"/>
    <s v="Bijan Robinson"/>
    <n v="9.4"/>
    <n v="2024"/>
  </r>
  <r>
    <x v="4"/>
    <s v="Eli"/>
    <n v="4"/>
    <x v="3"/>
    <s v="Dalton Schultz"/>
    <n v="4.9000000000000004"/>
    <n v="2024"/>
  </r>
  <r>
    <x v="4"/>
    <s v="Eli"/>
    <n v="4"/>
    <x v="5"/>
    <s v="Jake Moody"/>
    <n v="13"/>
    <n v="2024"/>
  </r>
  <r>
    <x v="4"/>
    <s v="Eli"/>
    <n v="4"/>
    <x v="4"/>
    <s v="NYJ"/>
    <n v="9"/>
    <n v="2024"/>
  </r>
  <r>
    <x v="4"/>
    <s v="Eli"/>
    <n v="4"/>
    <x v="6"/>
    <s v="Rome Odunze"/>
    <n v="1.5"/>
    <n v="2024"/>
  </r>
  <r>
    <x v="1"/>
    <s v="Todd"/>
    <n v="4"/>
    <x v="0"/>
    <s v="Dak Prescott"/>
    <n v="16.739999999999998"/>
    <n v="2024"/>
  </r>
  <r>
    <x v="1"/>
    <s v="Todd"/>
    <n v="4"/>
    <x v="1"/>
    <s v="Brian Thomas Jr"/>
    <n v="18.899999999999999"/>
    <n v="2024"/>
  </r>
  <r>
    <x v="1"/>
    <s v="Todd"/>
    <n v="4"/>
    <x v="1"/>
    <s v="Diontae Johnson"/>
    <n v="17.8"/>
    <n v="2024"/>
  </r>
  <r>
    <x v="1"/>
    <s v="Todd"/>
    <n v="4"/>
    <x v="1"/>
    <s v="Deebo Samuel"/>
    <n v="8.6999999999999993"/>
    <n v="2024"/>
  </r>
  <r>
    <x v="1"/>
    <s v="Todd"/>
    <n v="4"/>
    <x v="2"/>
    <s v="James Conner"/>
    <n v="17.8"/>
    <n v="2024"/>
  </r>
  <r>
    <x v="1"/>
    <s v="Todd"/>
    <n v="4"/>
    <x v="2"/>
    <s v="De'Von Achane"/>
    <n v="4.4000000000000004"/>
    <n v="2024"/>
  </r>
  <r>
    <x v="1"/>
    <s v="Todd"/>
    <n v="4"/>
    <x v="3"/>
    <s v="Kyle Pitts"/>
    <n v="0"/>
    <n v="2024"/>
  </r>
  <r>
    <x v="1"/>
    <s v="Todd"/>
    <n v="4"/>
    <x v="5"/>
    <s v="Chris Boswell"/>
    <n v="8"/>
    <n v="2024"/>
  </r>
  <r>
    <x v="1"/>
    <s v="Todd"/>
    <n v="4"/>
    <x v="4"/>
    <s v="Tennessee"/>
    <n v="13"/>
    <n v="2024"/>
  </r>
  <r>
    <x v="1"/>
    <s v="Todd"/>
    <n v="4"/>
    <x v="6"/>
    <s v="Rashee Rice"/>
    <n v="0"/>
    <n v="2024"/>
  </r>
  <r>
    <x v="11"/>
    <s v="Cam"/>
    <n v="4"/>
    <x v="0"/>
    <s v="Kyler Murray"/>
    <n v="9.98"/>
    <n v="2024"/>
  </r>
  <r>
    <x v="11"/>
    <s v="Cam"/>
    <n v="4"/>
    <x v="1"/>
    <s v="Ja'Marr Chase"/>
    <n v="16"/>
    <n v="2024"/>
  </r>
  <r>
    <x v="11"/>
    <s v="Cam"/>
    <n v="4"/>
    <x v="1"/>
    <s v="Nico Collins"/>
    <n v="27.1"/>
    <n v="2024"/>
  </r>
  <r>
    <x v="11"/>
    <s v="Cam"/>
    <n v="4"/>
    <x v="1"/>
    <s v="Jakobi Meyers"/>
    <n v="7.4"/>
    <n v="2024"/>
  </r>
  <r>
    <x v="11"/>
    <s v="Cam"/>
    <n v="4"/>
    <x v="2"/>
    <s v="Aaron Jones"/>
    <n v="15.9"/>
    <n v="2024"/>
  </r>
  <r>
    <x v="11"/>
    <s v="Cam"/>
    <n v="4"/>
    <x v="2"/>
    <s v="Rhamondre Stevenson"/>
    <n v="6.2"/>
    <n v="2024"/>
  </r>
  <r>
    <x v="11"/>
    <s v="Cam"/>
    <n v="4"/>
    <x v="3"/>
    <s v="George Kittle"/>
    <n v="12.5"/>
    <n v="2024"/>
  </r>
  <r>
    <x v="11"/>
    <s v="Cam"/>
    <n v="4"/>
    <x v="5"/>
    <s v="Evan McPherson"/>
    <n v="13"/>
    <n v="2024"/>
  </r>
  <r>
    <x v="11"/>
    <s v="Cam"/>
    <n v="4"/>
    <x v="4"/>
    <s v="Chicago"/>
    <n v="7"/>
    <n v="2024"/>
  </r>
  <r>
    <x v="11"/>
    <s v="Cam"/>
    <n v="4"/>
    <x v="6"/>
    <s v="Brandon Aiyuk"/>
    <n v="5.8"/>
    <n v="2024"/>
  </r>
  <r>
    <x v="6"/>
    <s v="Will"/>
    <n v="4"/>
    <x v="0"/>
    <s v="Geno Smith"/>
    <n v="21.6"/>
    <n v="2024"/>
  </r>
  <r>
    <x v="6"/>
    <s v="Will"/>
    <n v="4"/>
    <x v="1"/>
    <s v="Amon-Ra St. Brown"/>
    <n v="17.78"/>
    <n v="2024"/>
  </r>
  <r>
    <x v="6"/>
    <s v="Will"/>
    <n v="4"/>
    <x v="1"/>
    <s v="Drake London"/>
    <n v="9.4"/>
    <n v="2024"/>
  </r>
  <r>
    <x v="6"/>
    <s v="Will"/>
    <n v="4"/>
    <x v="1"/>
    <s v="Ladd McConkey"/>
    <n v="15.2"/>
    <n v="2024"/>
  </r>
  <r>
    <x v="6"/>
    <s v="Will"/>
    <n v="4"/>
    <x v="2"/>
    <s v="Travis Etienne"/>
    <n v="6.5"/>
    <n v="2024"/>
  </r>
  <r>
    <x v="6"/>
    <s v="Will"/>
    <n v="4"/>
    <x v="2"/>
    <s v="Zach Charbonet"/>
    <n v="7.9"/>
    <n v="2024"/>
  </r>
  <r>
    <x v="6"/>
    <s v="Will"/>
    <n v="4"/>
    <x v="3"/>
    <s v="Travis Kelce"/>
    <n v="12.4"/>
    <n v="2024"/>
  </r>
  <r>
    <x v="6"/>
    <s v="Will"/>
    <n v="4"/>
    <x v="5"/>
    <s v="Jason Myers"/>
    <n v="3"/>
    <n v="2024"/>
  </r>
  <r>
    <x v="6"/>
    <s v="Will"/>
    <n v="4"/>
    <x v="4"/>
    <s v="Houston"/>
    <n v="1"/>
    <n v="2024"/>
  </r>
  <r>
    <x v="6"/>
    <s v="Will"/>
    <n v="4"/>
    <x v="6"/>
    <s v="Jaxon Smith-Njigba"/>
    <n v="9.1"/>
    <n v="2024"/>
  </r>
  <r>
    <x v="9"/>
    <s v="Tommy"/>
    <n v="4"/>
    <x v="0"/>
    <s v="Josh Allen"/>
    <n v="7.3"/>
    <n v="2024"/>
  </r>
  <r>
    <x v="9"/>
    <s v="Tommy"/>
    <n v="4"/>
    <x v="1"/>
    <s v="Malik Nabers"/>
    <n v="17.100000000000001"/>
    <n v="2024"/>
  </r>
  <r>
    <x v="9"/>
    <s v="Tommy"/>
    <n v="4"/>
    <x v="1"/>
    <s v="Xavier Worthy"/>
    <n v="14.8"/>
    <n v="2024"/>
  </r>
  <r>
    <x v="9"/>
    <s v="Tommy"/>
    <n v="4"/>
    <x v="1"/>
    <s v="DK Metcalf"/>
    <n v="11.9"/>
    <n v="2024"/>
  </r>
  <r>
    <x v="9"/>
    <s v="Tommy"/>
    <n v="4"/>
    <x v="2"/>
    <s v="Kyren Williams"/>
    <n v="18.399999999999999"/>
    <n v="2024"/>
  </r>
  <r>
    <x v="9"/>
    <s v="Tommy"/>
    <n v="4"/>
    <x v="2"/>
    <s v="Saquon Barkley"/>
    <n v="12.6"/>
    <n v="2024"/>
  </r>
  <r>
    <x v="9"/>
    <s v="Tommy"/>
    <n v="4"/>
    <x v="3"/>
    <s v="Mike Gesicki"/>
    <n v="-0.4"/>
    <n v="2024"/>
  </r>
  <r>
    <x v="9"/>
    <s v="Tommy"/>
    <n v="4"/>
    <x v="5"/>
    <s v="Harrison Butker"/>
    <n v="5"/>
    <n v="2024"/>
  </r>
  <r>
    <x v="9"/>
    <s v="Tommy"/>
    <n v="4"/>
    <x v="4"/>
    <s v="San Francisco"/>
    <n v="23"/>
    <n v="2024"/>
  </r>
  <r>
    <x v="9"/>
    <s v="Tommy"/>
    <n v="4"/>
    <x v="7"/>
    <s v="Rachaad White"/>
    <n v="9.4"/>
    <n v="2024"/>
  </r>
  <r>
    <x v="10"/>
    <s v="Brand"/>
    <n v="4"/>
    <x v="0"/>
    <s v="Anthony Richardson"/>
    <n v="5.24"/>
    <n v="2024"/>
  </r>
  <r>
    <x v="10"/>
    <s v="Brand"/>
    <n v="4"/>
    <x v="1"/>
    <s v="Michael Pittman"/>
    <n v="14.3"/>
    <n v="2024"/>
  </r>
  <r>
    <x v="10"/>
    <s v="Brand"/>
    <n v="4"/>
    <x v="1"/>
    <s v="Garrett Wilson"/>
    <n v="4.5999999999999996"/>
    <n v="2024"/>
  </r>
  <r>
    <x v="10"/>
    <s v="Brand"/>
    <n v="4"/>
    <x v="1"/>
    <s v="Jameson Williams"/>
    <n v="15"/>
    <n v="2024"/>
  </r>
  <r>
    <x v="10"/>
    <s v="Brand"/>
    <n v="4"/>
    <x v="2"/>
    <s v="Kenneth Walker"/>
    <n v="31.6"/>
    <n v="2024"/>
  </r>
  <r>
    <x v="10"/>
    <s v="Brand"/>
    <n v="4"/>
    <x v="2"/>
    <s v="Breece Hall"/>
    <n v="2.8"/>
    <n v="2024"/>
  </r>
  <r>
    <x v="10"/>
    <s v="Brand"/>
    <n v="4"/>
    <x v="3"/>
    <s v="Dallas Goedert"/>
    <n v="9.6999999999999993"/>
    <n v="2024"/>
  </r>
  <r>
    <x v="10"/>
    <s v="Brand"/>
    <n v="4"/>
    <x v="5"/>
    <s v="Cairo Santos"/>
    <n v="7"/>
    <n v="2024"/>
  </r>
  <r>
    <x v="10"/>
    <s v="Brand"/>
    <n v="4"/>
    <x v="4"/>
    <s v="Las Vegas"/>
    <n v="10"/>
    <n v="2024"/>
  </r>
  <r>
    <x v="10"/>
    <s v="Brand"/>
    <n v="4"/>
    <x v="6"/>
    <s v="Keenan Allen"/>
    <n v="3.4"/>
    <n v="2024"/>
  </r>
  <r>
    <x v="3"/>
    <s v="Kevin"/>
    <n v="4"/>
    <x v="0"/>
    <s v="CJ Stroud"/>
    <n v="23.5"/>
    <n v="2024"/>
  </r>
  <r>
    <x v="3"/>
    <s v="Kevin"/>
    <n v="4"/>
    <x v="1"/>
    <s v="Jordan Addison"/>
    <n v="21.4"/>
    <n v="2024"/>
  </r>
  <r>
    <x v="3"/>
    <s v="Kevin"/>
    <n v="4"/>
    <x v="1"/>
    <s v="Marvin Harrison Jr"/>
    <n v="13"/>
    <n v="2024"/>
  </r>
  <r>
    <x v="3"/>
    <s v="Kevin"/>
    <n v="4"/>
    <x v="1"/>
    <s v="George Pickens"/>
    <n v="12.8"/>
    <n v="2024"/>
  </r>
  <r>
    <x v="3"/>
    <s v="Kevin"/>
    <n v="4"/>
    <x v="2"/>
    <s v="Chuba Hubbard"/>
    <n v="20.100000000000001"/>
    <n v="2024"/>
  </r>
  <r>
    <x v="3"/>
    <s v="Kevin"/>
    <n v="4"/>
    <x v="2"/>
    <s v="Najee Harris"/>
    <n v="8.8000000000000007"/>
    <n v="2024"/>
  </r>
  <r>
    <x v="3"/>
    <s v="Kevin"/>
    <n v="4"/>
    <x v="3"/>
    <s v="Hunter Henry"/>
    <n v="2.2000000000000002"/>
    <n v="2024"/>
  </r>
  <r>
    <x v="3"/>
    <s v="Kevin"/>
    <n v="4"/>
    <x v="5"/>
    <s v="Justin Tucker"/>
    <n v="5"/>
    <n v="2024"/>
  </r>
  <r>
    <x v="3"/>
    <s v="Kevin"/>
    <n v="4"/>
    <x v="4"/>
    <s v="Cleveland"/>
    <n v="12"/>
    <n v="2024"/>
  </r>
  <r>
    <x v="3"/>
    <s v="Kevin"/>
    <n v="4"/>
    <x v="6"/>
    <s v="Chris Olave"/>
    <n v="12.7"/>
    <n v="2024"/>
  </r>
  <r>
    <x v="0"/>
    <s v="Brenton"/>
    <n v="5"/>
    <x v="0"/>
    <s v="Baker Mayfield"/>
    <n v="23.4"/>
    <n v="2024"/>
  </r>
  <r>
    <x v="0"/>
    <s v="Brenton"/>
    <n v="5"/>
    <x v="1"/>
    <s v="Jayden Reed"/>
    <n v="11.7"/>
    <n v="2024"/>
  </r>
  <r>
    <x v="0"/>
    <s v="Brenton"/>
    <n v="5"/>
    <x v="1"/>
    <s v="Tyreek Hill"/>
    <n v="9.9"/>
    <n v="2024"/>
  </r>
  <r>
    <x v="0"/>
    <s v="Brenton"/>
    <n v="5"/>
    <x v="1"/>
    <s v="Courtland Sutton"/>
    <n v="4.2"/>
    <n v="2024"/>
  </r>
  <r>
    <x v="0"/>
    <s v="Brenton"/>
    <n v="5"/>
    <x v="2"/>
    <s v="Javonte Williams"/>
    <n v="13.6"/>
    <n v="2024"/>
  </r>
  <r>
    <x v="0"/>
    <s v="Brenton"/>
    <n v="5"/>
    <x v="2"/>
    <s v="Jerome Ford"/>
    <n v="6.4"/>
    <n v="2024"/>
  </r>
  <r>
    <x v="0"/>
    <s v="Brenton"/>
    <n v="5"/>
    <x v="3"/>
    <s v="Trey McBride"/>
    <n v="8.3000000000000007"/>
    <n v="2024"/>
  </r>
  <r>
    <x v="0"/>
    <s v="Brenton"/>
    <n v="5"/>
    <x v="5"/>
    <s v="Tyler Bass"/>
    <n v="8"/>
    <n v="2024"/>
  </r>
  <r>
    <x v="0"/>
    <s v="Brenton"/>
    <n v="5"/>
    <x v="4"/>
    <s v="New England"/>
    <n v="9"/>
    <n v="2024"/>
  </r>
  <r>
    <x v="0"/>
    <s v="Brenton"/>
    <n v="5"/>
    <x v="6"/>
    <s v="Dontayvion Wicks"/>
    <n v="3"/>
    <n v="2024"/>
  </r>
  <r>
    <x v="4"/>
    <s v="Eli"/>
    <n v="5"/>
    <x v="0"/>
    <s v="Deshaun Watson"/>
    <n v="8.4"/>
    <n v="2024"/>
  </r>
  <r>
    <x v="4"/>
    <s v="Eli"/>
    <n v="5"/>
    <x v="1"/>
    <s v="DJ Moore"/>
    <n v="25"/>
    <n v="2024"/>
  </r>
  <r>
    <x v="4"/>
    <s v="Eli"/>
    <n v="5"/>
    <x v="1"/>
    <s v="Justin Jefferson"/>
    <n v="12.2"/>
    <n v="2024"/>
  </r>
  <r>
    <x v="4"/>
    <s v="Eli"/>
    <n v="5"/>
    <x v="1"/>
    <s v="Rome Odunze"/>
    <n v="6.5"/>
    <n v="2024"/>
  </r>
  <r>
    <x v="4"/>
    <s v="Eli"/>
    <n v="5"/>
    <x v="2"/>
    <s v="Bijan Robinson"/>
    <n v="9.1999999999999993"/>
    <n v="2024"/>
  </r>
  <r>
    <x v="4"/>
    <s v="Eli"/>
    <n v="5"/>
    <x v="2"/>
    <s v="Jordan Mason"/>
    <n v="8.3000000000000007"/>
    <n v="2024"/>
  </r>
  <r>
    <x v="4"/>
    <s v="Eli"/>
    <n v="5"/>
    <x v="3"/>
    <s v="David Njoku"/>
    <n v="1.9"/>
    <n v="2024"/>
  </r>
  <r>
    <x v="4"/>
    <s v="Eli"/>
    <n v="5"/>
    <x v="5"/>
    <s v="Jake Moody"/>
    <n v="8"/>
    <n v="2024"/>
  </r>
  <r>
    <x v="4"/>
    <s v="Eli"/>
    <n v="5"/>
    <x v="4"/>
    <s v="NYJ"/>
    <n v="10"/>
    <n v="2024"/>
  </r>
  <r>
    <x v="4"/>
    <s v="Eli"/>
    <n v="5"/>
    <x v="6"/>
    <s v="Xavier Legette"/>
    <n v="1.3"/>
    <n v="2024"/>
  </r>
  <r>
    <x v="2"/>
    <s v="Mike"/>
    <n v="5"/>
    <x v="0"/>
    <s v="Justin Fields"/>
    <n v="15.94"/>
    <n v="2024"/>
  </r>
  <r>
    <x v="2"/>
    <s v="Mike"/>
    <n v="5"/>
    <x v="1"/>
    <s v="Mike Evans"/>
    <n v="20.7"/>
    <n v="2024"/>
  </r>
  <r>
    <x v="2"/>
    <s v="Mike"/>
    <n v="5"/>
    <x v="1"/>
    <s v="Tutu Atwell"/>
    <n v="9.5"/>
    <n v="2024"/>
  </r>
  <r>
    <x v="2"/>
    <s v="Mike"/>
    <n v="5"/>
    <x v="1"/>
    <s v="Tank Dell"/>
    <n v="5.3"/>
    <n v="2024"/>
  </r>
  <r>
    <x v="2"/>
    <s v="Mike"/>
    <n v="5"/>
    <x v="2"/>
    <s v="Derrick Henry"/>
    <n v="16.100000000000001"/>
    <n v="2024"/>
  </r>
  <r>
    <x v="2"/>
    <s v="Mike"/>
    <n v="5"/>
    <x v="2"/>
    <s v="Kareem Hunt"/>
    <n v="18.2"/>
    <n v="2024"/>
  </r>
  <r>
    <x v="2"/>
    <s v="Mike"/>
    <n v="5"/>
    <x v="3"/>
    <s v="Jake Ferguson"/>
    <n v="10"/>
    <n v="2024"/>
  </r>
  <r>
    <x v="2"/>
    <s v="Mike"/>
    <n v="5"/>
    <x v="5"/>
    <s v="Younghoe Koo"/>
    <n v="16"/>
    <n v="2024"/>
  </r>
  <r>
    <x v="2"/>
    <s v="Mike"/>
    <n v="5"/>
    <x v="4"/>
    <s v="Buffalo"/>
    <n v="1"/>
    <n v="2024"/>
  </r>
  <r>
    <x v="2"/>
    <s v="Mike"/>
    <n v="5"/>
    <x v="7"/>
    <s v="Chase Brown"/>
    <n v="14.9"/>
    <n v="2024"/>
  </r>
  <r>
    <x v="11"/>
    <s v="Cam"/>
    <n v="5"/>
    <x v="0"/>
    <s v="Joe Burrow"/>
    <n v="33.78"/>
    <n v="2024"/>
  </r>
  <r>
    <x v="11"/>
    <s v="Cam"/>
    <n v="5"/>
    <x v="1"/>
    <s v="Ja'Marr Chase"/>
    <n v="36.299999999999997"/>
    <n v="2024"/>
  </r>
  <r>
    <x v="11"/>
    <s v="Cam"/>
    <n v="5"/>
    <x v="1"/>
    <s v="Brandon Aiyuk"/>
    <n v="18.7"/>
    <n v="2024"/>
  </r>
  <r>
    <x v="11"/>
    <s v="Cam"/>
    <n v="5"/>
    <x v="1"/>
    <s v="Nico Collins"/>
    <n v="14.8"/>
    <n v="2024"/>
  </r>
  <r>
    <x v="11"/>
    <s v="Cam"/>
    <n v="5"/>
    <x v="2"/>
    <s v="D'Andre Swift"/>
    <n v="19"/>
    <n v="2024"/>
  </r>
  <r>
    <x v="11"/>
    <s v="Cam"/>
    <n v="5"/>
    <x v="2"/>
    <s v="Aaron Jones"/>
    <n v="5.8"/>
    <n v="2024"/>
  </r>
  <r>
    <x v="11"/>
    <s v="Cam"/>
    <n v="5"/>
    <x v="3"/>
    <s v="George Kittle"/>
    <n v="16.399999999999999"/>
    <n v="2024"/>
  </r>
  <r>
    <x v="11"/>
    <s v="Cam"/>
    <n v="5"/>
    <x v="5"/>
    <s v="Evan McPherson"/>
    <n v="4"/>
    <n v="2024"/>
  </r>
  <r>
    <x v="11"/>
    <s v="Cam"/>
    <n v="5"/>
    <x v="4"/>
    <s v="Chicago"/>
    <n v="15"/>
    <n v="2024"/>
  </r>
  <r>
    <x v="11"/>
    <s v="Cam"/>
    <n v="5"/>
    <x v="6"/>
    <s v="Wan'Dale Robinson"/>
    <n v="13"/>
    <n v="2024"/>
  </r>
  <r>
    <x v="10"/>
    <s v="Brand"/>
    <n v="5"/>
    <x v="0"/>
    <s v="Joe Flacco"/>
    <n v="26.56"/>
    <n v="2024"/>
  </r>
  <r>
    <x v="10"/>
    <s v="Brand"/>
    <n v="5"/>
    <x v="1"/>
    <s v="Garrett Wilson"/>
    <n v="22.6"/>
    <n v="2024"/>
  </r>
  <r>
    <x v="10"/>
    <s v="Brand"/>
    <n v="5"/>
    <x v="1"/>
    <s v="Michael Pittman"/>
    <n v="12.2"/>
    <n v="2024"/>
  </r>
  <r>
    <x v="10"/>
    <s v="Brand"/>
    <n v="5"/>
    <x v="1"/>
    <s v="Keenan Allen"/>
    <n v="4.8"/>
    <n v="2024"/>
  </r>
  <r>
    <x v="10"/>
    <s v="Brand"/>
    <n v="5"/>
    <x v="2"/>
    <s v="Kenneth Walker"/>
    <n v="11.1"/>
    <n v="2024"/>
  </r>
  <r>
    <x v="10"/>
    <s v="Brand"/>
    <n v="5"/>
    <x v="2"/>
    <s v="Breece Hall"/>
    <n v="5.2"/>
    <n v="2024"/>
  </r>
  <r>
    <x v="10"/>
    <s v="Brand"/>
    <n v="5"/>
    <x v="3"/>
    <s v="Zach Ertz"/>
    <n v="2"/>
    <n v="2024"/>
  </r>
  <r>
    <x v="10"/>
    <s v="Brand"/>
    <n v="5"/>
    <x v="5"/>
    <s v="Cairo Santos"/>
    <n v="5"/>
    <n v="2024"/>
  </r>
  <r>
    <x v="10"/>
    <s v="Brand"/>
    <n v="5"/>
    <x v="4"/>
    <s v="Indianapolis"/>
    <n v="-4"/>
    <n v="2024"/>
  </r>
  <r>
    <x v="10"/>
    <s v="Brand"/>
    <n v="5"/>
    <x v="7"/>
    <s v="Bucky Irving"/>
    <n v="4.5999999999999996"/>
    <n v="2024"/>
  </r>
  <r>
    <x v="5"/>
    <s v="Burnett/Jasjaap"/>
    <n v="5"/>
    <x v="0"/>
    <s v="Brock Purdy"/>
    <n v="13.06"/>
    <n v="2024"/>
  </r>
  <r>
    <x v="5"/>
    <s v="Burnett/Jasjaap"/>
    <n v="5"/>
    <x v="1"/>
    <s v="Rashid Shaheed"/>
    <n v="16.600000000000001"/>
    <n v="2024"/>
  </r>
  <r>
    <x v="5"/>
    <s v="Burnett/Jasjaap"/>
    <n v="5"/>
    <x v="1"/>
    <s v="CeeDee Lamb"/>
    <n v="8.9"/>
    <n v="2024"/>
  </r>
  <r>
    <x v="5"/>
    <s v="Burnett/Jasjaap"/>
    <n v="5"/>
    <x v="1"/>
    <s v="Jordan Whittington"/>
    <n v="12.4"/>
    <n v="2024"/>
  </r>
  <r>
    <x v="5"/>
    <s v="Burnett/Jasjaap"/>
    <n v="5"/>
    <x v="2"/>
    <s v="Josh Jacobs"/>
    <n v="15.9"/>
    <n v="2024"/>
  </r>
  <r>
    <x v="5"/>
    <s v="Burnett/Jasjaap"/>
    <n v="5"/>
    <x v="2"/>
    <s v="Rico Dowdle"/>
    <n v="18.399999999999999"/>
    <n v="2024"/>
  </r>
  <r>
    <x v="5"/>
    <s v="Burnett/Jasjaap"/>
    <n v="5"/>
    <x v="3"/>
    <s v="Brock Bowers"/>
    <n v="19.7"/>
    <n v="2024"/>
  </r>
  <r>
    <x v="5"/>
    <s v="Burnett/Jasjaap"/>
    <n v="5"/>
    <x v="5"/>
    <s v="Austin Seibert"/>
    <n v="10"/>
    <n v="2024"/>
  </r>
  <r>
    <x v="5"/>
    <s v="Burnett/Jasjaap"/>
    <n v="5"/>
    <x v="4"/>
    <s v="Pittsburgh"/>
    <n v="7"/>
    <n v="2024"/>
  </r>
  <r>
    <x v="5"/>
    <s v="Burnett/Jasjaap"/>
    <n v="5"/>
    <x v="6"/>
    <s v="Jaylen Waddle"/>
    <n v="6.6"/>
    <n v="2024"/>
  </r>
  <r>
    <x v="6"/>
    <s v="Will"/>
    <n v="5"/>
    <x v="0"/>
    <s v="Geno Smith"/>
    <n v="22.56"/>
    <n v="2024"/>
  </r>
  <r>
    <x v="6"/>
    <s v="Will"/>
    <n v="5"/>
    <x v="1"/>
    <s v="Drake London"/>
    <n v="27.4"/>
    <n v="2024"/>
  </r>
  <r>
    <x v="6"/>
    <s v="Will"/>
    <n v="5"/>
    <x v="1"/>
    <s v="Jaxon Smith-Njigba"/>
    <n v="11.1"/>
    <n v="2024"/>
  </r>
  <r>
    <x v="6"/>
    <s v="Will"/>
    <n v="5"/>
    <x v="1"/>
    <s v="Keon Coleman"/>
    <n v="11.4"/>
    <n v="2024"/>
  </r>
  <r>
    <x v="6"/>
    <s v="Will"/>
    <n v="5"/>
    <x v="2"/>
    <s v="Travis Etienne"/>
    <n v="9"/>
    <n v="2024"/>
  </r>
  <r>
    <x v="6"/>
    <s v="Will"/>
    <n v="5"/>
    <x v="2"/>
    <s v="Austin Ekeler"/>
    <n v="10.7"/>
    <n v="2024"/>
  </r>
  <r>
    <x v="6"/>
    <s v="Will"/>
    <n v="5"/>
    <x v="3"/>
    <s v="Travis Kelce"/>
    <n v="11.5"/>
    <n v="2024"/>
  </r>
  <r>
    <x v="6"/>
    <s v="Will"/>
    <n v="5"/>
    <x v="5"/>
    <s v="Jason Myers"/>
    <n v="9"/>
    <n v="2024"/>
  </r>
  <r>
    <x v="6"/>
    <s v="Will"/>
    <n v="5"/>
    <x v="4"/>
    <s v="Houston"/>
    <n v="3"/>
    <n v="2024"/>
  </r>
  <r>
    <x v="6"/>
    <s v="Will"/>
    <n v="5"/>
    <x v="7"/>
    <s v="Zach Charbonet"/>
    <n v="4.5"/>
    <n v="2024"/>
  </r>
  <r>
    <x v="8"/>
    <s v="Schulwolf"/>
    <n v="5"/>
    <x v="0"/>
    <s v="Jayden Daniels"/>
    <n v="19.72"/>
    <n v="2024"/>
  </r>
  <r>
    <x v="8"/>
    <s v="Schulwolf"/>
    <n v="5"/>
    <x v="1"/>
    <s v="Terry McLaurin"/>
    <n v="11.4"/>
    <n v="2024"/>
  </r>
  <r>
    <x v="8"/>
    <s v="Schulwolf"/>
    <n v="5"/>
    <x v="1"/>
    <s v="Chris Godwin"/>
    <n v="9.1"/>
    <n v="2024"/>
  </r>
  <r>
    <x v="8"/>
    <s v="Schulwolf"/>
    <n v="5"/>
    <x v="1"/>
    <s v="Tyler Lockett"/>
    <n v="9.5"/>
    <n v="2024"/>
  </r>
  <r>
    <x v="8"/>
    <s v="Schulwolf"/>
    <n v="5"/>
    <x v="2"/>
    <s v="James Cook"/>
    <n v="16.899999999999999"/>
    <n v="2024"/>
  </r>
  <r>
    <x v="8"/>
    <s v="Schulwolf"/>
    <n v="5"/>
    <x v="2"/>
    <s v="Zack Moss"/>
    <n v="6.7"/>
    <n v="2024"/>
  </r>
  <r>
    <x v="8"/>
    <s v="Schulwolf"/>
    <n v="5"/>
    <x v="3"/>
    <s v="Dalton Kincaid"/>
    <n v="4.4000000000000004"/>
    <n v="2024"/>
  </r>
  <r>
    <x v="8"/>
    <s v="Schulwolf"/>
    <n v="5"/>
    <x v="5"/>
    <s v="Brandon Aubrey"/>
    <n v="9"/>
    <n v="2024"/>
  </r>
  <r>
    <x v="8"/>
    <s v="Schulwolf"/>
    <n v="5"/>
    <x v="4"/>
    <s v="Denver"/>
    <n v="15"/>
    <n v="2024"/>
  </r>
  <r>
    <x v="8"/>
    <s v="Schulwolf"/>
    <n v="5"/>
    <x v="6"/>
    <s v="Jerry Jeudy"/>
    <n v="2.1"/>
    <n v="2024"/>
  </r>
  <r>
    <x v="1"/>
    <s v="Todd"/>
    <n v="5"/>
    <x v="0"/>
    <s v="Sam Darnold"/>
    <n v="4.26"/>
    <n v="2024"/>
  </r>
  <r>
    <x v="1"/>
    <s v="Todd"/>
    <n v="5"/>
    <x v="1"/>
    <s v="Brian Thomas Jr"/>
    <n v="20.7"/>
    <n v="2024"/>
  </r>
  <r>
    <x v="1"/>
    <s v="Todd"/>
    <n v="5"/>
    <x v="1"/>
    <s v="Darnell Mooney"/>
    <n v="27"/>
    <n v="2024"/>
  </r>
  <r>
    <x v="1"/>
    <s v="Todd"/>
    <n v="5"/>
    <x v="1"/>
    <s v="Diontae Johnson"/>
    <n v="4.4000000000000004"/>
    <n v="2024"/>
  </r>
  <r>
    <x v="1"/>
    <s v="Todd"/>
    <n v="5"/>
    <x v="2"/>
    <s v="James Conner"/>
    <n v="13"/>
    <n v="2024"/>
  </r>
  <r>
    <x v="1"/>
    <s v="Todd"/>
    <n v="5"/>
    <x v="2"/>
    <s v="De'Von Achane"/>
    <n v="2.2000000000000002"/>
    <n v="2024"/>
  </r>
  <r>
    <x v="1"/>
    <s v="Todd"/>
    <n v="5"/>
    <x v="3"/>
    <s v="Tucker Kraft"/>
    <n v="22.8"/>
    <n v="2024"/>
  </r>
  <r>
    <x v="1"/>
    <s v="Todd"/>
    <n v="5"/>
    <x v="5"/>
    <s v="Chris Boswell"/>
    <n v="6"/>
    <n v="2024"/>
  </r>
  <r>
    <x v="1"/>
    <s v="Todd"/>
    <n v="5"/>
    <x v="4"/>
    <s v="Green Bay"/>
    <n v="12"/>
    <n v="2024"/>
  </r>
  <r>
    <x v="1"/>
    <s v="Todd"/>
    <n v="5"/>
    <x v="6"/>
    <s v="Deebo Samuel"/>
    <n v="2.5"/>
    <n v="2024"/>
  </r>
  <r>
    <x v="9"/>
    <s v="Tommy"/>
    <n v="5"/>
    <x v="0"/>
    <s v="Josh Allen"/>
    <n v="14.64"/>
    <n v="2024"/>
  </r>
  <r>
    <x v="9"/>
    <s v="Tommy"/>
    <n v="5"/>
    <x v="1"/>
    <s v="Xavier Worthy"/>
    <n v="10.3"/>
    <n v="2024"/>
  </r>
  <r>
    <x v="9"/>
    <s v="Tommy"/>
    <n v="5"/>
    <x v="1"/>
    <s v="Allen Lazard"/>
    <n v="11.4"/>
    <n v="2024"/>
  </r>
  <r>
    <x v="9"/>
    <s v="Tommy"/>
    <n v="5"/>
    <x v="1"/>
    <s v="Michael Wilson"/>
    <n v="10.3"/>
    <n v="2024"/>
  </r>
  <r>
    <x v="9"/>
    <s v="Tommy"/>
    <n v="5"/>
    <x v="2"/>
    <s v="Kyren Williams"/>
    <n v="15"/>
    <n v="2024"/>
  </r>
  <r>
    <x v="9"/>
    <s v="Tommy"/>
    <n v="5"/>
    <x v="2"/>
    <s v="Rachaad White"/>
    <n v="8.1"/>
    <n v="2024"/>
  </r>
  <r>
    <x v="9"/>
    <s v="Tommy"/>
    <n v="5"/>
    <x v="3"/>
    <s v="Cade Otton"/>
    <n v="5.9"/>
    <n v="2024"/>
  </r>
  <r>
    <x v="9"/>
    <s v="Tommy"/>
    <n v="5"/>
    <x v="5"/>
    <s v="Harrison Butker"/>
    <n v="14"/>
    <n v="2024"/>
  </r>
  <r>
    <x v="9"/>
    <s v="Tommy"/>
    <n v="5"/>
    <x v="4"/>
    <s v="Minnesota"/>
    <n v="17"/>
    <n v="2024"/>
  </r>
  <r>
    <x v="9"/>
    <s v="Tommy"/>
    <n v="5"/>
    <x v="6"/>
    <s v="DK Metcalf"/>
    <n v="5.5"/>
    <n v="2024"/>
  </r>
  <r>
    <x v="7"/>
    <s v="Jay"/>
    <n v="5"/>
    <x v="0"/>
    <s v="Lamar Jackson"/>
    <n v="33.42"/>
    <n v="2024"/>
  </r>
  <r>
    <x v="7"/>
    <s v="Jay"/>
    <n v="5"/>
    <x v="1"/>
    <s v="Stefon Diggs"/>
    <n v="11.2"/>
    <n v="2024"/>
  </r>
  <r>
    <x v="7"/>
    <s v="Jay"/>
    <n v="5"/>
    <x v="1"/>
    <s v="Amari Cooper"/>
    <n v="8"/>
    <n v="2024"/>
  </r>
  <r>
    <x v="7"/>
    <s v="Jay"/>
    <n v="5"/>
    <x v="1"/>
    <s v="Jauan Jennings"/>
    <n v="1.8"/>
    <n v="2024"/>
  </r>
  <r>
    <x v="7"/>
    <s v="Jay"/>
    <n v="5"/>
    <x v="2"/>
    <s v="Trey Sermon"/>
    <n v="15.3"/>
    <n v="2024"/>
  </r>
  <r>
    <x v="7"/>
    <s v="Jay"/>
    <n v="5"/>
    <x v="2"/>
    <s v="Brian Robinson"/>
    <n v="13.8"/>
    <n v="2024"/>
  </r>
  <r>
    <x v="7"/>
    <s v="Jay"/>
    <n v="5"/>
    <x v="3"/>
    <s v="Tyler Conklin"/>
    <n v="8.5"/>
    <n v="2024"/>
  </r>
  <r>
    <x v="7"/>
    <s v="Jay"/>
    <n v="5"/>
    <x v="5"/>
    <s v="Ka'imi Fairbairn"/>
    <n v="16"/>
    <n v="2024"/>
  </r>
  <r>
    <x v="7"/>
    <s v="Jay"/>
    <n v="5"/>
    <x v="4"/>
    <s v="Miami"/>
    <n v="7"/>
    <n v="2024"/>
  </r>
  <r>
    <x v="7"/>
    <s v="Jay"/>
    <n v="5"/>
    <x v="7"/>
    <s v="Alvin Kamara"/>
    <n v="9.6"/>
    <n v="2024"/>
  </r>
  <r>
    <x v="3"/>
    <s v="Kevin"/>
    <n v="5"/>
    <x v="0"/>
    <s v="CJ Stroud"/>
    <n v="15.94"/>
    <n v="2024"/>
  </r>
  <r>
    <x v="3"/>
    <s v="Kevin"/>
    <n v="5"/>
    <x v="1"/>
    <s v="Jordan Addison"/>
    <n v="5.0999999999999996"/>
    <n v="2024"/>
  </r>
  <r>
    <x v="3"/>
    <s v="Kevin"/>
    <n v="5"/>
    <x v="1"/>
    <s v="Marvin Harrison Jr"/>
    <n v="4.5999999999999996"/>
    <n v="2024"/>
  </r>
  <r>
    <x v="3"/>
    <s v="Kevin"/>
    <n v="5"/>
    <x v="1"/>
    <s v="George Pickens"/>
    <n v="4.0999999999999996"/>
    <n v="2024"/>
  </r>
  <r>
    <x v="3"/>
    <s v="Kevin"/>
    <n v="5"/>
    <x v="2"/>
    <s v="Chuba Hubbard"/>
    <n v="15.5"/>
    <n v="2024"/>
  </r>
  <r>
    <x v="3"/>
    <s v="Kevin"/>
    <n v="5"/>
    <x v="2"/>
    <s v="Najee Harris"/>
    <n v="8.6999999999999993"/>
    <n v="2024"/>
  </r>
  <r>
    <x v="3"/>
    <s v="Kevin"/>
    <n v="5"/>
    <x v="3"/>
    <s v="Hunter Henry"/>
    <n v="4.2"/>
    <n v="2024"/>
  </r>
  <r>
    <x v="3"/>
    <s v="Kevin"/>
    <n v="5"/>
    <x v="5"/>
    <s v="Justin Tucker"/>
    <n v="13"/>
    <n v="2024"/>
  </r>
  <r>
    <x v="3"/>
    <s v="Kevin"/>
    <n v="5"/>
    <x v="4"/>
    <s v="Seattle"/>
    <n v="7"/>
    <n v="2024"/>
  </r>
  <r>
    <x v="3"/>
    <s v="Kevin"/>
    <n v="5"/>
    <x v="6"/>
    <s v="Chris Olave"/>
    <n v="2"/>
    <n v="2024"/>
  </r>
  <r>
    <x v="0"/>
    <s v="Brenton"/>
    <n v="6"/>
    <x v="0"/>
    <s v="Daniel Jones"/>
    <n v="11.8"/>
    <n v="2024"/>
  </r>
  <r>
    <x v="0"/>
    <s v="Brenton"/>
    <n v="6"/>
    <x v="1"/>
    <s v="Jayden Reed"/>
    <n v="11.8"/>
    <n v="2024"/>
  </r>
  <r>
    <x v="0"/>
    <s v="Brenton"/>
    <n v="6"/>
    <x v="1"/>
    <s v="Courtland Sutton"/>
    <n v="13.3"/>
    <n v="2024"/>
  </r>
  <r>
    <x v="0"/>
    <s v="Brenton"/>
    <n v="6"/>
    <x v="1"/>
    <s v="Zay Flowers"/>
    <n v="17.899999999999999"/>
    <n v="2024"/>
  </r>
  <r>
    <x v="0"/>
    <s v="Brenton"/>
    <n v="6"/>
    <x v="2"/>
    <s v="Javonte Williams"/>
    <n v="3.1"/>
    <n v="2024"/>
  </r>
  <r>
    <x v="0"/>
    <s v="Brenton"/>
    <n v="6"/>
    <x v="2"/>
    <s v="Tank Bigsby"/>
    <n v="2.4"/>
    <n v="2024"/>
  </r>
  <r>
    <x v="0"/>
    <s v="Brenton"/>
    <n v="6"/>
    <x v="3"/>
    <s v="Trey McBride"/>
    <n v="13.6"/>
    <n v="2024"/>
  </r>
  <r>
    <x v="0"/>
    <s v="Brenton"/>
    <n v="6"/>
    <x v="5"/>
    <s v="Jake Elliott"/>
    <n v="10"/>
    <n v="2024"/>
  </r>
  <r>
    <x v="0"/>
    <s v="Brenton"/>
    <n v="6"/>
    <x v="4"/>
    <s v="Atlanta"/>
    <n v="4"/>
    <n v="2024"/>
  </r>
  <r>
    <x v="0"/>
    <s v="Brenton"/>
    <n v="6"/>
    <x v="6"/>
    <s v="Dontayvion Wicks"/>
    <n v="1.4"/>
    <n v="2024"/>
  </r>
  <r>
    <x v="11"/>
    <s v="Cam"/>
    <n v="6"/>
    <x v="0"/>
    <s v="Joe Burrow"/>
    <n v="19.82"/>
    <n v="2024"/>
  </r>
  <r>
    <x v="11"/>
    <s v="Cam"/>
    <n v="6"/>
    <x v="1"/>
    <s v="Josh Downs"/>
    <n v="16"/>
    <n v="2024"/>
  </r>
  <r>
    <x v="11"/>
    <s v="Cam"/>
    <n v="6"/>
    <x v="1"/>
    <s v="Ja'Marr Chase"/>
    <n v="9.6999999999999993"/>
    <n v="2024"/>
  </r>
  <r>
    <x v="11"/>
    <s v="Cam"/>
    <n v="6"/>
    <x v="1"/>
    <s v="Wan'Dale Robinson"/>
    <n v="7.5"/>
    <n v="2024"/>
  </r>
  <r>
    <x v="11"/>
    <s v="Cam"/>
    <n v="6"/>
    <x v="2"/>
    <s v="D'Andre Swift"/>
    <n v="19.899999999999999"/>
    <n v="2024"/>
  </r>
  <r>
    <x v="11"/>
    <s v="Cam"/>
    <n v="6"/>
    <x v="2"/>
    <s v="JK Dobbins"/>
    <n v="17.2"/>
    <n v="2024"/>
  </r>
  <r>
    <x v="11"/>
    <s v="Cam"/>
    <n v="6"/>
    <x v="3"/>
    <s v="George Kittle"/>
    <n v="20.3"/>
    <n v="2024"/>
  </r>
  <r>
    <x v="11"/>
    <s v="Cam"/>
    <n v="6"/>
    <x v="5"/>
    <s v="Evan McPherson"/>
    <n v="5"/>
    <n v="2024"/>
  </r>
  <r>
    <x v="11"/>
    <s v="Cam"/>
    <n v="6"/>
    <x v="4"/>
    <s v="Chicago"/>
    <n v="10"/>
    <n v="2024"/>
  </r>
  <r>
    <x v="11"/>
    <s v="Cam"/>
    <n v="6"/>
    <x v="6"/>
    <s v="Brandon Aiyuk"/>
    <n v="4.7"/>
    <n v="2024"/>
  </r>
  <r>
    <x v="2"/>
    <s v="Mike"/>
    <n v="6"/>
    <x v="0"/>
    <s v="Justin Fields"/>
    <n v="23.7"/>
    <n v="2024"/>
  </r>
  <r>
    <x v="2"/>
    <s v="Mike"/>
    <n v="6"/>
    <x v="1"/>
    <s v="Tank Dell"/>
    <n v="15.2"/>
    <n v="2024"/>
  </r>
  <r>
    <x v="2"/>
    <s v="Mike"/>
    <n v="6"/>
    <x v="1"/>
    <s v="Mike Evans"/>
    <n v="4.4000000000000004"/>
    <n v="2024"/>
  </r>
  <r>
    <x v="2"/>
    <s v="Mike"/>
    <n v="6"/>
    <x v="1"/>
    <s v="Ray-Ray McCloud"/>
    <n v="2.8"/>
    <n v="2024"/>
  </r>
  <r>
    <x v="2"/>
    <s v="Mike"/>
    <n v="6"/>
    <x v="2"/>
    <s v="Derrick Henry"/>
    <n v="25.2"/>
    <n v="2024"/>
  </r>
  <r>
    <x v="2"/>
    <s v="Mike"/>
    <n v="6"/>
    <x v="2"/>
    <s v="Chase Brown"/>
    <n v="13.4"/>
    <n v="2024"/>
  </r>
  <r>
    <x v="2"/>
    <s v="Mike"/>
    <n v="6"/>
    <x v="3"/>
    <s v="Sam LaPorta"/>
    <n v="11.7"/>
    <n v="2024"/>
  </r>
  <r>
    <x v="2"/>
    <s v="Mike"/>
    <n v="6"/>
    <x v="5"/>
    <s v="Younghoe Koo"/>
    <n v="12"/>
    <n v="2024"/>
  </r>
  <r>
    <x v="2"/>
    <s v="Mike"/>
    <n v="6"/>
    <x v="4"/>
    <s v="Buffalo"/>
    <n v="5"/>
    <n v="2024"/>
  </r>
  <r>
    <x v="2"/>
    <s v="Mike"/>
    <n v="6"/>
    <x v="8"/>
    <s v="Jake Ferguson"/>
    <n v="2.6"/>
    <n v="2024"/>
  </r>
  <r>
    <x v="9"/>
    <s v="Tommy"/>
    <n v="6"/>
    <x v="0"/>
    <s v="Josh Allen"/>
    <n v="24.4"/>
    <n v="2024"/>
  </r>
  <r>
    <x v="9"/>
    <s v="Tommy"/>
    <n v="6"/>
    <x v="1"/>
    <s v="Allen Lazard"/>
    <n v="20.399999999999999"/>
    <n v="2024"/>
  </r>
  <r>
    <x v="9"/>
    <s v="Tommy"/>
    <n v="6"/>
    <x v="1"/>
    <s v="Romeo Doubs"/>
    <n v="18.399999999999999"/>
    <n v="2024"/>
  </r>
  <r>
    <x v="9"/>
    <s v="Tommy"/>
    <n v="6"/>
    <x v="1"/>
    <s v="Michael Wilson"/>
    <n v="9.1"/>
    <n v="2024"/>
  </r>
  <r>
    <x v="9"/>
    <s v="Tommy"/>
    <n v="6"/>
    <x v="2"/>
    <s v="Alexander Mattison"/>
    <n v="15"/>
    <n v="2024"/>
  </r>
  <r>
    <x v="9"/>
    <s v="Tommy"/>
    <n v="6"/>
    <x v="2"/>
    <s v="Saquon Barkley"/>
    <n v="6.4"/>
    <n v="2024"/>
  </r>
  <r>
    <x v="9"/>
    <s v="Tommy"/>
    <n v="6"/>
    <x v="3"/>
    <s v="Cade Otton"/>
    <n v="8.5"/>
    <n v="2024"/>
  </r>
  <r>
    <x v="9"/>
    <s v="Tommy"/>
    <n v="6"/>
    <x v="5"/>
    <s v="Chase McLaughlin"/>
    <n v="9"/>
    <n v="2024"/>
  </r>
  <r>
    <x v="9"/>
    <s v="Tommy"/>
    <n v="6"/>
    <x v="4"/>
    <s v="San Francisco"/>
    <n v="6"/>
    <n v="2024"/>
  </r>
  <r>
    <x v="9"/>
    <s v="Tommy"/>
    <n v="6"/>
    <x v="6"/>
    <s v="DK Metcalf"/>
    <n v="6.3"/>
    <n v="2024"/>
  </r>
  <r>
    <x v="1"/>
    <s v="Todd"/>
    <n v="6"/>
    <x v="0"/>
    <s v="Dak Prescott"/>
    <n v="3.22"/>
    <n v="2024"/>
  </r>
  <r>
    <x v="1"/>
    <s v="Todd"/>
    <n v="6"/>
    <x v="1"/>
    <s v="Deebo Samuel"/>
    <n v="19.2"/>
    <n v="2024"/>
  </r>
  <r>
    <x v="1"/>
    <s v="Todd"/>
    <n v="6"/>
    <x v="1"/>
    <s v="AJ Brown"/>
    <n v="20.6"/>
    <n v="2024"/>
  </r>
  <r>
    <x v="1"/>
    <s v="Todd"/>
    <n v="6"/>
    <x v="1"/>
    <s v="Darnell Mooney"/>
    <n v="5.3"/>
    <n v="2024"/>
  </r>
  <r>
    <x v="1"/>
    <s v="Todd"/>
    <n v="6"/>
    <x v="2"/>
    <s v="James Conner"/>
    <n v="4.5999999999999996"/>
    <n v="2024"/>
  </r>
  <r>
    <x v="1"/>
    <s v="Todd"/>
    <n v="6"/>
    <x v="2"/>
    <s v="Braelon Allen"/>
    <n v="0.8"/>
    <n v="2024"/>
  </r>
  <r>
    <x v="1"/>
    <s v="Todd"/>
    <n v="6"/>
    <x v="3"/>
    <s v="Tucker Kraft"/>
    <n v="2.5"/>
    <n v="2024"/>
  </r>
  <r>
    <x v="1"/>
    <s v="Todd"/>
    <n v="6"/>
    <x v="5"/>
    <s v="Chris Boswell"/>
    <n v="17"/>
    <n v="2024"/>
  </r>
  <r>
    <x v="1"/>
    <s v="Todd"/>
    <n v="6"/>
    <x v="4"/>
    <s v="Green Bay"/>
    <n v="9"/>
    <n v="2024"/>
  </r>
  <r>
    <x v="1"/>
    <s v="Todd"/>
    <n v="6"/>
    <x v="6"/>
    <s v="Brian Thomas Jr"/>
    <n v="4.2"/>
    <n v="2024"/>
  </r>
  <r>
    <x v="8"/>
    <s v="Schulwolf"/>
    <n v="6"/>
    <x v="0"/>
    <s v="Jayden Daniels"/>
    <n v="20.96"/>
    <n v="2024"/>
  </r>
  <r>
    <x v="8"/>
    <s v="Schulwolf"/>
    <n v="6"/>
    <x v="1"/>
    <s v="Terry McLaurin"/>
    <n v="20.3"/>
    <n v="2024"/>
  </r>
  <r>
    <x v="8"/>
    <s v="Schulwolf"/>
    <n v="6"/>
    <x v="1"/>
    <s v="Chris Godwin"/>
    <n v="30"/>
    <n v="2024"/>
  </r>
  <r>
    <x v="8"/>
    <s v="Schulwolf"/>
    <n v="6"/>
    <x v="1"/>
    <s v="DeVonta Smith"/>
    <n v="13.9"/>
    <n v="2024"/>
  </r>
  <r>
    <x v="8"/>
    <s v="Schulwolf"/>
    <n v="6"/>
    <x v="2"/>
    <s v="Jahmyr Gibbs"/>
    <n v="10.6"/>
    <n v="2024"/>
  </r>
  <r>
    <x v="8"/>
    <s v="Schulwolf"/>
    <n v="6"/>
    <x v="2"/>
    <s v="Ty Johnson"/>
    <n v="3.4"/>
    <n v="2024"/>
  </r>
  <r>
    <x v="8"/>
    <s v="Schulwolf"/>
    <n v="6"/>
    <x v="3"/>
    <s v="Dalton Kincaid"/>
    <n v="8.1"/>
    <n v="2024"/>
  </r>
  <r>
    <x v="8"/>
    <s v="Schulwolf"/>
    <n v="6"/>
    <x v="5"/>
    <s v="Brandon Aubrey"/>
    <n v="12"/>
    <n v="2024"/>
  </r>
  <r>
    <x v="8"/>
    <s v="Schulwolf"/>
    <n v="6"/>
    <x v="4"/>
    <s v="Denver"/>
    <n v="2"/>
    <n v="2024"/>
  </r>
  <r>
    <x v="8"/>
    <s v="Schulwolf"/>
    <n v="6"/>
    <x v="7"/>
    <s v="Zack Moss"/>
    <n v="0"/>
    <n v="2024"/>
  </r>
  <r>
    <x v="4"/>
    <s v="Eli"/>
    <n v="6"/>
    <x v="0"/>
    <s v="Jalen Hurts"/>
    <n v="21.86"/>
    <n v="2024"/>
  </r>
  <r>
    <x v="4"/>
    <s v="Eli"/>
    <n v="6"/>
    <x v="1"/>
    <s v="Jalen Tolbert"/>
    <n v="6.3"/>
    <n v="2024"/>
  </r>
  <r>
    <x v="4"/>
    <s v="Eli"/>
    <n v="6"/>
    <x v="1"/>
    <s v="DJ Moore"/>
    <n v="4"/>
    <n v="2024"/>
  </r>
  <r>
    <x v="4"/>
    <s v="Eli"/>
    <n v="6"/>
    <x v="1"/>
    <s v="Rome Odunze"/>
    <n v="5"/>
    <n v="2024"/>
  </r>
  <r>
    <x v="4"/>
    <s v="Eli"/>
    <n v="6"/>
    <x v="2"/>
    <s v="Bijan Robinson"/>
    <n v="24"/>
    <n v="2024"/>
  </r>
  <r>
    <x v="4"/>
    <s v="Eli"/>
    <n v="6"/>
    <x v="2"/>
    <s v="Jordan Mason"/>
    <n v="8.6999999999999993"/>
    <n v="2024"/>
  </r>
  <r>
    <x v="4"/>
    <s v="Eli"/>
    <n v="6"/>
    <x v="3"/>
    <s v="Kyle Pitts"/>
    <n v="8.5"/>
    <n v="2024"/>
  </r>
  <r>
    <x v="4"/>
    <s v="Eli"/>
    <n v="6"/>
    <x v="5"/>
    <s v="Brayden Narveson"/>
    <n v="10"/>
    <n v="2024"/>
  </r>
  <r>
    <x v="4"/>
    <s v="Eli"/>
    <n v="6"/>
    <x v="4"/>
    <s v="NYJ"/>
    <n v="1"/>
    <n v="2024"/>
  </r>
  <r>
    <x v="4"/>
    <s v="Eli"/>
    <n v="6"/>
    <x v="7"/>
    <s v="Tyjae Spears"/>
    <n v="2.7"/>
    <n v="2024"/>
  </r>
  <r>
    <x v="7"/>
    <s v="Jay"/>
    <n v="6"/>
    <x v="0"/>
    <s v="Lamar Jackson"/>
    <n v="18.920000000000002"/>
    <n v="2024"/>
  </r>
  <r>
    <x v="7"/>
    <s v="Jay"/>
    <n v="6"/>
    <x v="1"/>
    <s v="Stefon Diggs"/>
    <n v="16.7"/>
    <n v="2024"/>
  </r>
  <r>
    <x v="7"/>
    <s v="Jay"/>
    <n v="6"/>
    <x v="1"/>
    <s v="Amari Cooper"/>
    <n v="6.2"/>
    <n v="2024"/>
  </r>
  <r>
    <x v="7"/>
    <s v="Jay"/>
    <n v="6"/>
    <x v="1"/>
    <s v="Jauan Jennings"/>
    <n v="4.2"/>
    <n v="2024"/>
  </r>
  <r>
    <x v="7"/>
    <s v="Jay"/>
    <n v="6"/>
    <x v="2"/>
    <s v="Tony Pollard"/>
    <n v="16.3"/>
    <n v="2024"/>
  </r>
  <r>
    <x v="7"/>
    <s v="Jay"/>
    <n v="6"/>
    <x v="2"/>
    <s v="Alvin Kamara"/>
    <n v="14.9"/>
    <n v="2024"/>
  </r>
  <r>
    <x v="7"/>
    <s v="Jay"/>
    <n v="6"/>
    <x v="3"/>
    <s v="Evan Engram"/>
    <n v="13.2"/>
    <n v="2024"/>
  </r>
  <r>
    <x v="7"/>
    <s v="Jay"/>
    <n v="6"/>
    <x v="5"/>
    <s v="Ka'imi Fairbairn"/>
    <n v="11"/>
    <n v="2024"/>
  </r>
  <r>
    <x v="7"/>
    <s v="Jay"/>
    <n v="6"/>
    <x v="4"/>
    <s v="LA Chargers"/>
    <n v="6"/>
    <n v="2024"/>
  </r>
  <r>
    <x v="7"/>
    <s v="Jay"/>
    <n v="6"/>
    <x v="7"/>
    <s v="Trey Sermon"/>
    <n v="2.9"/>
    <n v="2024"/>
  </r>
  <r>
    <x v="6"/>
    <s v="Will"/>
    <n v="6"/>
    <x v="0"/>
    <s v="Geno Smith"/>
    <n v="12.48"/>
    <n v="2024"/>
  </r>
  <r>
    <x v="6"/>
    <s v="Will"/>
    <n v="6"/>
    <x v="1"/>
    <s v="Drake London"/>
    <n v="16.399999999999999"/>
    <n v="2024"/>
  </r>
  <r>
    <x v="6"/>
    <s v="Will"/>
    <n v="6"/>
    <x v="1"/>
    <s v="Amon-Ra St. Brown"/>
    <n v="11.7"/>
    <n v="2024"/>
  </r>
  <r>
    <x v="6"/>
    <s v="Will"/>
    <n v="6"/>
    <x v="1"/>
    <s v="Jaxon Smith-Njigba"/>
    <n v="7.8"/>
    <n v="2024"/>
  </r>
  <r>
    <x v="6"/>
    <s v="Will"/>
    <n v="6"/>
    <x v="2"/>
    <s v="Austin Ekeler"/>
    <n v="8.8000000000000007"/>
    <n v="2024"/>
  </r>
  <r>
    <x v="6"/>
    <s v="Will"/>
    <n v="6"/>
    <x v="2"/>
    <s v="Travis Etienne"/>
    <n v="-0.1"/>
    <n v="2024"/>
  </r>
  <r>
    <x v="6"/>
    <s v="Will"/>
    <n v="6"/>
    <x v="3"/>
    <s v="Isaiah Likely"/>
    <n v="3.7"/>
    <n v="2024"/>
  </r>
  <r>
    <x v="6"/>
    <s v="Will"/>
    <n v="6"/>
    <x v="5"/>
    <s v="Jason Myers"/>
    <n v="6"/>
    <n v="2024"/>
  </r>
  <r>
    <x v="6"/>
    <s v="Will"/>
    <n v="6"/>
    <x v="4"/>
    <s v="Houston"/>
    <n v="13"/>
    <n v="2024"/>
  </r>
  <r>
    <x v="6"/>
    <s v="Will"/>
    <n v="6"/>
    <x v="6"/>
    <s v="Ladd McConkey"/>
    <n v="6.3"/>
    <n v="2024"/>
  </r>
  <r>
    <x v="10"/>
    <s v="Brand"/>
    <n v="6"/>
    <x v="0"/>
    <s v="Kirk Cousins"/>
    <n v="12.5"/>
    <n v="2024"/>
  </r>
  <r>
    <x v="10"/>
    <s v="Brand"/>
    <n v="6"/>
    <x v="1"/>
    <s v="Garrett Wilson"/>
    <n v="20.7"/>
    <n v="2024"/>
  </r>
  <r>
    <x v="10"/>
    <s v="Brand"/>
    <n v="6"/>
    <x v="1"/>
    <s v="Jameson Williams"/>
    <n v="16.2"/>
    <n v="2024"/>
  </r>
  <r>
    <x v="10"/>
    <s v="Brand"/>
    <n v="6"/>
    <x v="1"/>
    <s v="Michael Pittman"/>
    <n v="11"/>
    <n v="2024"/>
  </r>
  <r>
    <x v="10"/>
    <s v="Brand"/>
    <n v="6"/>
    <x v="2"/>
    <s v="Breece Hall"/>
    <n v="19.399999999999999"/>
    <n v="2024"/>
  </r>
  <r>
    <x v="10"/>
    <s v="Brand"/>
    <n v="6"/>
    <x v="2"/>
    <s v="Bucky Irving"/>
    <n v="17.5"/>
    <n v="2024"/>
  </r>
  <r>
    <x v="10"/>
    <s v="Brand"/>
    <n v="6"/>
    <x v="3"/>
    <s v="Dallas Goedert"/>
    <n v="0"/>
    <n v="2024"/>
  </r>
  <r>
    <x v="10"/>
    <s v="Brand"/>
    <n v="6"/>
    <x v="5"/>
    <s v="Cairo Santos"/>
    <n v="4"/>
    <n v="2024"/>
  </r>
  <r>
    <x v="10"/>
    <s v="Brand"/>
    <n v="6"/>
    <x v="4"/>
    <s v="Indianapolis"/>
    <n v="4"/>
    <n v="2024"/>
  </r>
  <r>
    <x v="10"/>
    <s v="Brand"/>
    <n v="6"/>
    <x v="7"/>
    <s v="Kenneth Walker"/>
    <n v="16.899999999999999"/>
    <n v="2024"/>
  </r>
  <r>
    <x v="3"/>
    <s v="Kevin"/>
    <n v="6"/>
    <x v="0"/>
    <s v="CJ Stroud"/>
    <n v="18.38"/>
    <n v="2024"/>
  </r>
  <r>
    <x v="3"/>
    <s v="Kevin"/>
    <n v="6"/>
    <x v="1"/>
    <s v="DeAndre Hopkins"/>
    <n v="7.4"/>
    <n v="2024"/>
  </r>
  <r>
    <x v="3"/>
    <s v="Kevin"/>
    <n v="6"/>
    <x v="1"/>
    <s v="George Pickens"/>
    <n v="6.8"/>
    <n v="2024"/>
  </r>
  <r>
    <x v="3"/>
    <s v="Kevin"/>
    <n v="6"/>
    <x v="1"/>
    <s v="Marvin Harrison Jr"/>
    <n v="0"/>
    <n v="2024"/>
  </r>
  <r>
    <x v="3"/>
    <s v="Kevin"/>
    <n v="6"/>
    <x v="2"/>
    <s v="Najee Harris"/>
    <n v="19.2"/>
    <n v="2024"/>
  </r>
  <r>
    <x v="3"/>
    <s v="Kevin"/>
    <n v="6"/>
    <x v="2"/>
    <s v="Chuba Hubbard"/>
    <n v="12.8"/>
    <n v="2024"/>
  </r>
  <r>
    <x v="3"/>
    <s v="Kevin"/>
    <n v="6"/>
    <x v="3"/>
    <s v="Hunter Henry"/>
    <n v="11.6"/>
    <n v="2024"/>
  </r>
  <r>
    <x v="3"/>
    <s v="Kevin"/>
    <n v="6"/>
    <x v="5"/>
    <s v="Justin Tucker"/>
    <n v="13"/>
    <n v="2024"/>
  </r>
  <r>
    <x v="3"/>
    <s v="Kevin"/>
    <n v="6"/>
    <x v="4"/>
    <s v="Tampa Bay"/>
    <n v="16"/>
    <n v="2024"/>
  </r>
  <r>
    <x v="3"/>
    <s v="Kevin"/>
    <n v="6"/>
    <x v="6"/>
    <s v="Chris Olave"/>
    <n v="-1"/>
    <n v="2024"/>
  </r>
  <r>
    <x v="5"/>
    <s v="Burnett/Jasjaap"/>
    <n v="6"/>
    <x v="0"/>
    <s v="Brock Purdy"/>
    <n v="24.1"/>
    <n v="2024"/>
  </r>
  <r>
    <x v="5"/>
    <s v="Burnett/Jasjaap"/>
    <n v="6"/>
    <x v="1"/>
    <s v="CeeDee Lamb"/>
    <n v="12.6"/>
    <n v="2024"/>
  </r>
  <r>
    <x v="5"/>
    <s v="Burnett/Jasjaap"/>
    <n v="6"/>
    <x v="1"/>
    <s v="Rashid Shaheed"/>
    <n v="7.8"/>
    <n v="2024"/>
  </r>
  <r>
    <x v="5"/>
    <s v="Burnett/Jasjaap"/>
    <n v="6"/>
    <x v="1"/>
    <s v="Alec Pierce"/>
    <n v="0"/>
    <n v="2024"/>
  </r>
  <r>
    <x v="5"/>
    <s v="Burnett/Jasjaap"/>
    <n v="6"/>
    <x v="2"/>
    <s v="Josh Jacobs"/>
    <n v="10.5"/>
    <n v="2024"/>
  </r>
  <r>
    <x v="5"/>
    <s v="Burnett/Jasjaap"/>
    <n v="6"/>
    <x v="2"/>
    <s v="David Montgomery"/>
    <n v="20.5"/>
    <n v="2024"/>
  </r>
  <r>
    <x v="5"/>
    <s v="Burnett/Jasjaap"/>
    <n v="6"/>
    <x v="3"/>
    <s v="Brock Bowers"/>
    <n v="11.6"/>
    <n v="2024"/>
  </r>
  <r>
    <x v="5"/>
    <s v="Burnett/Jasjaap"/>
    <n v="6"/>
    <x v="5"/>
    <s v="Austin Seibert"/>
    <n v="15"/>
    <n v="2024"/>
  </r>
  <r>
    <x v="5"/>
    <s v="Burnett/Jasjaap"/>
    <n v="6"/>
    <x v="4"/>
    <s v="Pittsburgh"/>
    <n v="14"/>
    <n v="2024"/>
  </r>
  <r>
    <x v="5"/>
    <s v="Burnett/Jasjaap"/>
    <n v="6"/>
    <x v="7"/>
    <s v="Rico Dowdle"/>
    <n v="8"/>
    <n v="2024"/>
  </r>
  <r>
    <x v="0"/>
    <s v="Brenton"/>
    <n v="7"/>
    <x v="0"/>
    <s v="Baker Mayfield"/>
    <n v="27"/>
    <n v="2024"/>
  </r>
  <r>
    <x v="0"/>
    <s v="Brenton"/>
    <n v="7"/>
    <x v="1"/>
    <s v="Zay Flowers"/>
    <n v="3.5"/>
    <n v="2024"/>
  </r>
  <r>
    <x v="0"/>
    <s v="Brenton"/>
    <n v="7"/>
    <x v="1"/>
    <s v="DeMario Douglas"/>
    <n v="2.4"/>
    <n v="2024"/>
  </r>
  <r>
    <x v="0"/>
    <s v="Brenton"/>
    <n v="7"/>
    <x v="1"/>
    <s v="Jayden Reed"/>
    <n v="2"/>
    <n v="2024"/>
  </r>
  <r>
    <x v="0"/>
    <s v="Brenton"/>
    <n v="7"/>
    <x v="2"/>
    <s v="Tank Bigsby"/>
    <n v="23.8"/>
    <n v="2024"/>
  </r>
  <r>
    <x v="0"/>
    <s v="Brenton"/>
    <n v="7"/>
    <x v="2"/>
    <s v="Tyrone Tracy"/>
    <n v="4.7"/>
    <n v="2024"/>
  </r>
  <r>
    <x v="0"/>
    <s v="Brenton"/>
    <n v="7"/>
    <x v="3"/>
    <s v="Trey McBride"/>
    <n v="7.6"/>
    <n v="2024"/>
  </r>
  <r>
    <x v="0"/>
    <s v="Brenton"/>
    <n v="7"/>
    <x v="5"/>
    <s v="Jake Elliott"/>
    <n v="4"/>
    <n v="2024"/>
  </r>
  <r>
    <x v="0"/>
    <s v="Brenton"/>
    <n v="7"/>
    <x v="4"/>
    <s v="Cincinnati"/>
    <n v="14"/>
    <n v="2024"/>
  </r>
  <r>
    <x v="0"/>
    <s v="Brenton"/>
    <n v="7"/>
    <x v="6"/>
    <s v="Tyreek Hill"/>
    <n v="1.8"/>
    <n v="2024"/>
  </r>
  <r>
    <x v="9"/>
    <s v="Tommy"/>
    <n v="7"/>
    <x v="0"/>
    <s v="Josh Allen"/>
    <n v="21.02"/>
    <n v="2024"/>
  </r>
  <r>
    <x v="9"/>
    <s v="Tommy"/>
    <n v="7"/>
    <x v="1"/>
    <s v="DK Metcalf"/>
    <n v="17.899999999999999"/>
    <n v="2024"/>
  </r>
  <r>
    <x v="9"/>
    <s v="Tommy"/>
    <n v="7"/>
    <x v="1"/>
    <s v="Allen Lazard"/>
    <n v="7.8"/>
    <n v="2024"/>
  </r>
  <r>
    <x v="9"/>
    <s v="Tommy"/>
    <n v="7"/>
    <x v="1"/>
    <s v="Malik Nabers"/>
    <n v="6.1"/>
    <n v="2024"/>
  </r>
  <r>
    <x v="9"/>
    <s v="Tommy"/>
    <n v="7"/>
    <x v="2"/>
    <s v="Saquon Barkley"/>
    <n v="25.7"/>
    <n v="2024"/>
  </r>
  <r>
    <x v="9"/>
    <s v="Tommy"/>
    <n v="7"/>
    <x v="2"/>
    <s v="Kyren Williams"/>
    <n v="19.600000000000001"/>
    <n v="2024"/>
  </r>
  <r>
    <x v="9"/>
    <s v="Tommy"/>
    <n v="7"/>
    <x v="3"/>
    <s v="Mark Andrews"/>
    <n v="18.100000000000001"/>
    <n v="2024"/>
  </r>
  <r>
    <x v="9"/>
    <s v="Tommy"/>
    <n v="7"/>
    <x v="5"/>
    <s v="Harrison Butker"/>
    <n v="4"/>
    <n v="2024"/>
  </r>
  <r>
    <x v="9"/>
    <s v="Tommy"/>
    <n v="7"/>
    <x v="4"/>
    <s v="Minnesota"/>
    <n v="10"/>
    <n v="2024"/>
  </r>
  <r>
    <x v="9"/>
    <s v="Tommy"/>
    <n v="7"/>
    <x v="6"/>
    <s v="Xavier Worthy"/>
    <n v="3.9"/>
    <n v="2024"/>
  </r>
  <r>
    <x v="2"/>
    <s v="Mike"/>
    <n v="7"/>
    <x v="0"/>
    <s v="Patrick Mahomes"/>
    <n v="12.06"/>
    <n v="2024"/>
  </r>
  <r>
    <x v="2"/>
    <s v="Mike"/>
    <n v="7"/>
    <x v="1"/>
    <s v="Mike Evans"/>
    <n v="9"/>
    <n v="2024"/>
  </r>
  <r>
    <x v="2"/>
    <s v="Mike"/>
    <n v="7"/>
    <x v="1"/>
    <s v="Khalil Shakir"/>
    <n v="10"/>
    <n v="2024"/>
  </r>
  <r>
    <x v="2"/>
    <s v="Mike"/>
    <n v="7"/>
    <x v="1"/>
    <s v="Davante Adams"/>
    <n v="4.5"/>
    <n v="2024"/>
  </r>
  <r>
    <x v="2"/>
    <s v="Mike"/>
    <n v="7"/>
    <x v="2"/>
    <s v="Derrick Henry"/>
    <n v="24.7"/>
    <n v="2024"/>
  </r>
  <r>
    <x v="2"/>
    <s v="Mike"/>
    <n v="7"/>
    <x v="2"/>
    <s v="Kareem Hunt"/>
    <n v="21.3"/>
    <n v="2024"/>
  </r>
  <r>
    <x v="2"/>
    <s v="Mike"/>
    <n v="7"/>
    <x v="3"/>
    <s v="Sam LaPorta"/>
    <n v="3"/>
    <n v="2024"/>
  </r>
  <r>
    <x v="2"/>
    <s v="Mike"/>
    <n v="7"/>
    <x v="5"/>
    <s v="Younghoe Koo"/>
    <n v="2"/>
    <n v="2024"/>
  </r>
  <r>
    <x v="2"/>
    <s v="Mike"/>
    <n v="7"/>
    <x v="4"/>
    <s v="Buffalo"/>
    <n v="12"/>
    <n v="2024"/>
  </r>
  <r>
    <x v="2"/>
    <s v="Mike"/>
    <n v="7"/>
    <x v="6"/>
    <s v="Tank Dell"/>
    <n v="0"/>
    <n v="2024"/>
  </r>
  <r>
    <x v="8"/>
    <s v="Schulwolf"/>
    <n v="7"/>
    <x v="0"/>
    <s v="Jayden Daniels"/>
    <n v="5.24"/>
    <n v="2024"/>
  </r>
  <r>
    <x v="8"/>
    <s v="Schulwolf"/>
    <n v="7"/>
    <x v="1"/>
    <s v="Terry McLaurin"/>
    <n v="12.8"/>
    <n v="2024"/>
  </r>
  <r>
    <x v="8"/>
    <s v="Schulwolf"/>
    <n v="7"/>
    <x v="1"/>
    <s v="Chris Godwin"/>
    <n v="10"/>
    <n v="2024"/>
  </r>
  <r>
    <x v="8"/>
    <s v="Schulwolf"/>
    <n v="7"/>
    <x v="1"/>
    <s v="Tyler Lockett"/>
    <n v="6.5"/>
    <n v="2024"/>
  </r>
  <r>
    <x v="8"/>
    <s v="Schulwolf"/>
    <n v="7"/>
    <x v="2"/>
    <s v="Jahmyr Gibbs"/>
    <n v="30"/>
    <n v="2024"/>
  </r>
  <r>
    <x v="8"/>
    <s v="Schulwolf"/>
    <n v="7"/>
    <x v="2"/>
    <s v="James Cook"/>
    <n v="9.1999999999999993"/>
    <n v="2024"/>
  </r>
  <r>
    <x v="8"/>
    <s v="Schulwolf"/>
    <n v="7"/>
    <x v="3"/>
    <s v="Dalton Kincaid"/>
    <n v="6.7"/>
    <n v="2024"/>
  </r>
  <r>
    <x v="8"/>
    <s v="Schulwolf"/>
    <n v="7"/>
    <x v="5"/>
    <s v="Brandon McManus"/>
    <n v="7"/>
    <n v="2024"/>
  </r>
  <r>
    <x v="8"/>
    <s v="Schulwolf"/>
    <n v="7"/>
    <x v="4"/>
    <s v="Denver"/>
    <n v="21"/>
    <n v="2024"/>
  </r>
  <r>
    <x v="8"/>
    <s v="Schulwolf"/>
    <n v="7"/>
    <x v="6"/>
    <s v="DeVonta Smith"/>
    <n v="0.3"/>
    <n v="2024"/>
  </r>
  <r>
    <x v="1"/>
    <s v="Todd"/>
    <n v="7"/>
    <x v="0"/>
    <s v="Sam Darnold"/>
    <n v="16.260000000000002"/>
    <n v="2024"/>
  </r>
  <r>
    <x v="1"/>
    <s v="Todd"/>
    <n v="7"/>
    <x v="1"/>
    <s v="AJ Brown"/>
    <n v="17.399999999999999"/>
    <n v="2024"/>
  </r>
  <r>
    <x v="1"/>
    <s v="Todd"/>
    <n v="7"/>
    <x v="1"/>
    <s v="Brian Thomas Jr"/>
    <n v="19.600000000000001"/>
    <n v="2024"/>
  </r>
  <r>
    <x v="1"/>
    <s v="Todd"/>
    <n v="7"/>
    <x v="1"/>
    <s v="Diontae Johnson"/>
    <n v="2.2000000000000002"/>
    <n v="2024"/>
  </r>
  <r>
    <x v="1"/>
    <s v="Todd"/>
    <n v="7"/>
    <x v="2"/>
    <s v="James Conner"/>
    <n v="16.2"/>
    <n v="2024"/>
  </r>
  <r>
    <x v="1"/>
    <s v="Todd"/>
    <n v="7"/>
    <x v="2"/>
    <s v="De'Von Achane"/>
    <n v="9.5"/>
    <n v="2024"/>
  </r>
  <r>
    <x v="1"/>
    <s v="Todd"/>
    <n v="7"/>
    <x v="3"/>
    <s v="Tucker Kraft"/>
    <n v="10.8"/>
    <n v="2024"/>
  </r>
  <r>
    <x v="1"/>
    <s v="Todd"/>
    <n v="7"/>
    <x v="5"/>
    <s v="Chris Boswell"/>
    <n v="14"/>
    <n v="2024"/>
  </r>
  <r>
    <x v="1"/>
    <s v="Todd"/>
    <n v="7"/>
    <x v="4"/>
    <s v="LA Chargers"/>
    <n v="2"/>
    <n v="2024"/>
  </r>
  <r>
    <x v="1"/>
    <s v="Todd"/>
    <n v="7"/>
    <x v="6"/>
    <s v="Deebo Samuel"/>
    <n v="0"/>
    <n v="2024"/>
  </r>
  <r>
    <x v="10"/>
    <s v="Brand"/>
    <n v="7"/>
    <x v="0"/>
    <s v="Anthony Richardson"/>
    <n v="8.76"/>
    <n v="2024"/>
  </r>
  <r>
    <x v="10"/>
    <s v="Brand"/>
    <n v="7"/>
    <x v="1"/>
    <s v="Garrett Wilson"/>
    <n v="10.6"/>
    <n v="2024"/>
  </r>
  <r>
    <x v="10"/>
    <s v="Brand"/>
    <n v="7"/>
    <x v="1"/>
    <s v="Michael Pittman"/>
    <n v="7.8"/>
    <n v="2024"/>
  </r>
  <r>
    <x v="10"/>
    <s v="Brand"/>
    <n v="7"/>
    <x v="1"/>
    <s v="Jameson Williams"/>
    <n v="0.1"/>
    <n v="2024"/>
  </r>
  <r>
    <x v="10"/>
    <s v="Brand"/>
    <n v="7"/>
    <x v="2"/>
    <s v="Breece Hall"/>
    <n v="23.1"/>
    <n v="2024"/>
  </r>
  <r>
    <x v="10"/>
    <s v="Brand"/>
    <n v="7"/>
    <x v="2"/>
    <s v="Kenneth Walker"/>
    <n v="22.3"/>
    <n v="2024"/>
  </r>
  <r>
    <x v="10"/>
    <s v="Brand"/>
    <n v="7"/>
    <x v="3"/>
    <s v="Colby Parkinson"/>
    <n v="4.2"/>
    <n v="2024"/>
  </r>
  <r>
    <x v="10"/>
    <s v="Brand"/>
    <n v="7"/>
    <x v="5"/>
    <s v="Cameron Dicker"/>
    <n v="21"/>
    <n v="2024"/>
  </r>
  <r>
    <x v="10"/>
    <s v="Brand"/>
    <n v="7"/>
    <x v="4"/>
    <s v="Indianapolis"/>
    <n v="9"/>
    <n v="2024"/>
  </r>
  <r>
    <x v="10"/>
    <s v="Brand"/>
    <n v="7"/>
    <x v="7"/>
    <s v="Bucky Irving"/>
    <n v="15.2"/>
    <n v="2024"/>
  </r>
  <r>
    <x v="4"/>
    <s v="Eli"/>
    <n v="7"/>
    <x v="0"/>
    <s v="Jalen Hurts"/>
    <n v="22.76"/>
    <n v="2024"/>
  </r>
  <r>
    <x v="4"/>
    <s v="Eli"/>
    <n v="7"/>
    <x v="1"/>
    <s v="Justin Jefferson"/>
    <n v="17.899999999999999"/>
    <n v="2024"/>
  </r>
  <r>
    <x v="4"/>
    <s v="Eli"/>
    <n v="7"/>
    <x v="1"/>
    <s v="Tre Tucker"/>
    <n v="6.2"/>
    <n v="2024"/>
  </r>
  <r>
    <x v="4"/>
    <s v="Eli"/>
    <n v="7"/>
    <x v="1"/>
    <s v="Xavier Legette"/>
    <n v="1.9"/>
    <n v="2024"/>
  </r>
  <r>
    <x v="4"/>
    <s v="Eli"/>
    <n v="7"/>
    <x v="2"/>
    <s v="Bijan Robinson"/>
    <n v="21.8"/>
    <n v="2024"/>
  </r>
  <r>
    <x v="4"/>
    <s v="Eli"/>
    <n v="7"/>
    <x v="2"/>
    <s v="Jordan Mason"/>
    <n v="7.9"/>
    <n v="2024"/>
  </r>
  <r>
    <x v="4"/>
    <s v="Eli"/>
    <n v="7"/>
    <x v="3"/>
    <s v="David Njoku"/>
    <n v="18.600000000000001"/>
    <n v="2024"/>
  </r>
  <r>
    <x v="4"/>
    <s v="Eli"/>
    <n v="7"/>
    <x v="5"/>
    <s v="Tyler Bass"/>
    <n v="10"/>
    <n v="2024"/>
  </r>
  <r>
    <x v="4"/>
    <s v="Eli"/>
    <n v="7"/>
    <x v="4"/>
    <s v="NYJ"/>
    <n v="-7"/>
    <n v="2024"/>
  </r>
  <r>
    <x v="4"/>
    <s v="Eli"/>
    <n v="7"/>
    <x v="8"/>
    <s v="Kyle Pitts"/>
    <n v="10"/>
    <n v="2024"/>
  </r>
  <r>
    <x v="3"/>
    <s v="Kevin"/>
    <n v="7"/>
    <x v="0"/>
    <s v="CJ Stroud"/>
    <n v="5.34"/>
    <n v="2024"/>
  </r>
  <r>
    <x v="3"/>
    <s v="Kevin"/>
    <n v="7"/>
    <x v="1"/>
    <s v="George Pickens"/>
    <n v="19.600000000000001"/>
    <n v="2024"/>
  </r>
  <r>
    <x v="3"/>
    <s v="Kevin"/>
    <n v="7"/>
    <x v="1"/>
    <s v="Jordan Addison"/>
    <n v="8.1"/>
    <n v="2024"/>
  </r>
  <r>
    <x v="3"/>
    <s v="Kevin"/>
    <n v="7"/>
    <x v="1"/>
    <s v="Marvin Harrison Jr"/>
    <n v="3.6"/>
    <n v="2024"/>
  </r>
  <r>
    <x v="3"/>
    <s v="Kevin"/>
    <n v="7"/>
    <x v="2"/>
    <s v="Joe Mixon"/>
    <n v="25.4"/>
    <n v="2024"/>
  </r>
  <r>
    <x v="3"/>
    <s v="Kevin"/>
    <n v="7"/>
    <x v="2"/>
    <s v="Najee Harris"/>
    <n v="16.2"/>
    <n v="2024"/>
  </r>
  <r>
    <x v="3"/>
    <s v="Kevin"/>
    <n v="7"/>
    <x v="3"/>
    <s v="Hunter Henry"/>
    <n v="13.2"/>
    <n v="2024"/>
  </r>
  <r>
    <x v="3"/>
    <s v="Kevin"/>
    <n v="7"/>
    <x v="5"/>
    <s v="Justin Tucker"/>
    <n v="13"/>
    <n v="2024"/>
  </r>
  <r>
    <x v="3"/>
    <s v="Kevin"/>
    <n v="7"/>
    <x v="4"/>
    <s v="LA Rams"/>
    <n v="16"/>
    <n v="2024"/>
  </r>
  <r>
    <x v="3"/>
    <s v="Kevin"/>
    <n v="7"/>
    <x v="7"/>
    <s v="Chuba Hubbard"/>
    <n v="11.2"/>
    <n v="2024"/>
  </r>
  <r>
    <x v="6"/>
    <s v="Will"/>
    <n v="7"/>
    <x v="0"/>
    <s v="Geno Smith"/>
    <n v="17.78"/>
    <n v="2024"/>
  </r>
  <r>
    <x v="6"/>
    <s v="Will"/>
    <n v="7"/>
    <x v="1"/>
    <s v="Drake London"/>
    <n v="15.3"/>
    <n v="2024"/>
  </r>
  <r>
    <x v="6"/>
    <s v="Will"/>
    <n v="7"/>
    <x v="1"/>
    <s v="Amon-Ra St. Brown"/>
    <n v="21.2"/>
    <n v="2024"/>
  </r>
  <r>
    <x v="6"/>
    <s v="Will"/>
    <n v="7"/>
    <x v="1"/>
    <s v="Ladd McConkey"/>
    <n v="7.1"/>
    <n v="2024"/>
  </r>
  <r>
    <x v="6"/>
    <s v="Will"/>
    <n v="7"/>
    <x v="2"/>
    <s v="Austin Ekeler"/>
    <n v="3"/>
    <n v="2024"/>
  </r>
  <r>
    <x v="6"/>
    <s v="Will"/>
    <n v="7"/>
    <x v="2"/>
    <s v="Zach Charbonet"/>
    <n v="1.4"/>
    <n v="2024"/>
  </r>
  <r>
    <x v="6"/>
    <s v="Will"/>
    <n v="7"/>
    <x v="3"/>
    <s v="Travis Kelce"/>
    <n v="3.7"/>
    <n v="2024"/>
  </r>
  <r>
    <x v="6"/>
    <s v="Will"/>
    <n v="7"/>
    <x v="5"/>
    <s v="Jason Myers"/>
    <n v="12"/>
    <n v="2024"/>
  </r>
  <r>
    <x v="6"/>
    <s v="Will"/>
    <n v="7"/>
    <x v="4"/>
    <s v="Houston"/>
    <n v="10"/>
    <n v="2024"/>
  </r>
  <r>
    <x v="6"/>
    <s v="Will"/>
    <n v="7"/>
    <x v="6"/>
    <s v="Jaxon Smith-Njigba"/>
    <n v="3.8"/>
    <n v="2024"/>
  </r>
  <r>
    <x v="5"/>
    <s v="Burnett/Jasjaap"/>
    <n v="7"/>
    <x v="0"/>
    <s v="Brock Purdy"/>
    <n v="17.18"/>
    <n v="2024"/>
  </r>
  <r>
    <x v="5"/>
    <s v="Burnett/Jasjaap"/>
    <n v="7"/>
    <x v="1"/>
    <s v="Bub Means"/>
    <n v="5.2"/>
    <n v="2024"/>
  </r>
  <r>
    <x v="5"/>
    <s v="Burnett/Jasjaap"/>
    <n v="7"/>
    <x v="1"/>
    <s v="Alec Pierce"/>
    <n v="2.5"/>
    <n v="2024"/>
  </r>
  <r>
    <x v="5"/>
    <s v="Burnett/Jasjaap"/>
    <n v="7"/>
    <x v="1"/>
    <s v="Jaylen Waddle"/>
    <n v="1.6"/>
    <n v="2024"/>
  </r>
  <r>
    <x v="5"/>
    <s v="Burnett/Jasjaap"/>
    <n v="7"/>
    <x v="2"/>
    <s v="Josh Jacobs"/>
    <n v="17.7"/>
    <n v="2024"/>
  </r>
  <r>
    <x v="5"/>
    <s v="Burnett/Jasjaap"/>
    <n v="7"/>
    <x v="2"/>
    <s v="David Montgomery"/>
    <n v="6.5"/>
    <n v="2024"/>
  </r>
  <r>
    <x v="5"/>
    <s v="Burnett/Jasjaap"/>
    <n v="7"/>
    <x v="3"/>
    <s v="Brock Bowers"/>
    <n v="14.3"/>
    <n v="2024"/>
  </r>
  <r>
    <x v="5"/>
    <s v="Burnett/Jasjaap"/>
    <n v="7"/>
    <x v="5"/>
    <s v="Austin Seibert"/>
    <n v="17"/>
    <n v="2024"/>
  </r>
  <r>
    <x v="5"/>
    <s v="Burnett/Jasjaap"/>
    <n v="7"/>
    <x v="4"/>
    <s v="Philadelphia"/>
    <n v="18"/>
    <n v="2024"/>
  </r>
  <r>
    <x v="5"/>
    <s v="Burnett/Jasjaap"/>
    <n v="7"/>
    <x v="6"/>
    <s v="Jordan Whittington"/>
    <n v="0"/>
    <n v="2024"/>
  </r>
  <r>
    <x v="7"/>
    <s v="Jay"/>
    <n v="7"/>
    <x v="0"/>
    <s v="Lamar Jackson"/>
    <n v="34.44"/>
    <n v="2024"/>
  </r>
  <r>
    <x v="7"/>
    <s v="Jay"/>
    <n v="7"/>
    <x v="1"/>
    <s v="Tee Higgins"/>
    <n v="16.2"/>
    <n v="2024"/>
  </r>
  <r>
    <x v="7"/>
    <s v="Jay"/>
    <n v="7"/>
    <x v="1"/>
    <s v="Amari Cooper"/>
    <n v="14.6"/>
    <n v="2024"/>
  </r>
  <r>
    <x v="7"/>
    <s v="Jay"/>
    <n v="7"/>
    <x v="1"/>
    <s v="Stefon Diggs"/>
    <n v="4.8"/>
    <n v="2024"/>
  </r>
  <r>
    <x v="7"/>
    <s v="Jay"/>
    <n v="7"/>
    <x v="2"/>
    <s v="Tony Pollard"/>
    <n v="7.5"/>
    <n v="2024"/>
  </r>
  <r>
    <x v="7"/>
    <s v="Jay"/>
    <n v="7"/>
    <x v="2"/>
    <s v="Alvin Kamara"/>
    <n v="5.4"/>
    <n v="2024"/>
  </r>
  <r>
    <x v="7"/>
    <s v="Jay"/>
    <n v="7"/>
    <x v="3"/>
    <s v="Evan Engram"/>
    <n v="6"/>
    <n v="2024"/>
  </r>
  <r>
    <x v="7"/>
    <s v="Jay"/>
    <n v="7"/>
    <x v="5"/>
    <s v="Ka'imi Fairbairn"/>
    <n v="12"/>
    <n v="2024"/>
  </r>
  <r>
    <x v="7"/>
    <s v="Jay"/>
    <n v="7"/>
    <x v="4"/>
    <s v="Jacksonville"/>
    <n v="10"/>
    <n v="2024"/>
  </r>
  <r>
    <x v="7"/>
    <s v="Jay"/>
    <n v="7"/>
    <x v="7"/>
    <s v="Trey Sermon"/>
    <n v="5.4"/>
    <n v="2024"/>
  </r>
  <r>
    <x v="11"/>
    <s v="Cam"/>
    <n v="7"/>
    <x v="0"/>
    <s v="Joe Burrow"/>
    <n v="14.94"/>
    <n v="2024"/>
  </r>
  <r>
    <x v="11"/>
    <s v="Cam"/>
    <n v="7"/>
    <x v="1"/>
    <s v="Ja'Marr Chase"/>
    <n v="15.1"/>
    <n v="2024"/>
  </r>
  <r>
    <x v="11"/>
    <s v="Cam"/>
    <n v="7"/>
    <x v="1"/>
    <s v="Wan'Dale Robinson"/>
    <n v="5.3"/>
    <n v="2024"/>
  </r>
  <r>
    <x v="11"/>
    <s v="Cam"/>
    <n v="7"/>
    <x v="1"/>
    <s v="Brandon Aiyuk"/>
    <n v="3.3"/>
    <n v="2024"/>
  </r>
  <r>
    <x v="11"/>
    <s v="Cam"/>
    <n v="7"/>
    <x v="2"/>
    <s v="Aaron Jones"/>
    <n v="19.100000000000001"/>
    <n v="2024"/>
  </r>
  <r>
    <x v="11"/>
    <s v="Cam"/>
    <n v="7"/>
    <x v="2"/>
    <s v="JK Dobbins"/>
    <n v="8.1"/>
    <n v="2024"/>
  </r>
  <r>
    <x v="11"/>
    <s v="Cam"/>
    <n v="7"/>
    <x v="3"/>
    <s v="George Kittle"/>
    <n v="12.2"/>
    <n v="2024"/>
  </r>
  <r>
    <x v="11"/>
    <s v="Cam"/>
    <n v="7"/>
    <x v="5"/>
    <s v="Evan McPherson"/>
    <n v="3"/>
    <n v="2024"/>
  </r>
  <r>
    <x v="11"/>
    <s v="Cam"/>
    <n v="7"/>
    <x v="4"/>
    <s v="New Orleans"/>
    <n v="1"/>
    <n v="2024"/>
  </r>
  <r>
    <x v="11"/>
    <s v="Cam"/>
    <n v="7"/>
    <x v="7"/>
    <s v="Rhamondre Stevenson"/>
    <n v="3.5"/>
    <n v="2024"/>
  </r>
  <r>
    <x v="0"/>
    <s v="Brenton"/>
    <n v="8"/>
    <x v="0"/>
    <s v="Baker Mayfield"/>
    <n v="22.3"/>
    <n v="2024"/>
  </r>
  <r>
    <x v="0"/>
    <s v="Brenton"/>
    <n v="8"/>
    <x v="1"/>
    <s v="Zay Flowers"/>
    <n v="15"/>
    <n v="2024"/>
  </r>
  <r>
    <x v="0"/>
    <s v="Brenton"/>
    <n v="8"/>
    <x v="1"/>
    <s v="Courtland Sutton"/>
    <n v="13.12"/>
    <n v="2024"/>
  </r>
  <r>
    <x v="0"/>
    <s v="Brenton"/>
    <n v="8"/>
    <x v="1"/>
    <s v="Tyreek Hill"/>
    <n v="10.199999999999999"/>
    <n v="2024"/>
  </r>
  <r>
    <x v="0"/>
    <s v="Brenton"/>
    <n v="8"/>
    <x v="2"/>
    <s v="Tank Bigsby"/>
    <n v="9.6"/>
    <n v="2024"/>
  </r>
  <r>
    <x v="0"/>
    <s v="Brenton"/>
    <n v="8"/>
    <x v="2"/>
    <s v="Javonte Williams"/>
    <n v="7.2"/>
    <n v="2024"/>
  </r>
  <r>
    <x v="0"/>
    <s v="Brenton"/>
    <n v="8"/>
    <x v="3"/>
    <s v="Trey McBride"/>
    <n v="16.899999999999999"/>
    <n v="2024"/>
  </r>
  <r>
    <x v="0"/>
    <s v="Brenton"/>
    <n v="8"/>
    <x v="5"/>
    <s v="Will Reichard"/>
    <n v="8"/>
    <n v="2024"/>
  </r>
  <r>
    <x v="0"/>
    <s v="Brenton"/>
    <n v="8"/>
    <x v="4"/>
    <s v="Detroit"/>
    <n v="12"/>
    <n v="2024"/>
  </r>
  <r>
    <x v="0"/>
    <s v="Brenton"/>
    <n v="8"/>
    <x v="6"/>
    <s v="Jayden Reed"/>
    <n v="6.5"/>
    <n v="2024"/>
  </r>
  <r>
    <x v="8"/>
    <s v="Schulwolf"/>
    <n v="8"/>
    <x v="0"/>
    <s v="Jordan Love"/>
    <n v="5.74"/>
    <n v="2024"/>
  </r>
  <r>
    <x v="8"/>
    <s v="Schulwolf"/>
    <n v="8"/>
    <x v="1"/>
    <s v="Terry McLaurin"/>
    <n v="15"/>
    <n v="2024"/>
  </r>
  <r>
    <x v="8"/>
    <s v="Schulwolf"/>
    <n v="8"/>
    <x v="1"/>
    <s v="Devonta Smith"/>
    <n v="17.5"/>
    <n v="2024"/>
  </r>
  <r>
    <x v="8"/>
    <s v="Schulwolf"/>
    <n v="8"/>
    <x v="1"/>
    <s v="Cooper Kupp"/>
    <n v="13.6"/>
    <n v="2024"/>
  </r>
  <r>
    <x v="8"/>
    <s v="Schulwolf"/>
    <n v="8"/>
    <x v="2"/>
    <s v="Jahmyr Gibbs"/>
    <n v="19.8"/>
    <n v="2024"/>
  </r>
  <r>
    <x v="8"/>
    <s v="Schulwolf"/>
    <n v="8"/>
    <x v="2"/>
    <s v="James Cook"/>
    <n v="26.8"/>
    <n v="2024"/>
  </r>
  <r>
    <x v="8"/>
    <s v="Schulwolf"/>
    <n v="8"/>
    <x v="3"/>
    <s v="Dalton Kincaid"/>
    <n v="11.1"/>
    <n v="2024"/>
  </r>
  <r>
    <x v="8"/>
    <s v="Schulwolf"/>
    <n v="8"/>
    <x v="5"/>
    <s v="Brandon Aubrey"/>
    <n v="6"/>
    <n v="2024"/>
  </r>
  <r>
    <x v="8"/>
    <s v="Schulwolf"/>
    <n v="8"/>
    <x v="4"/>
    <s v="Denver"/>
    <n v="8"/>
    <n v="2024"/>
  </r>
  <r>
    <x v="8"/>
    <s v="Schulwolf"/>
    <n v="8"/>
    <x v="6"/>
    <s v="Tyler Lockett"/>
    <n v="1.4"/>
    <n v="2024"/>
  </r>
  <r>
    <x v="2"/>
    <s v="Mike"/>
    <n v="8"/>
    <x v="0"/>
    <s v="Tua Tagovailoa"/>
    <n v="14.66"/>
    <n v="2024"/>
  </r>
  <r>
    <x v="2"/>
    <s v="Mike"/>
    <n v="8"/>
    <x v="1"/>
    <s v="Khalil Shakir"/>
    <n v="15.4"/>
    <n v="2024"/>
  </r>
  <r>
    <x v="2"/>
    <s v="Mike"/>
    <n v="8"/>
    <x v="1"/>
    <s v="Tank Dell"/>
    <n v="11.5"/>
    <n v="2024"/>
  </r>
  <r>
    <x v="2"/>
    <s v="Mike"/>
    <n v="8"/>
    <x v="1"/>
    <s v="Davante Adams"/>
    <n v="7.4"/>
    <n v="2024"/>
  </r>
  <r>
    <x v="2"/>
    <s v="Mike"/>
    <n v="8"/>
    <x v="2"/>
    <s v="Derrick Henry"/>
    <n v="14.2"/>
    <n v="2024"/>
  </r>
  <r>
    <x v="2"/>
    <s v="Mike"/>
    <n v="8"/>
    <x v="2"/>
    <s v="Kareem Hunt"/>
    <n v="12.8"/>
    <n v="2024"/>
  </r>
  <r>
    <x v="2"/>
    <s v="Mike"/>
    <n v="8"/>
    <x v="3"/>
    <s v="Jake Ferguson"/>
    <n v="5.3"/>
    <n v="2024"/>
  </r>
  <r>
    <x v="2"/>
    <s v="Mike"/>
    <n v="8"/>
    <x v="5"/>
    <s v="Younghoe Koo"/>
    <n v="6"/>
    <n v="2024"/>
  </r>
  <r>
    <x v="2"/>
    <s v="Mike"/>
    <n v="8"/>
    <x v="4"/>
    <s v="Buffalo"/>
    <n v="10"/>
    <n v="2024"/>
  </r>
  <r>
    <x v="2"/>
    <s v="Mike"/>
    <n v="8"/>
    <x v="7"/>
    <s v="Nick Chubb"/>
    <n v="5.2"/>
    <n v="2024"/>
  </r>
  <r>
    <x v="10"/>
    <s v="Brand"/>
    <n v="8"/>
    <x v="0"/>
    <s v="Anthony Richardson"/>
    <n v="11.5"/>
    <n v="2024"/>
  </r>
  <r>
    <x v="10"/>
    <s v="Brand"/>
    <n v="8"/>
    <x v="1"/>
    <s v="Garrett Wilson"/>
    <n v="13.8"/>
    <n v="2024"/>
  </r>
  <r>
    <x v="10"/>
    <s v="Brand"/>
    <n v="8"/>
    <x v="1"/>
    <s v="Keenan Allen"/>
    <n v="4.9000000000000004"/>
    <n v="2024"/>
  </r>
  <r>
    <x v="10"/>
    <s v="Brand"/>
    <n v="8"/>
    <x v="1"/>
    <s v="Michael Pittman"/>
    <n v="2.1"/>
    <n v="2024"/>
  </r>
  <r>
    <x v="10"/>
    <s v="Brand"/>
    <n v="8"/>
    <x v="2"/>
    <s v="Bucky Irving"/>
    <n v="11.9"/>
    <n v="2024"/>
  </r>
  <r>
    <x v="10"/>
    <s v="Brand"/>
    <n v="8"/>
    <x v="2"/>
    <s v="Breece Hall"/>
    <n v="9.4"/>
    <n v="2024"/>
  </r>
  <r>
    <x v="10"/>
    <s v="Brand"/>
    <n v="8"/>
    <x v="3"/>
    <s v="Taysom Hill"/>
    <n v="5.22"/>
    <n v="2024"/>
  </r>
  <r>
    <x v="10"/>
    <s v="Brand"/>
    <n v="8"/>
    <x v="5"/>
    <s v="Cameron Dicker"/>
    <n v="8"/>
    <n v="2024"/>
  </r>
  <r>
    <x v="10"/>
    <s v="Brand"/>
    <n v="8"/>
    <x v="4"/>
    <s v="San Francisco"/>
    <n v="7"/>
    <n v="2024"/>
  </r>
  <r>
    <x v="10"/>
    <s v="Brand"/>
    <n v="8"/>
    <x v="7"/>
    <s v="Kenneth Walker"/>
    <n v="6.5"/>
    <n v="2024"/>
  </r>
  <r>
    <x v="1"/>
    <s v="Todd"/>
    <n v="8"/>
    <x v="0"/>
    <s v="Sam Darnold"/>
    <n v="18.2"/>
    <n v="2024"/>
  </r>
  <r>
    <x v="1"/>
    <s v="Todd"/>
    <n v="8"/>
    <x v="1"/>
    <s v="Darnell Mooney"/>
    <n v="16.600000000000001"/>
    <n v="2024"/>
  </r>
  <r>
    <x v="1"/>
    <s v="Todd"/>
    <n v="8"/>
    <x v="1"/>
    <s v="Brian Thomas Jr"/>
    <n v="13.5"/>
    <n v="2024"/>
  </r>
  <r>
    <x v="1"/>
    <s v="Todd"/>
    <n v="8"/>
    <x v="1"/>
    <s v="AJ Brown"/>
    <n v="10.9"/>
    <n v="2024"/>
  </r>
  <r>
    <x v="1"/>
    <s v="Todd"/>
    <n v="8"/>
    <x v="2"/>
    <s v="De'Von Achane"/>
    <n v="23.7"/>
    <n v="2024"/>
  </r>
  <r>
    <x v="1"/>
    <s v="Todd"/>
    <n v="8"/>
    <x v="2"/>
    <s v="James Conner"/>
    <n v="13.9"/>
    <n v="2024"/>
  </r>
  <r>
    <x v="1"/>
    <s v="Todd"/>
    <n v="8"/>
    <x v="3"/>
    <s v="Tucker Kraft"/>
    <n v="15.3"/>
    <n v="2024"/>
  </r>
  <r>
    <x v="1"/>
    <s v="Todd"/>
    <n v="8"/>
    <x v="5"/>
    <s v="Chris Boswell"/>
    <n v="14"/>
    <n v="2024"/>
  </r>
  <r>
    <x v="1"/>
    <s v="Todd"/>
    <n v="8"/>
    <x v="4"/>
    <s v="LA Chargers"/>
    <n v="11"/>
    <n v="2024"/>
  </r>
  <r>
    <x v="1"/>
    <s v="Todd"/>
    <n v="8"/>
    <x v="6"/>
    <s v="Deebo Samuel"/>
    <n v="10.6"/>
    <n v="2024"/>
  </r>
  <r>
    <x v="5"/>
    <s v="Burnett/Jasjaap"/>
    <n v="8"/>
    <x v="0"/>
    <s v="Brock Purdy"/>
    <n v="26"/>
    <n v="2024"/>
  </r>
  <r>
    <x v="5"/>
    <s v="Burnett/Jasjaap"/>
    <n v="8"/>
    <x v="1"/>
    <s v="CeeDee Lamb"/>
    <n v="33.1"/>
    <n v="2024"/>
  </r>
  <r>
    <x v="5"/>
    <s v="Burnett/Jasjaap"/>
    <n v="8"/>
    <x v="1"/>
    <s v="Jerry Jeudy"/>
    <n v="10.4"/>
    <n v="2024"/>
  </r>
  <r>
    <x v="5"/>
    <s v="Burnett/Jasjaap"/>
    <n v="8"/>
    <x v="1"/>
    <s v="Ricky Pearsall"/>
    <n v="9.6999999999999993"/>
    <n v="2024"/>
  </r>
  <r>
    <x v="5"/>
    <s v="Burnett/Jasjaap"/>
    <n v="8"/>
    <x v="2"/>
    <s v="Josh Jacobs"/>
    <n v="25"/>
    <n v="2024"/>
  </r>
  <r>
    <x v="5"/>
    <s v="Burnett/Jasjaap"/>
    <n v="8"/>
    <x v="2"/>
    <s v="David Montgomery"/>
    <n v="14.42"/>
    <n v="2024"/>
  </r>
  <r>
    <x v="5"/>
    <s v="Burnett/Jasjaap"/>
    <n v="8"/>
    <x v="3"/>
    <s v="Brock Bowers"/>
    <n v="8.3000000000000007"/>
    <n v="2024"/>
  </r>
  <r>
    <x v="5"/>
    <s v="Burnett/Jasjaap"/>
    <n v="8"/>
    <x v="5"/>
    <s v="Austin Seibert"/>
    <n v="13"/>
    <n v="2024"/>
  </r>
  <r>
    <x v="5"/>
    <s v="Burnett/Jasjaap"/>
    <n v="8"/>
    <x v="4"/>
    <s v="Kansas City"/>
    <n v="9"/>
    <n v="2024"/>
  </r>
  <r>
    <x v="5"/>
    <s v="Burnett/Jasjaap"/>
    <n v="8"/>
    <x v="6"/>
    <s v="Jaylen Waddle"/>
    <n v="6.5"/>
    <n v="2024"/>
  </r>
  <r>
    <x v="4"/>
    <s v="Eli"/>
    <n v="8"/>
    <x v="0"/>
    <s v="Jalen Hurts"/>
    <n v="35.14"/>
    <n v="2024"/>
  </r>
  <r>
    <x v="4"/>
    <s v="Eli"/>
    <n v="8"/>
    <x v="1"/>
    <s v="Justin Jefferson"/>
    <n v="15.5"/>
    <n v="2024"/>
  </r>
  <r>
    <x v="4"/>
    <s v="Eli"/>
    <n v="8"/>
    <x v="1"/>
    <s v="Jalen McMillan"/>
    <n v="7.2"/>
    <n v="2024"/>
  </r>
  <r>
    <x v="4"/>
    <s v="Eli"/>
    <n v="8"/>
    <x v="1"/>
    <s v="DJ Moore"/>
    <n v="4.4000000000000004"/>
    <n v="2024"/>
  </r>
  <r>
    <x v="4"/>
    <s v="Eli"/>
    <n v="8"/>
    <x v="2"/>
    <s v="Bijan Robinson"/>
    <n v="20.100000000000001"/>
    <n v="2024"/>
  </r>
  <r>
    <x v="4"/>
    <s v="Eli"/>
    <n v="8"/>
    <x v="2"/>
    <s v="Jordan Mason"/>
    <n v="1.8"/>
    <n v="2024"/>
  </r>
  <r>
    <x v="4"/>
    <s v="Eli"/>
    <n v="8"/>
    <x v="3"/>
    <s v="Kyle Pitts"/>
    <n v="23.1"/>
    <n v="2024"/>
  </r>
  <r>
    <x v="4"/>
    <s v="Eli"/>
    <n v="8"/>
    <x v="5"/>
    <s v="Tyler Bass"/>
    <n v="7"/>
    <n v="2024"/>
  </r>
  <r>
    <x v="4"/>
    <s v="Eli"/>
    <n v="8"/>
    <x v="4"/>
    <s v="NYJ"/>
    <n v="3"/>
    <n v="2024"/>
  </r>
  <r>
    <x v="4"/>
    <s v="Eli"/>
    <n v="8"/>
    <x v="8"/>
    <s v="David Njoku"/>
    <n v="14.6"/>
    <n v="2024"/>
  </r>
  <r>
    <x v="11"/>
    <s v="Cam"/>
    <n v="8"/>
    <x v="0"/>
    <s v="Joe Burrow"/>
    <n v="12.86"/>
    <n v="2024"/>
  </r>
  <r>
    <x v="11"/>
    <s v="Cam"/>
    <n v="8"/>
    <x v="1"/>
    <s v="Ja'Marr Chase"/>
    <n v="15.9"/>
    <n v="2024"/>
  </r>
  <r>
    <x v="11"/>
    <s v="Cam"/>
    <n v="8"/>
    <x v="1"/>
    <s v="Jakobi Meyers"/>
    <n v="14.2"/>
    <n v="2024"/>
  </r>
  <r>
    <x v="11"/>
    <s v="Cam"/>
    <n v="8"/>
    <x v="1"/>
    <s v="Wan'Dale Robinson"/>
    <n v="5.5"/>
    <n v="2024"/>
  </r>
  <r>
    <x v="11"/>
    <s v="Cam"/>
    <n v="8"/>
    <x v="2"/>
    <s v="D'Andre Swift"/>
    <n v="18.899999999999999"/>
    <n v="2024"/>
  </r>
  <r>
    <x v="11"/>
    <s v="Cam"/>
    <n v="8"/>
    <x v="2"/>
    <s v="JK Dobbins"/>
    <n v="14.8"/>
    <n v="2024"/>
  </r>
  <r>
    <x v="11"/>
    <s v="Cam"/>
    <n v="8"/>
    <x v="3"/>
    <s v="George Kittle"/>
    <n v="21.8"/>
    <n v="2024"/>
  </r>
  <r>
    <x v="11"/>
    <s v="Cam"/>
    <n v="8"/>
    <x v="5"/>
    <s v="Evan McPherson"/>
    <n v="5"/>
    <n v="2024"/>
  </r>
  <r>
    <x v="11"/>
    <s v="Cam"/>
    <n v="8"/>
    <x v="4"/>
    <s v="Green Bay"/>
    <n v="4"/>
    <n v="2024"/>
  </r>
  <r>
    <x v="11"/>
    <s v="Cam"/>
    <n v="8"/>
    <x v="7"/>
    <s v="Aaron Jones"/>
    <n v="10.5"/>
    <n v="2024"/>
  </r>
  <r>
    <x v="6"/>
    <s v="Will"/>
    <n v="8"/>
    <x v="0"/>
    <s v="Caleb Williams"/>
    <n v="9.94"/>
    <n v="2024"/>
  </r>
  <r>
    <x v="6"/>
    <s v="Will"/>
    <n v="8"/>
    <x v="1"/>
    <s v="Ladd McConkey"/>
    <n v="26.1"/>
    <n v="2024"/>
  </r>
  <r>
    <x v="6"/>
    <s v="Will"/>
    <n v="8"/>
    <x v="1"/>
    <s v="Jaxon Smith-Njigba"/>
    <n v="9.9"/>
    <n v="2024"/>
  </r>
  <r>
    <x v="6"/>
    <s v="Will"/>
    <n v="8"/>
    <x v="1"/>
    <s v="Amon-Ra St. Brown"/>
    <n v="7.7"/>
    <n v="2024"/>
  </r>
  <r>
    <x v="6"/>
    <s v="Will"/>
    <n v="8"/>
    <x v="2"/>
    <s v="Austin Ekeler"/>
    <n v="6.8"/>
    <n v="2024"/>
  </r>
  <r>
    <x v="6"/>
    <s v="Will"/>
    <n v="8"/>
    <x v="2"/>
    <s v="D'Ernest Johnson"/>
    <n v="2.8"/>
    <n v="2024"/>
  </r>
  <r>
    <x v="6"/>
    <s v="Will"/>
    <n v="8"/>
    <x v="3"/>
    <s v="Travis Kelce"/>
    <n v="20"/>
    <n v="2024"/>
  </r>
  <r>
    <x v="6"/>
    <s v="Will"/>
    <n v="8"/>
    <x v="5"/>
    <s v="Jason Myers"/>
    <n v="4"/>
    <n v="2024"/>
  </r>
  <r>
    <x v="6"/>
    <s v="Will"/>
    <n v="8"/>
    <x v="4"/>
    <s v="Houston"/>
    <n v="9"/>
    <n v="2024"/>
  </r>
  <r>
    <x v="6"/>
    <s v="Will"/>
    <n v="8"/>
    <x v="6"/>
    <s v="Drake London"/>
    <n v="5.4"/>
    <n v="2024"/>
  </r>
  <r>
    <x v="3"/>
    <s v="Kevin"/>
    <n v="8"/>
    <x v="0"/>
    <s v="CJ Stroud"/>
    <n v="12.4"/>
    <n v="2024"/>
  </r>
  <r>
    <x v="3"/>
    <s v="Kevin"/>
    <n v="8"/>
    <x v="1"/>
    <s v="Marvin Harrison Jr"/>
    <n v="20.100000000000001"/>
    <n v="2024"/>
  </r>
  <r>
    <x v="3"/>
    <s v="Kevin"/>
    <n v="8"/>
    <x v="1"/>
    <s v="George Pickens"/>
    <n v="9.4"/>
    <n v="2024"/>
  </r>
  <r>
    <x v="3"/>
    <s v="Kevin"/>
    <n v="8"/>
    <x v="1"/>
    <s v="Jordan Addison"/>
    <n v="3.2"/>
    <n v="2024"/>
  </r>
  <r>
    <x v="3"/>
    <s v="Kevin"/>
    <n v="8"/>
    <x v="2"/>
    <s v="Joe Mixon"/>
    <n v="21.4"/>
    <n v="2024"/>
  </r>
  <r>
    <x v="3"/>
    <s v="Kevin"/>
    <n v="8"/>
    <x v="2"/>
    <s v="Najee Harris"/>
    <n v="14.6"/>
    <n v="2024"/>
  </r>
  <r>
    <x v="3"/>
    <s v="Kevin"/>
    <n v="8"/>
    <x v="3"/>
    <s v="Hunter Henry"/>
    <n v="7"/>
    <n v="2024"/>
  </r>
  <r>
    <x v="3"/>
    <s v="Kevin"/>
    <n v="8"/>
    <x v="5"/>
    <s v="Justin Tucker"/>
    <n v="7"/>
    <n v="2024"/>
  </r>
  <r>
    <x v="3"/>
    <s v="Kevin"/>
    <n v="8"/>
    <x v="4"/>
    <s v="NY Giants"/>
    <n v="2"/>
    <n v="2024"/>
  </r>
  <r>
    <x v="3"/>
    <s v="Kevin"/>
    <n v="8"/>
    <x v="7"/>
    <s v="Chuba Hubbard"/>
    <n v="8.1"/>
    <n v="2024"/>
  </r>
  <r>
    <x v="7"/>
    <s v="Jay"/>
    <n v="8"/>
    <x v="0"/>
    <s v="Lamar Jackson"/>
    <n v="24.16"/>
    <n v="2024"/>
  </r>
  <r>
    <x v="7"/>
    <s v="Jay"/>
    <n v="8"/>
    <x v="1"/>
    <s v="Stefon Diggs"/>
    <n v="10.199999999999999"/>
    <n v="2024"/>
  </r>
  <r>
    <x v="7"/>
    <s v="Jay"/>
    <n v="8"/>
    <x v="1"/>
    <s v="Christian Kirk"/>
    <n v="6.9"/>
    <n v="2024"/>
  </r>
  <r>
    <x v="7"/>
    <s v="Jay"/>
    <n v="8"/>
    <x v="1"/>
    <s v="Amari Cooper"/>
    <n v="0.8"/>
    <n v="2024"/>
  </r>
  <r>
    <x v="7"/>
    <s v="Jay"/>
    <n v="8"/>
    <x v="2"/>
    <s v="Jonathan Taylor"/>
    <n v="18.2"/>
    <n v="2024"/>
  </r>
  <r>
    <x v="7"/>
    <s v="Jay"/>
    <n v="8"/>
    <x v="2"/>
    <s v="Alvin Kamara"/>
    <n v="15.2"/>
    <n v="2024"/>
  </r>
  <r>
    <x v="7"/>
    <s v="Jay"/>
    <n v="8"/>
    <x v="3"/>
    <s v="Evan Engram"/>
    <n v="11.6"/>
    <n v="2024"/>
  </r>
  <r>
    <x v="7"/>
    <s v="Jay"/>
    <n v="8"/>
    <x v="5"/>
    <s v="Ka'imi Fairbairn"/>
    <n v="11"/>
    <n v="2024"/>
  </r>
  <r>
    <x v="7"/>
    <s v="Jay"/>
    <n v="8"/>
    <x v="4"/>
    <s v="Miami"/>
    <n v="-1"/>
    <n v="2024"/>
  </r>
  <r>
    <x v="7"/>
    <s v="Jay"/>
    <n v="8"/>
    <x v="7"/>
    <s v="Brian Robinson"/>
    <n v="8.1"/>
    <n v="2024"/>
  </r>
  <r>
    <x v="9"/>
    <s v="Tommy"/>
    <n v="8"/>
    <x v="0"/>
    <s v="Josh Allen"/>
    <n v="19.82"/>
    <n v="2024"/>
  </r>
  <r>
    <x v="9"/>
    <s v="Tommy"/>
    <n v="8"/>
    <x v="1"/>
    <s v="Malik Nabers"/>
    <n v="10.6"/>
    <n v="2024"/>
  </r>
  <r>
    <x v="9"/>
    <s v="Tommy"/>
    <n v="8"/>
    <x v="1"/>
    <s v="Xavier Worthy"/>
    <n v="11.7"/>
    <n v="2024"/>
  </r>
  <r>
    <x v="9"/>
    <s v="Tommy"/>
    <n v="8"/>
    <x v="1"/>
    <s v="Romeo Doubs"/>
    <n v="8.6999999999999993"/>
    <n v="2024"/>
  </r>
  <r>
    <x v="9"/>
    <s v="Tommy"/>
    <n v="8"/>
    <x v="2"/>
    <s v="Kyren Williams"/>
    <n v="20.100000000000001"/>
    <n v="2024"/>
  </r>
  <r>
    <x v="9"/>
    <s v="Tommy"/>
    <n v="8"/>
    <x v="2"/>
    <s v="Rachaad White"/>
    <n v="13.2"/>
    <n v="2024"/>
  </r>
  <r>
    <x v="9"/>
    <s v="Tommy"/>
    <n v="8"/>
    <x v="3"/>
    <s v="Mark Andrews"/>
    <n v="12.1"/>
    <n v="2024"/>
  </r>
  <r>
    <x v="9"/>
    <s v="Tommy"/>
    <n v="8"/>
    <x v="5"/>
    <s v="Harrison Butker"/>
    <n v="10"/>
    <n v="2024"/>
  </r>
  <r>
    <x v="9"/>
    <s v="Tommy"/>
    <n v="8"/>
    <x v="4"/>
    <s v="Minnesota"/>
    <n v="0"/>
    <n v="2024"/>
  </r>
  <r>
    <x v="9"/>
    <s v="Tommy"/>
    <n v="8"/>
    <x v="7"/>
    <s v="Saquon Barkley"/>
    <n v="11.6"/>
    <n v="2024"/>
  </r>
  <r>
    <x v="0"/>
    <s v="Brenton"/>
    <n v="9"/>
    <x v="0"/>
    <s v="Baker Mayfield"/>
    <n v="18"/>
    <n v="2024"/>
  </r>
  <r>
    <x v="0"/>
    <s v="Brenton"/>
    <n v="9"/>
    <x v="1"/>
    <s v="Courtland Sutton"/>
    <n v="19.78"/>
    <n v="2024"/>
  </r>
  <r>
    <x v="0"/>
    <s v="Brenton"/>
    <n v="9"/>
    <x v="1"/>
    <s v="Cedric Tillman"/>
    <n v="16.5"/>
    <n v="2024"/>
  </r>
  <r>
    <x v="0"/>
    <s v="Brenton"/>
    <n v="9"/>
    <x v="1"/>
    <s v="Jayden Reed"/>
    <n v="13.8"/>
    <n v="2024"/>
  </r>
  <r>
    <x v="0"/>
    <s v="Brenton"/>
    <n v="9"/>
    <x v="2"/>
    <s v="Javonte Williams"/>
    <n v="9.4"/>
    <n v="2024"/>
  </r>
  <r>
    <x v="0"/>
    <s v="Brenton"/>
    <n v="9"/>
    <x v="2"/>
    <s v="Tyrone Tracy"/>
    <n v="7.4"/>
    <n v="2024"/>
  </r>
  <r>
    <x v="0"/>
    <s v="Brenton"/>
    <n v="9"/>
    <x v="3"/>
    <s v="Trey McBride"/>
    <n v="11.2"/>
    <n v="2024"/>
  </r>
  <r>
    <x v="0"/>
    <s v="Brenton"/>
    <n v="9"/>
    <x v="5"/>
    <s v="Will Reichard"/>
    <n v="2"/>
    <n v="2024"/>
  </r>
  <r>
    <x v="0"/>
    <s v="Brenton"/>
    <n v="9"/>
    <x v="4"/>
    <s v="Baltimore"/>
    <n v="9"/>
    <n v="2024"/>
  </r>
  <r>
    <x v="0"/>
    <s v="Brenton"/>
    <n v="9"/>
    <x v="6"/>
    <s v="Tyreek Hill"/>
    <n v="10"/>
    <n v="2024"/>
  </r>
  <r>
    <x v="10"/>
    <s v="Brand"/>
    <n v="9"/>
    <x v="0"/>
    <s v="Kirk Cousins"/>
    <n v="17.78"/>
    <n v="2024"/>
  </r>
  <r>
    <x v="10"/>
    <s v="Brand"/>
    <n v="9"/>
    <x v="1"/>
    <s v="Garrett Wilson"/>
    <n v="25.5"/>
    <n v="2024"/>
  </r>
  <r>
    <x v="10"/>
    <s v="Brand"/>
    <n v="9"/>
    <x v="1"/>
    <s v="Keenan Allen"/>
    <n v="5.6"/>
    <n v="2024"/>
  </r>
  <r>
    <x v="10"/>
    <s v="Brand"/>
    <n v="9"/>
    <x v="1"/>
    <s v="Michael Pittman"/>
    <n v="1.9"/>
    <n v="2024"/>
  </r>
  <r>
    <x v="10"/>
    <s v="Brand"/>
    <n v="9"/>
    <x v="2"/>
    <s v="Kenneth Walker"/>
    <n v="12.2"/>
    <n v="2024"/>
  </r>
  <r>
    <x v="10"/>
    <s v="Brand"/>
    <n v="9"/>
    <x v="2"/>
    <s v="Breece Hall"/>
    <n v="9.5"/>
    <n v="2024"/>
  </r>
  <r>
    <x v="10"/>
    <s v="Brand"/>
    <n v="9"/>
    <x v="3"/>
    <s v="Taysom Hill"/>
    <n v="14"/>
    <n v="2024"/>
  </r>
  <r>
    <x v="10"/>
    <s v="Brand"/>
    <n v="9"/>
    <x v="5"/>
    <s v="Cameron Dicker"/>
    <n v="1"/>
    <n v="2024"/>
  </r>
  <r>
    <x v="10"/>
    <s v="Brand"/>
    <n v="9"/>
    <x v="4"/>
    <s v="LA Chargers"/>
    <n v="19"/>
    <n v="2024"/>
  </r>
  <r>
    <x v="10"/>
    <s v="Brand"/>
    <n v="9"/>
    <x v="7"/>
    <s v="Bucky Irving"/>
    <n v="4.9000000000000004"/>
    <n v="2024"/>
  </r>
  <r>
    <x v="2"/>
    <s v="Mike"/>
    <n v="9"/>
    <x v="0"/>
    <s v="Patrick Mahomes"/>
    <n v="24.54"/>
    <n v="2024"/>
  </r>
  <r>
    <x v="2"/>
    <s v="Mike"/>
    <n v="9"/>
    <x v="1"/>
    <s v="Davante Adams"/>
    <n v="18.600000000000001"/>
    <n v="2024"/>
  </r>
  <r>
    <x v="2"/>
    <s v="Mike"/>
    <n v="9"/>
    <x v="1"/>
    <s v="Tank Dell"/>
    <n v="15.6"/>
    <n v="2024"/>
  </r>
  <r>
    <x v="2"/>
    <s v="Mike"/>
    <n v="9"/>
    <x v="1"/>
    <s v="Khalil Shakir"/>
    <n v="8"/>
    <n v="2024"/>
  </r>
  <r>
    <x v="2"/>
    <s v="Mike"/>
    <n v="9"/>
    <x v="2"/>
    <s v="Derrick Henry"/>
    <n v="25.8"/>
    <n v="2024"/>
  </r>
  <r>
    <x v="2"/>
    <s v="Mike"/>
    <n v="9"/>
    <x v="2"/>
    <s v="Kareem Hunt"/>
    <n v="18.2"/>
    <n v="2024"/>
  </r>
  <r>
    <x v="2"/>
    <s v="Mike"/>
    <n v="9"/>
    <x v="3"/>
    <s v="Sam LaPorta"/>
    <n v="3.8"/>
    <n v="2024"/>
  </r>
  <r>
    <x v="2"/>
    <s v="Mike"/>
    <n v="9"/>
    <x v="5"/>
    <s v="Younghoe Koo"/>
    <n v="3"/>
    <n v="2024"/>
  </r>
  <r>
    <x v="2"/>
    <s v="Mike"/>
    <n v="9"/>
    <x v="4"/>
    <s v="Buffalo"/>
    <n v="2"/>
    <n v="2024"/>
  </r>
  <r>
    <x v="2"/>
    <s v="Mike"/>
    <n v="9"/>
    <x v="7"/>
    <s v="Nick Chubb"/>
    <n v="4"/>
    <n v="2024"/>
  </r>
  <r>
    <x v="5"/>
    <s v="Burnett/Jasjaap"/>
    <n v="9"/>
    <x v="0"/>
    <s v="Bo Nix"/>
    <n v="17.22"/>
    <n v="2024"/>
  </r>
  <r>
    <x v="5"/>
    <s v="Burnett/Jasjaap"/>
    <n v="9"/>
    <x v="1"/>
    <s v="CeeDee Lamb"/>
    <n v="12.2"/>
    <n v="2024"/>
  </r>
  <r>
    <x v="5"/>
    <s v="Burnett/Jasjaap"/>
    <n v="9"/>
    <x v="1"/>
    <s v="Jaylen Waddle"/>
    <n v="6.6"/>
    <n v="2024"/>
  </r>
  <r>
    <x v="5"/>
    <s v="Burnett/Jasjaap"/>
    <n v="9"/>
    <x v="1"/>
    <s v="Jerry Jeudy"/>
    <n v="10.8"/>
    <n v="2024"/>
  </r>
  <r>
    <x v="5"/>
    <s v="Burnett/Jasjaap"/>
    <n v="9"/>
    <x v="2"/>
    <s v="Josh Jacobs"/>
    <n v="11.8"/>
    <n v="2024"/>
  </r>
  <r>
    <x v="5"/>
    <s v="Burnett/Jasjaap"/>
    <n v="9"/>
    <x v="2"/>
    <s v="David Montgomery"/>
    <n v="11.1"/>
    <n v="2024"/>
  </r>
  <r>
    <x v="5"/>
    <s v="Burnett/Jasjaap"/>
    <n v="9"/>
    <x v="3"/>
    <s v="Brock Bowers"/>
    <n v="13"/>
    <n v="2024"/>
  </r>
  <r>
    <x v="5"/>
    <s v="Burnett/Jasjaap"/>
    <n v="9"/>
    <x v="5"/>
    <s v="Austin Seibert"/>
    <n v="9"/>
    <n v="2024"/>
  </r>
  <r>
    <x v="5"/>
    <s v="Burnett/Jasjaap"/>
    <n v="9"/>
    <x v="4"/>
    <s v="Kansas City"/>
    <n v="3"/>
    <n v="2024"/>
  </r>
  <r>
    <x v="5"/>
    <s v="Burnett/Jasjaap"/>
    <n v="9"/>
    <x v="6"/>
    <s v="Puka Nacua"/>
    <n v="1.6"/>
    <n v="2024"/>
  </r>
  <r>
    <x v="1"/>
    <s v="Todd"/>
    <n v="9"/>
    <x v="0"/>
    <s v="Sam Darnold"/>
    <n v="19"/>
    <n v="2024"/>
  </r>
  <r>
    <x v="1"/>
    <s v="Todd"/>
    <n v="9"/>
    <x v="1"/>
    <s v="Darnell Mooney"/>
    <n v="17.3"/>
    <n v="2024"/>
  </r>
  <r>
    <x v="1"/>
    <s v="Todd"/>
    <n v="9"/>
    <x v="1"/>
    <s v="AJ Brown"/>
    <n v="4.5999999999999996"/>
    <n v="2024"/>
  </r>
  <r>
    <x v="1"/>
    <s v="Todd"/>
    <n v="9"/>
    <x v="1"/>
    <s v="Brian Thomas Jr"/>
    <n v="5.2"/>
    <n v="2024"/>
  </r>
  <r>
    <x v="1"/>
    <s v="Todd"/>
    <n v="9"/>
    <x v="2"/>
    <s v="De'Von Achane"/>
    <n v="28.1"/>
    <n v="2024"/>
  </r>
  <r>
    <x v="1"/>
    <s v="Todd"/>
    <n v="9"/>
    <x v="2"/>
    <s v="James Conner"/>
    <n v="13.4"/>
    <n v="2024"/>
  </r>
  <r>
    <x v="1"/>
    <s v="Todd"/>
    <n v="9"/>
    <x v="3"/>
    <s v="Tucker Kraft"/>
    <n v="5.6"/>
    <n v="2024"/>
  </r>
  <r>
    <x v="1"/>
    <s v="Todd"/>
    <n v="9"/>
    <x v="5"/>
    <s v="Jake Elliott"/>
    <n v="5"/>
    <n v="2024"/>
  </r>
  <r>
    <x v="1"/>
    <s v="Todd"/>
    <n v="9"/>
    <x v="4"/>
    <s v="New Orleans"/>
    <n v="4"/>
    <n v="2024"/>
  </r>
  <r>
    <x v="1"/>
    <s v="Todd"/>
    <n v="9"/>
    <x v="6"/>
    <s v="Diontae Johnson"/>
    <n v="0"/>
    <n v="2024"/>
  </r>
  <r>
    <x v="6"/>
    <s v="Will"/>
    <n v="9"/>
    <x v="0"/>
    <s v="Caleb Williams"/>
    <n v="9.18"/>
    <n v="2024"/>
  </r>
  <r>
    <x v="6"/>
    <s v="Will"/>
    <n v="9"/>
    <x v="1"/>
    <s v="Drake London"/>
    <n v="9.6999999999999993"/>
    <n v="2024"/>
  </r>
  <r>
    <x v="6"/>
    <s v="Will"/>
    <n v="9"/>
    <x v="1"/>
    <s v="Amon-Ra St. Brown"/>
    <n v="15.1"/>
    <n v="2024"/>
  </r>
  <r>
    <x v="6"/>
    <s v="Will"/>
    <n v="9"/>
    <x v="1"/>
    <s v="Josh Downs"/>
    <n v="9"/>
    <n v="2024"/>
  </r>
  <r>
    <x v="6"/>
    <s v="Will"/>
    <n v="9"/>
    <x v="2"/>
    <s v="Tony Pollard"/>
    <n v="16.899999999999999"/>
    <n v="2024"/>
  </r>
  <r>
    <x v="6"/>
    <s v="Will"/>
    <n v="9"/>
    <x v="2"/>
    <s v="Travis Etienne"/>
    <n v="4"/>
    <n v="2024"/>
  </r>
  <r>
    <x v="6"/>
    <s v="Will"/>
    <n v="9"/>
    <x v="3"/>
    <s v="Travis Kelce"/>
    <n v="15"/>
    <n v="2024"/>
  </r>
  <r>
    <x v="6"/>
    <s v="Will"/>
    <n v="9"/>
    <x v="5"/>
    <s v="Jason Myers"/>
    <n v="1"/>
    <n v="2024"/>
  </r>
  <r>
    <x v="6"/>
    <s v="Will"/>
    <n v="9"/>
    <x v="4"/>
    <s v="Houston"/>
    <n v="3"/>
    <n v="2024"/>
  </r>
  <r>
    <x v="6"/>
    <s v="Will"/>
    <n v="9"/>
    <x v="6"/>
    <s v="Ladd McConkey"/>
    <n v="8.9"/>
    <n v="2024"/>
  </r>
  <r>
    <x v="4"/>
    <s v="Eli"/>
    <n v="9"/>
    <x v="0"/>
    <s v="Jalen Hurts"/>
    <n v="29.9"/>
    <n v="2024"/>
  </r>
  <r>
    <x v="4"/>
    <s v="Eli"/>
    <n v="9"/>
    <x v="1"/>
    <s v="Justin Jefferson"/>
    <n v="18.079999999999998"/>
    <n v="2024"/>
  </r>
  <r>
    <x v="4"/>
    <s v="Eli"/>
    <n v="9"/>
    <x v="1"/>
    <s v="Xavier Legette"/>
    <n v="11.9"/>
    <n v="2024"/>
  </r>
  <r>
    <x v="4"/>
    <s v="Eli"/>
    <n v="9"/>
    <x v="1"/>
    <s v="DJ Moore"/>
    <n v="5.3"/>
    <n v="2024"/>
  </r>
  <r>
    <x v="4"/>
    <s v="Eli"/>
    <n v="9"/>
    <x v="2"/>
    <s v="Bijan Robinson"/>
    <n v="18"/>
    <n v="2024"/>
  </r>
  <r>
    <x v="4"/>
    <s v="Eli"/>
    <n v="9"/>
    <x v="2"/>
    <s v="Roschon Johnson"/>
    <n v="3.1"/>
    <n v="2024"/>
  </r>
  <r>
    <x v="4"/>
    <s v="Eli"/>
    <n v="9"/>
    <x v="3"/>
    <s v="David Njoku"/>
    <n v="5.4"/>
    <n v="2024"/>
  </r>
  <r>
    <x v="4"/>
    <s v="Eli"/>
    <n v="9"/>
    <x v="5"/>
    <s v="Tyler Bass"/>
    <n v="13"/>
    <n v="2024"/>
  </r>
  <r>
    <x v="4"/>
    <s v="Eli"/>
    <n v="9"/>
    <x v="4"/>
    <s v="NYJ"/>
    <n v="13"/>
    <n v="2024"/>
  </r>
  <r>
    <x v="4"/>
    <s v="Eli"/>
    <n v="9"/>
    <x v="8"/>
    <s v="Kyle Pitts"/>
    <n v="1.6"/>
    <n v="2024"/>
  </r>
  <r>
    <x v="9"/>
    <s v="Tommy"/>
    <n v="9"/>
    <x v="0"/>
    <s v="Josh Allen"/>
    <n v="22.1"/>
    <n v="2024"/>
  </r>
  <r>
    <x v="9"/>
    <s v="Tommy"/>
    <n v="9"/>
    <x v="1"/>
    <s v="Malik Nabers"/>
    <n v="10.4"/>
    <n v="2024"/>
  </r>
  <r>
    <x v="9"/>
    <s v="Tommy"/>
    <n v="9"/>
    <x v="1"/>
    <s v="Romeo Doubs"/>
    <n v="4.8"/>
    <n v="2024"/>
  </r>
  <r>
    <x v="9"/>
    <s v="Tommy"/>
    <n v="9"/>
    <x v="1"/>
    <s v="Xavier Worthy"/>
    <n v="-1"/>
    <n v="2024"/>
  </r>
  <r>
    <x v="9"/>
    <s v="Tommy"/>
    <n v="9"/>
    <x v="2"/>
    <s v="Saquon Barkley"/>
    <n v="31.4"/>
    <n v="2024"/>
  </r>
  <r>
    <x v="9"/>
    <s v="Tommy"/>
    <n v="9"/>
    <x v="2"/>
    <s v="Kyren Williams"/>
    <n v="10"/>
    <n v="2024"/>
  </r>
  <r>
    <x v="9"/>
    <s v="Tommy"/>
    <n v="9"/>
    <x v="3"/>
    <s v="Mark Andrews"/>
    <n v="3.6"/>
    <n v="2024"/>
  </r>
  <r>
    <x v="9"/>
    <s v="Tommy"/>
    <n v="9"/>
    <x v="5"/>
    <s v="Harrison Butker"/>
    <n v="7"/>
    <n v="2024"/>
  </r>
  <r>
    <x v="9"/>
    <s v="Tommy"/>
    <n v="9"/>
    <x v="4"/>
    <s v="Minnesota"/>
    <n v="12"/>
    <n v="2024"/>
  </r>
  <r>
    <x v="9"/>
    <s v="Tommy"/>
    <n v="9"/>
    <x v="7"/>
    <s v="Alexander Mattison"/>
    <n v="3.6"/>
    <n v="2024"/>
  </r>
  <r>
    <x v="8"/>
    <s v="Schulwolf"/>
    <n v="9"/>
    <x v="0"/>
    <s v="Jayden Daniels"/>
    <n v="19.86"/>
    <n v="2024"/>
  </r>
  <r>
    <x v="8"/>
    <s v="Schulwolf"/>
    <n v="9"/>
    <x v="1"/>
    <s v="Devonta Smith"/>
    <n v="16.7"/>
    <n v="2024"/>
  </r>
  <r>
    <x v="8"/>
    <s v="Schulwolf"/>
    <n v="9"/>
    <x v="1"/>
    <s v="Cooper Kupp"/>
    <n v="15.9"/>
    <n v="2024"/>
  </r>
  <r>
    <x v="8"/>
    <s v="Schulwolf"/>
    <n v="9"/>
    <x v="1"/>
    <s v="Terry McLaurin"/>
    <n v="14.9"/>
    <n v="2024"/>
  </r>
  <r>
    <x v="8"/>
    <s v="Schulwolf"/>
    <n v="9"/>
    <x v="2"/>
    <s v="Jahmyr Gibbs"/>
    <n v="14.1"/>
    <n v="2024"/>
  </r>
  <r>
    <x v="8"/>
    <s v="Schulwolf"/>
    <n v="9"/>
    <x v="2"/>
    <s v="James Cook"/>
    <n v="9.4"/>
    <n v="2024"/>
  </r>
  <r>
    <x v="8"/>
    <s v="Schulwolf"/>
    <n v="9"/>
    <x v="3"/>
    <s v="Dalton Kincaid"/>
    <n v="5.2"/>
    <n v="2024"/>
  </r>
  <r>
    <x v="8"/>
    <s v="Schulwolf"/>
    <n v="9"/>
    <x v="5"/>
    <s v="Brandon Aubrey"/>
    <n v="9"/>
    <n v="2024"/>
  </r>
  <r>
    <x v="8"/>
    <s v="Schulwolf"/>
    <n v="9"/>
    <x v="4"/>
    <s v="Philadelphia"/>
    <n v="10"/>
    <n v="2024"/>
  </r>
  <r>
    <x v="8"/>
    <s v="Schulwolf"/>
    <n v="9"/>
    <x v="6"/>
    <s v="Tyler Lockett"/>
    <n v="13.8"/>
    <n v="2024"/>
  </r>
  <r>
    <x v="7"/>
    <s v="Jay"/>
    <n v="9"/>
    <x v="0"/>
    <s v="Lamar Jackson"/>
    <n v="23.6"/>
    <n v="2024"/>
  </r>
  <r>
    <x v="7"/>
    <s v="Jay"/>
    <n v="9"/>
    <x v="1"/>
    <s v="Quentin Johnston"/>
    <n v="20"/>
    <n v="2024"/>
  </r>
  <r>
    <x v="7"/>
    <s v="Jay"/>
    <n v="9"/>
    <x v="1"/>
    <s v="Parker Washington"/>
    <n v="5.6"/>
    <n v="2024"/>
  </r>
  <r>
    <x v="7"/>
    <s v="Jay"/>
    <n v="9"/>
    <x v="1"/>
    <s v="Keon Coleman"/>
    <n v="4.5999999999999996"/>
    <n v="2024"/>
  </r>
  <r>
    <x v="7"/>
    <s v="Jay"/>
    <n v="9"/>
    <x v="2"/>
    <s v="Alvin Kamara"/>
    <n v="24.5"/>
    <n v="2024"/>
  </r>
  <r>
    <x v="7"/>
    <s v="Jay"/>
    <n v="9"/>
    <x v="2"/>
    <s v="Jonathan Taylor"/>
    <n v="7.4"/>
    <n v="2024"/>
  </r>
  <r>
    <x v="7"/>
    <s v="Jay"/>
    <n v="9"/>
    <x v="3"/>
    <s v="Evan Engram"/>
    <n v="9"/>
    <n v="2024"/>
  </r>
  <r>
    <x v="7"/>
    <s v="Jay"/>
    <n v="9"/>
    <x v="5"/>
    <s v="Ka'imi Fairbairn"/>
    <n v="8"/>
    <n v="2024"/>
  </r>
  <r>
    <x v="7"/>
    <s v="Jay"/>
    <n v="9"/>
    <x v="4"/>
    <s v="Tennessee"/>
    <n v="12"/>
    <n v="2024"/>
  </r>
  <r>
    <x v="7"/>
    <s v="Jay"/>
    <n v="9"/>
    <x v="7"/>
    <s v="Devin Singletary"/>
    <n v="3.3"/>
    <n v="2024"/>
  </r>
  <r>
    <x v="11"/>
    <s v="Cam"/>
    <n v="9"/>
    <x v="0"/>
    <s v="Joe Burrow"/>
    <n v="29.14"/>
    <n v="2024"/>
  </r>
  <r>
    <x v="11"/>
    <s v="Cam"/>
    <n v="9"/>
    <x v="1"/>
    <s v="Jakobi Meyers"/>
    <n v="14.5"/>
    <n v="2024"/>
  </r>
  <r>
    <x v="11"/>
    <s v="Cam"/>
    <n v="9"/>
    <x v="1"/>
    <s v="Ja'Marr Chase"/>
    <n v="7.8"/>
    <n v="2024"/>
  </r>
  <r>
    <x v="11"/>
    <s v="Cam"/>
    <n v="9"/>
    <x v="1"/>
    <s v="Wan'Dale Robinson"/>
    <n v="2.5"/>
    <n v="2024"/>
  </r>
  <r>
    <x v="11"/>
    <s v="Cam"/>
    <n v="9"/>
    <x v="2"/>
    <s v="JK Dobbins"/>
    <n v="23.5"/>
    <n v="2024"/>
  </r>
  <r>
    <x v="11"/>
    <s v="Cam"/>
    <n v="9"/>
    <x v="2"/>
    <s v="D'Andre Swift"/>
    <n v="11.2"/>
    <n v="2024"/>
  </r>
  <r>
    <x v="11"/>
    <s v="Cam"/>
    <n v="9"/>
    <x v="3"/>
    <s v="Zach Ertz"/>
    <n v="1"/>
    <n v="2024"/>
  </r>
  <r>
    <x v="11"/>
    <s v="Cam"/>
    <n v="9"/>
    <x v="5"/>
    <s v="Chase McLaughlin"/>
    <n v="7"/>
    <n v="2024"/>
  </r>
  <r>
    <x v="11"/>
    <s v="Cam"/>
    <n v="9"/>
    <x v="4"/>
    <s v="Chicago"/>
    <n v="6"/>
    <n v="2024"/>
  </r>
  <r>
    <x v="11"/>
    <s v="Cam"/>
    <n v="9"/>
    <x v="7"/>
    <s v="Aaron Jones"/>
    <n v="10.199999999999999"/>
    <n v="2024"/>
  </r>
  <r>
    <x v="3"/>
    <s v="Kevin"/>
    <n v="9"/>
    <x v="0"/>
    <s v="CJ Stroud"/>
    <n v="11.54"/>
    <n v="2024"/>
  </r>
  <r>
    <x v="3"/>
    <s v="Kevin"/>
    <n v="9"/>
    <x v="1"/>
    <s v="Jordan Addison"/>
    <n v="13.6"/>
    <n v="2024"/>
  </r>
  <r>
    <x v="3"/>
    <s v="Kevin"/>
    <n v="9"/>
    <x v="1"/>
    <s v="DeAndre Hopkins"/>
    <n v="24.6"/>
    <n v="2024"/>
  </r>
  <r>
    <x v="3"/>
    <s v="Kevin"/>
    <n v="9"/>
    <x v="1"/>
    <s v="Marvin Harrison Jr"/>
    <n v="2.4"/>
    <n v="2024"/>
  </r>
  <r>
    <x v="3"/>
    <s v="Kevin"/>
    <n v="9"/>
    <x v="2"/>
    <s v="Chuba Hubbard"/>
    <n v="20.2"/>
    <n v="2024"/>
  </r>
  <r>
    <x v="3"/>
    <s v="Kevin"/>
    <n v="9"/>
    <x v="2"/>
    <s v="Joe Mixon"/>
    <n v="16.600000000000001"/>
    <n v="2024"/>
  </r>
  <r>
    <x v="3"/>
    <s v="Kevin"/>
    <n v="9"/>
    <x v="3"/>
    <s v="Hunter Henry"/>
    <n v="9.1"/>
    <n v="2024"/>
  </r>
  <r>
    <x v="3"/>
    <s v="Kevin"/>
    <n v="9"/>
    <x v="5"/>
    <s v="Justin Tucker"/>
    <n v="11"/>
    <n v="2024"/>
  </r>
  <r>
    <x v="3"/>
    <s v="Kevin"/>
    <n v="9"/>
    <x v="4"/>
    <s v="Cincinnati"/>
    <n v="11"/>
    <n v="2024"/>
  </r>
  <r>
    <x v="3"/>
    <s v="Kevin"/>
    <n v="9"/>
    <x v="6"/>
    <s v="Chris Olave"/>
    <n v="1.8"/>
    <n v="2024"/>
  </r>
  <r>
    <x v="0"/>
    <s v="Brenton"/>
    <n v="10"/>
    <x v="0"/>
    <s v="Baker Mayfield"/>
    <n v="8.94"/>
    <n v="2024"/>
  </r>
  <r>
    <x v="0"/>
    <s v="Brenton"/>
    <n v="10"/>
    <x v="1"/>
    <s v="Courtland Sutton"/>
    <n v="16"/>
    <n v="2024"/>
  </r>
  <r>
    <x v="0"/>
    <s v="Brenton"/>
    <n v="10"/>
    <x v="1"/>
    <s v="Tyreek Hill"/>
    <n v="10.199999999999999"/>
    <n v="2024"/>
  </r>
  <r>
    <x v="0"/>
    <s v="Brenton"/>
    <n v="10"/>
    <x v="1"/>
    <s v="Zay Flowers"/>
    <n v="5.4"/>
    <n v="2024"/>
  </r>
  <r>
    <x v="0"/>
    <s v="Brenton"/>
    <n v="10"/>
    <x v="2"/>
    <s v="Tyrone Tracy"/>
    <n v="14.9"/>
    <n v="2024"/>
  </r>
  <r>
    <x v="0"/>
    <s v="Brenton"/>
    <n v="10"/>
    <x v="2"/>
    <s v="Christian McCaffrey"/>
    <n v="13.7"/>
    <n v="2024"/>
  </r>
  <r>
    <x v="0"/>
    <s v="Brenton"/>
    <n v="10"/>
    <x v="3"/>
    <s v="Trey McBride"/>
    <n v="9.1"/>
    <n v="2024"/>
  </r>
  <r>
    <x v="0"/>
    <s v="Brenton"/>
    <n v="10"/>
    <x v="5"/>
    <s v="Jake Elliott"/>
    <n v="10"/>
    <n v="2024"/>
  </r>
  <r>
    <x v="0"/>
    <s v="Brenton"/>
    <n v="10"/>
    <x v="4"/>
    <s v="NY Giants"/>
    <n v="3"/>
    <n v="2024"/>
  </r>
  <r>
    <x v="0"/>
    <s v="Brenton"/>
    <n v="10"/>
    <x v="7"/>
    <s v="Javonte Williams"/>
    <n v="1.7"/>
    <n v="2024"/>
  </r>
  <r>
    <x v="5"/>
    <s v="Burnett/Jasjaap"/>
    <n v="10"/>
    <x v="0"/>
    <s v="Brock Purdy"/>
    <n v="23.82"/>
    <n v="2024"/>
  </r>
  <r>
    <x v="5"/>
    <s v="Burnett/Jasjaap"/>
    <n v="10"/>
    <x v="1"/>
    <s v="Puka Nacua"/>
    <n v="14.3"/>
    <n v="2024"/>
  </r>
  <r>
    <x v="5"/>
    <s v="Burnett/Jasjaap"/>
    <n v="10"/>
    <x v="1"/>
    <s v="Jaylen Waddle"/>
    <n v="7.1"/>
    <n v="2024"/>
  </r>
  <r>
    <x v="5"/>
    <s v="Burnett/Jasjaap"/>
    <n v="10"/>
    <x v="1"/>
    <s v="Ricky Pearsall"/>
    <n v="15.3"/>
    <n v="2024"/>
  </r>
  <r>
    <x v="5"/>
    <s v="Burnett/Jasjaap"/>
    <n v="10"/>
    <x v="2"/>
    <s v="David Montgomery"/>
    <n v="12.1"/>
    <n v="2024"/>
  </r>
  <r>
    <x v="5"/>
    <s v="Burnett/Jasjaap"/>
    <n v="10"/>
    <x v="2"/>
    <s v="Rico Dowdle"/>
    <n v="7.1"/>
    <n v="2024"/>
  </r>
  <r>
    <x v="5"/>
    <s v="Burnett/Jasjaap"/>
    <n v="10"/>
    <x v="3"/>
    <s v="Cole Kmet"/>
    <n v="2.2999999999999998"/>
    <n v="2024"/>
  </r>
  <r>
    <x v="5"/>
    <s v="Burnett/Jasjaap"/>
    <n v="10"/>
    <x v="5"/>
    <s v="Jake Bates"/>
    <n v="12"/>
    <n v="2024"/>
  </r>
  <r>
    <x v="5"/>
    <s v="Burnett/Jasjaap"/>
    <n v="10"/>
    <x v="4"/>
    <s v="Kansas City"/>
    <n v="6"/>
    <n v="2024"/>
  </r>
  <r>
    <x v="5"/>
    <s v="Burnett/Jasjaap"/>
    <n v="10"/>
    <x v="6"/>
    <s v="CeeDee Lamb"/>
    <n v="5.4"/>
    <n v="2024"/>
  </r>
  <r>
    <x v="2"/>
    <s v="Mike"/>
    <n v="10"/>
    <x v="0"/>
    <s v="Patrick Mahomes"/>
    <n v="16.54"/>
    <n v="2024"/>
  </r>
  <r>
    <x v="2"/>
    <s v="Mike"/>
    <n v="10"/>
    <x v="1"/>
    <s v="Khalil Shakir"/>
    <n v="8.8000000000000007"/>
    <n v="2024"/>
  </r>
  <r>
    <x v="2"/>
    <s v="Mike"/>
    <n v="10"/>
    <x v="1"/>
    <s v="Davante Adams"/>
    <n v="6.1"/>
    <n v="2024"/>
  </r>
  <r>
    <x v="2"/>
    <s v="Mike"/>
    <n v="10"/>
    <x v="1"/>
    <s v="Tank Dell"/>
    <n v="5.8"/>
    <n v="2024"/>
  </r>
  <r>
    <x v="2"/>
    <s v="Mike"/>
    <n v="10"/>
    <x v="2"/>
    <s v="Chase Brown"/>
    <n v="17.899999999999999"/>
    <n v="2024"/>
  </r>
  <r>
    <x v="2"/>
    <s v="Mike"/>
    <n v="10"/>
    <x v="2"/>
    <s v="Derrick Henry"/>
    <n v="13.6"/>
    <n v="2024"/>
  </r>
  <r>
    <x v="2"/>
    <s v="Mike"/>
    <n v="10"/>
    <x v="3"/>
    <s v="Sam LaPorta"/>
    <n v="14.1"/>
    <n v="2024"/>
  </r>
  <r>
    <x v="2"/>
    <s v="Mike"/>
    <n v="10"/>
    <x v="5"/>
    <s v="Younghoe Koo"/>
    <n v="3"/>
    <n v="2024"/>
  </r>
  <r>
    <x v="2"/>
    <s v="Mike"/>
    <n v="10"/>
    <x v="4"/>
    <s v="Buffalo"/>
    <n v="18"/>
    <n v="2024"/>
  </r>
  <r>
    <x v="2"/>
    <s v="Mike"/>
    <n v="10"/>
    <x v="7"/>
    <s v="Kareem Hunt"/>
    <n v="13.5"/>
    <n v="2024"/>
  </r>
  <r>
    <x v="6"/>
    <s v="Will"/>
    <n v="10"/>
    <x v="0"/>
    <s v="Caleb Williams"/>
    <n v="6.3"/>
    <n v="2024"/>
  </r>
  <r>
    <x v="6"/>
    <s v="Will"/>
    <n v="10"/>
    <x v="1"/>
    <s v="Drake London"/>
    <n v="13.7"/>
    <n v="2024"/>
  </r>
  <r>
    <x v="6"/>
    <s v="Will"/>
    <n v="10"/>
    <x v="1"/>
    <s v="Amon-Ra St. Brown"/>
    <n v="15"/>
    <n v="2024"/>
  </r>
  <r>
    <x v="6"/>
    <s v="Will"/>
    <n v="10"/>
    <x v="1"/>
    <s v="Josh Downs"/>
    <n v="10.7"/>
    <n v="2024"/>
  </r>
  <r>
    <x v="6"/>
    <s v="Will"/>
    <n v="10"/>
    <x v="2"/>
    <s v="Austin Ekeler"/>
    <n v="17.600000000000001"/>
    <n v="2024"/>
  </r>
  <r>
    <x v="6"/>
    <s v="Will"/>
    <n v="10"/>
    <x v="2"/>
    <s v="Tony Pollard"/>
    <n v="8.3000000000000007"/>
    <n v="2024"/>
  </r>
  <r>
    <x v="6"/>
    <s v="Will"/>
    <n v="10"/>
    <x v="3"/>
    <s v="Travis Kelce"/>
    <n v="16.399999999999999"/>
    <n v="2024"/>
  </r>
  <r>
    <x v="6"/>
    <s v="Will"/>
    <n v="10"/>
    <x v="5"/>
    <s v="Jake Moody"/>
    <n v="10"/>
    <n v="2024"/>
  </r>
  <r>
    <x v="6"/>
    <s v="Will"/>
    <n v="10"/>
    <x v="4"/>
    <s v="Houston"/>
    <n v="9"/>
    <n v="2024"/>
  </r>
  <r>
    <x v="6"/>
    <s v="Will"/>
    <n v="10"/>
    <x v="6"/>
    <s v="Ladd McConkey"/>
    <n v="6.2"/>
    <n v="2024"/>
  </r>
  <r>
    <x v="1"/>
    <s v="Todd"/>
    <n v="10"/>
    <x v="0"/>
    <s v="Sam Darnold"/>
    <n v="6.44"/>
    <n v="2024"/>
  </r>
  <r>
    <x v="1"/>
    <s v="Todd"/>
    <n v="10"/>
    <x v="1"/>
    <s v="AJ Brown"/>
    <n v="13.4"/>
    <n v="2024"/>
  </r>
  <r>
    <x v="1"/>
    <s v="Todd"/>
    <n v="10"/>
    <x v="1"/>
    <s v="Darnell Mooney"/>
    <n v="12.1"/>
    <n v="2024"/>
  </r>
  <r>
    <x v="1"/>
    <s v="Todd"/>
    <n v="10"/>
    <x v="1"/>
    <s v="Deebo Samuel"/>
    <n v="10.1"/>
    <n v="2024"/>
  </r>
  <r>
    <x v="1"/>
    <s v="Todd"/>
    <n v="10"/>
    <x v="2"/>
    <s v="James Conner"/>
    <n v="19.8"/>
    <n v="2024"/>
  </r>
  <r>
    <x v="1"/>
    <s v="Todd"/>
    <n v="10"/>
    <x v="2"/>
    <s v="De'Von Achane"/>
    <n v="7.7"/>
    <n v="2024"/>
  </r>
  <r>
    <x v="1"/>
    <s v="Todd"/>
    <n v="10"/>
    <x v="3"/>
    <s v="Mike Gesicki"/>
    <n v="5"/>
    <n v="2024"/>
  </r>
  <r>
    <x v="1"/>
    <s v="Todd"/>
    <n v="10"/>
    <x v="5"/>
    <s v="Chris Boswell"/>
    <n v="4"/>
    <n v="2024"/>
  </r>
  <r>
    <x v="1"/>
    <s v="Todd"/>
    <n v="10"/>
    <x v="4"/>
    <s v="Atlanta"/>
    <n v="0"/>
    <n v="2024"/>
  </r>
  <r>
    <x v="1"/>
    <s v="Todd"/>
    <n v="10"/>
    <x v="6"/>
    <s v="Brian Thomas Jr"/>
    <n v="2.2000000000000002"/>
    <n v="2024"/>
  </r>
  <r>
    <x v="3"/>
    <s v="Kevin"/>
    <n v="10"/>
    <x v="0"/>
    <s v="CJ Stroud"/>
    <n v="9.7799999999999994"/>
    <n v="2024"/>
  </r>
  <r>
    <x v="3"/>
    <s v="Kevin"/>
    <n v="10"/>
    <x v="1"/>
    <s v="Marvin Harrison Jr"/>
    <n v="13.9"/>
    <n v="2024"/>
  </r>
  <r>
    <x v="3"/>
    <s v="Kevin"/>
    <n v="10"/>
    <x v="1"/>
    <s v="George Pickens"/>
    <n v="18"/>
    <n v="2024"/>
  </r>
  <r>
    <x v="3"/>
    <s v="Kevin"/>
    <n v="10"/>
    <x v="1"/>
    <s v="DeAndre Hopkins"/>
    <n v="7.6"/>
    <n v="2024"/>
  </r>
  <r>
    <x v="3"/>
    <s v="Kevin"/>
    <n v="10"/>
    <x v="2"/>
    <s v="Chuba Hubbard"/>
    <n v="22.9"/>
    <n v="2024"/>
  </r>
  <r>
    <x v="3"/>
    <s v="Kevin"/>
    <n v="10"/>
    <x v="2"/>
    <s v="Joe Mixon"/>
    <n v="16"/>
    <n v="2024"/>
  </r>
  <r>
    <x v="3"/>
    <s v="Kevin"/>
    <n v="10"/>
    <x v="3"/>
    <s v="Hunter Henry"/>
    <n v="1.9"/>
    <n v="2024"/>
  </r>
  <r>
    <x v="3"/>
    <s v="Kevin"/>
    <n v="10"/>
    <x v="5"/>
    <s v="Justin Tucker"/>
    <n v="2"/>
    <n v="2024"/>
  </r>
  <r>
    <x v="3"/>
    <s v="Kevin"/>
    <n v="10"/>
    <x v="4"/>
    <s v="LA Rams"/>
    <n v="8"/>
    <n v="2024"/>
  </r>
  <r>
    <x v="3"/>
    <s v="Kevin"/>
    <n v="10"/>
    <x v="7"/>
    <s v="Najee Harris"/>
    <n v="11.3"/>
    <n v="2024"/>
  </r>
  <r>
    <x v="4"/>
    <s v="Eli"/>
    <n v="10"/>
    <x v="0"/>
    <s v="Jalen Hurts"/>
    <n v="29.68"/>
    <n v="2024"/>
  </r>
  <r>
    <x v="4"/>
    <s v="Eli"/>
    <n v="10"/>
    <x v="1"/>
    <s v="Justin Jefferson"/>
    <n v="7.3"/>
    <n v="2024"/>
  </r>
  <r>
    <x v="4"/>
    <s v="Eli"/>
    <n v="10"/>
    <x v="1"/>
    <s v="Xavier Legette"/>
    <n v="5.5"/>
    <n v="2024"/>
  </r>
  <r>
    <x v="4"/>
    <s v="Eli"/>
    <n v="10"/>
    <x v="1"/>
    <s v="DJ Moore"/>
    <n v="4.2"/>
    <n v="2024"/>
  </r>
  <r>
    <x v="4"/>
    <s v="Eli"/>
    <n v="10"/>
    <x v="2"/>
    <s v="Bijan Robinson"/>
    <n v="27.9"/>
    <n v="2024"/>
  </r>
  <r>
    <x v="4"/>
    <s v="Eli"/>
    <n v="10"/>
    <x v="2"/>
    <s v="Tyjae Spears"/>
    <n v="6.6"/>
    <n v="2024"/>
  </r>
  <r>
    <x v="4"/>
    <s v="Eli"/>
    <n v="10"/>
    <x v="3"/>
    <s v="Kyle Pitts"/>
    <n v="7.5"/>
    <n v="2024"/>
  </r>
  <r>
    <x v="4"/>
    <s v="Eli"/>
    <n v="10"/>
    <x v="5"/>
    <s v="Tyler Bass"/>
    <n v="13"/>
    <n v="2024"/>
  </r>
  <r>
    <x v="4"/>
    <s v="Eli"/>
    <n v="10"/>
    <x v="4"/>
    <s v="NYJ"/>
    <n v="-4"/>
    <n v="2024"/>
  </r>
  <r>
    <x v="4"/>
    <s v="Eli"/>
    <n v="10"/>
    <x v="6"/>
    <s v="Rome Odunze"/>
    <n v="3.8"/>
    <n v="2024"/>
  </r>
  <r>
    <x v="8"/>
    <s v="Schulwolf"/>
    <n v="10"/>
    <x v="0"/>
    <s v="Jayden Daniels"/>
    <n v="8.58"/>
    <n v="2024"/>
  </r>
  <r>
    <x v="8"/>
    <s v="Schulwolf"/>
    <n v="10"/>
    <x v="1"/>
    <s v="Terry McLaurin"/>
    <n v="13.8"/>
    <n v="2024"/>
  </r>
  <r>
    <x v="8"/>
    <s v="Schulwolf"/>
    <n v="10"/>
    <x v="1"/>
    <s v="Cooper Kupp"/>
    <n v="11.5"/>
    <n v="2024"/>
  </r>
  <r>
    <x v="8"/>
    <s v="Schulwolf"/>
    <n v="10"/>
    <x v="1"/>
    <s v="Devonta Smith"/>
    <n v="2.4"/>
    <n v="2024"/>
  </r>
  <r>
    <x v="8"/>
    <s v="Schulwolf"/>
    <n v="10"/>
    <x v="2"/>
    <s v="James Cook"/>
    <n v="15"/>
    <n v="2024"/>
  </r>
  <r>
    <x v="8"/>
    <s v="Schulwolf"/>
    <n v="10"/>
    <x v="2"/>
    <s v="Jahmyr Gibbs"/>
    <n v="11.8"/>
    <n v="2024"/>
  </r>
  <r>
    <x v="8"/>
    <s v="Schulwolf"/>
    <n v="10"/>
    <x v="3"/>
    <s v="Dalton Kincaid"/>
    <n v="3.4"/>
    <n v="2024"/>
  </r>
  <r>
    <x v="8"/>
    <s v="Schulwolf"/>
    <n v="10"/>
    <x v="5"/>
    <s v="Brandon Aubrey"/>
    <n v="7"/>
    <n v="2024"/>
  </r>
  <r>
    <x v="8"/>
    <s v="Schulwolf"/>
    <n v="10"/>
    <x v="4"/>
    <s v="Philadelphia"/>
    <n v="23"/>
    <n v="2024"/>
  </r>
  <r>
    <x v="8"/>
    <s v="Schulwolf"/>
    <n v="10"/>
    <x v="7"/>
    <s v="Ray Davis"/>
    <n v="0.6"/>
    <n v="2024"/>
  </r>
  <r>
    <x v="10"/>
    <s v="Brand"/>
    <n v="10"/>
    <x v="0"/>
    <s v="Kirk Cousins"/>
    <n v="10.24"/>
    <n v="2024"/>
  </r>
  <r>
    <x v="10"/>
    <s v="Brand"/>
    <n v="10"/>
    <x v="1"/>
    <s v="Keenan Allen"/>
    <n v="6.9"/>
    <n v="2024"/>
  </r>
  <r>
    <x v="10"/>
    <s v="Brand"/>
    <n v="10"/>
    <x v="1"/>
    <s v="Garrett Wilson"/>
    <n v="6.6"/>
    <n v="2024"/>
  </r>
  <r>
    <x v="10"/>
    <s v="Brand"/>
    <n v="10"/>
    <x v="1"/>
    <s v="Jameson Williams"/>
    <n v="6.8"/>
    <n v="2024"/>
  </r>
  <r>
    <x v="10"/>
    <s v="Brand"/>
    <n v="10"/>
    <x v="2"/>
    <s v="Bucky Irving"/>
    <n v="16.2"/>
    <n v="2024"/>
  </r>
  <r>
    <x v="10"/>
    <s v="Brand"/>
    <n v="10"/>
    <x v="2"/>
    <s v="Breece Hall"/>
    <n v="10.3"/>
    <n v="2024"/>
  </r>
  <r>
    <x v="10"/>
    <s v="Brand"/>
    <n v="10"/>
    <x v="3"/>
    <s v="TJ Hockenson"/>
    <n v="11.2"/>
    <n v="2024"/>
  </r>
  <r>
    <x v="10"/>
    <s v="Brand"/>
    <n v="10"/>
    <x v="5"/>
    <s v="Cameron Dicker"/>
    <n v="9"/>
    <n v="2024"/>
  </r>
  <r>
    <x v="10"/>
    <s v="Brand"/>
    <n v="10"/>
    <x v="4"/>
    <s v="LA Chargers"/>
    <n v="9"/>
    <n v="2024"/>
  </r>
  <r>
    <x v="10"/>
    <s v="Brand"/>
    <n v="10"/>
    <x v="8"/>
    <s v="Taysom Hill"/>
    <n v="6"/>
    <n v="2024"/>
  </r>
  <r>
    <x v="7"/>
    <s v="Jay"/>
    <n v="10"/>
    <x v="0"/>
    <s v="Lamar Jackson"/>
    <n v="32.9"/>
    <n v="2024"/>
  </r>
  <r>
    <x v="7"/>
    <s v="Jay"/>
    <n v="10"/>
    <x v="1"/>
    <s v="Jauan Jennings"/>
    <n v="12.8"/>
    <n v="2024"/>
  </r>
  <r>
    <x v="7"/>
    <s v="Jay"/>
    <n v="10"/>
    <x v="1"/>
    <s v="Quentin Johnston"/>
    <n v="9.4"/>
    <n v="2024"/>
  </r>
  <r>
    <x v="7"/>
    <s v="Jay"/>
    <n v="10"/>
    <x v="1"/>
    <s v="Demarcus Robinson"/>
    <n v="2.8"/>
    <n v="2024"/>
  </r>
  <r>
    <x v="7"/>
    <s v="Jay"/>
    <n v="10"/>
    <x v="2"/>
    <s v="Alvin Kamara"/>
    <n v="13.4"/>
    <n v="2024"/>
  </r>
  <r>
    <x v="7"/>
    <s v="Jay"/>
    <n v="10"/>
    <x v="2"/>
    <s v="Jonathan Taylor"/>
    <n v="13.2"/>
    <n v="2024"/>
  </r>
  <r>
    <x v="7"/>
    <s v="Jay"/>
    <n v="10"/>
    <x v="3"/>
    <s v="Evan Engram"/>
    <n v="7"/>
    <n v="2024"/>
  </r>
  <r>
    <x v="7"/>
    <s v="Jay"/>
    <n v="10"/>
    <x v="5"/>
    <s v="Ka'imi Fairbairn"/>
    <n v="13"/>
    <n v="2024"/>
  </r>
  <r>
    <x v="7"/>
    <s v="Jay"/>
    <n v="10"/>
    <x v="4"/>
    <s v="New England"/>
    <n v="19"/>
    <n v="2024"/>
  </r>
  <r>
    <x v="7"/>
    <s v="Jay"/>
    <n v="10"/>
    <x v="6"/>
    <s v="Sterling Shepard"/>
    <n v="1.5"/>
    <n v="2024"/>
  </r>
  <r>
    <x v="11"/>
    <s v="Cam"/>
    <n v="10"/>
    <x v="0"/>
    <s v="Joe Burrow"/>
    <n v="33.72"/>
    <n v="2024"/>
  </r>
  <r>
    <x v="11"/>
    <s v="Cam"/>
    <n v="10"/>
    <x v="1"/>
    <s v="Ja'Marr Chase"/>
    <n v="49.9"/>
    <n v="2024"/>
  </r>
  <r>
    <x v="11"/>
    <s v="Cam"/>
    <n v="10"/>
    <x v="1"/>
    <s v="Wan'Dale Robinson"/>
    <n v="7.6"/>
    <n v="2024"/>
  </r>
  <r>
    <x v="11"/>
    <s v="Cam"/>
    <n v="10"/>
    <x v="1"/>
    <s v="Nico Collins"/>
    <n v="0"/>
    <n v="2024"/>
  </r>
  <r>
    <x v="11"/>
    <s v="Cam"/>
    <n v="10"/>
    <x v="2"/>
    <s v="Aaron Jones"/>
    <n v="11.1"/>
    <n v="2024"/>
  </r>
  <r>
    <x v="11"/>
    <s v="Cam"/>
    <n v="10"/>
    <x v="2"/>
    <s v="JK Dobbins"/>
    <n v="7"/>
    <n v="2024"/>
  </r>
  <r>
    <x v="11"/>
    <s v="Cam"/>
    <n v="10"/>
    <x v="3"/>
    <s v="George Kittle"/>
    <n v="13.2"/>
    <n v="2024"/>
  </r>
  <r>
    <x v="11"/>
    <s v="Cam"/>
    <n v="10"/>
    <x v="5"/>
    <s v="Evan McPherson"/>
    <n v="4"/>
    <n v="2024"/>
  </r>
  <r>
    <x v="11"/>
    <s v="Cam"/>
    <n v="10"/>
    <x v="4"/>
    <s v="Chicago"/>
    <n v="3"/>
    <n v="2024"/>
  </r>
  <r>
    <x v="11"/>
    <s v="Cam"/>
    <n v="10"/>
    <x v="7"/>
    <s v="D'Andre Swift"/>
    <n v="7"/>
    <n v="2024"/>
  </r>
  <r>
    <x v="9"/>
    <s v="Tommy"/>
    <n v="10"/>
    <x v="0"/>
    <s v="Josh Allen"/>
    <n v="18.2"/>
    <n v="2024"/>
  </r>
  <r>
    <x v="9"/>
    <s v="Tommy"/>
    <n v="10"/>
    <x v="1"/>
    <s v="Malik Nabers"/>
    <n v="7.8"/>
    <n v="2024"/>
  </r>
  <r>
    <x v="9"/>
    <s v="Tommy"/>
    <n v="10"/>
    <x v="1"/>
    <s v="Michael Wilson"/>
    <n v="3.9"/>
    <n v="2024"/>
  </r>
  <r>
    <x v="9"/>
    <s v="Tommy"/>
    <n v="10"/>
    <x v="1"/>
    <s v="Xavier Worthy"/>
    <n v="1.6"/>
    <n v="2024"/>
  </r>
  <r>
    <x v="9"/>
    <s v="Tommy"/>
    <n v="10"/>
    <x v="2"/>
    <s v="Saquon Barkley"/>
    <n v="8.3000000000000007"/>
    <n v="2024"/>
  </r>
  <r>
    <x v="9"/>
    <s v="Tommy"/>
    <n v="10"/>
    <x v="2"/>
    <s v="Kyren Williams"/>
    <n v="8.6999999999999993"/>
    <n v="2024"/>
  </r>
  <r>
    <x v="9"/>
    <s v="Tommy"/>
    <n v="10"/>
    <x v="3"/>
    <s v="Mark Andrews"/>
    <n v="15.8"/>
    <n v="2024"/>
  </r>
  <r>
    <x v="9"/>
    <s v="Tommy"/>
    <n v="10"/>
    <x v="5"/>
    <s v="Harrison Butker"/>
    <n v="10"/>
    <n v="2024"/>
  </r>
  <r>
    <x v="9"/>
    <s v="Tommy"/>
    <n v="10"/>
    <x v="4"/>
    <s v="Minnesota"/>
    <n v="16"/>
    <n v="2024"/>
  </r>
  <r>
    <x v="9"/>
    <s v="Tommy"/>
    <n v="10"/>
    <x v="8"/>
    <s v="Cade Otton"/>
    <n v="6"/>
    <n v="2024"/>
  </r>
  <r>
    <x v="0"/>
    <s v="Brenton"/>
    <n v="11"/>
    <x v="0"/>
    <s v="Tua Tagovailoa"/>
    <n v="23.52"/>
    <n v="2024"/>
  </r>
  <r>
    <x v="0"/>
    <s v="Brenton"/>
    <n v="11"/>
    <x v="1"/>
    <s v="Tyreek Hill"/>
    <n v="15.6"/>
    <n v="2024"/>
  </r>
  <r>
    <x v="0"/>
    <s v="Brenton"/>
    <n v="11"/>
    <x v="1"/>
    <s v="Courtland Sutton"/>
    <n v="11.3"/>
    <n v="2024"/>
  </r>
  <r>
    <x v="0"/>
    <s v="Brenton"/>
    <n v="11"/>
    <x v="1"/>
    <s v="Zay Flowers"/>
    <n v="10.9"/>
    <n v="2024"/>
  </r>
  <r>
    <x v="0"/>
    <s v="Brenton"/>
    <n v="11"/>
    <x v="2"/>
    <s v="Christian McCaffrey"/>
    <n v="12.6"/>
    <n v="2024"/>
  </r>
  <r>
    <x v="0"/>
    <s v="Brenton"/>
    <n v="11"/>
    <x v="2"/>
    <s v="Audric Estime"/>
    <n v="4"/>
    <n v="2024"/>
  </r>
  <r>
    <x v="0"/>
    <s v="Brenton"/>
    <n v="11"/>
    <x v="3"/>
    <s v="Jonnu Smith"/>
    <n v="25.1"/>
    <n v="2024"/>
  </r>
  <r>
    <x v="0"/>
    <s v="Brenton"/>
    <n v="11"/>
    <x v="5"/>
    <s v="Jake Elliott"/>
    <n v="6"/>
    <n v="2024"/>
  </r>
  <r>
    <x v="0"/>
    <s v="Brenton"/>
    <n v="11"/>
    <x v="4"/>
    <s v="Detroit"/>
    <n v="13"/>
    <n v="2024"/>
  </r>
  <r>
    <x v="0"/>
    <s v="Brenton"/>
    <n v="11"/>
    <x v="6"/>
    <s v="Cedric Tillman"/>
    <n v="6.2"/>
    <n v="2024"/>
  </r>
  <r>
    <x v="6"/>
    <s v="Will"/>
    <n v="11"/>
    <x v="0"/>
    <s v="Russell Wilson"/>
    <n v="6.3"/>
    <n v="2024"/>
  </r>
  <r>
    <x v="6"/>
    <s v="Will"/>
    <n v="11"/>
    <x v="1"/>
    <s v="Amon-Ra St. Brown"/>
    <n v="33.200000000000003"/>
    <n v="2024"/>
  </r>
  <r>
    <x v="6"/>
    <s v="Will"/>
    <n v="11"/>
    <x v="1"/>
    <s v="Josh Downs"/>
    <n v="16.899999999999999"/>
    <n v="2024"/>
  </r>
  <r>
    <x v="6"/>
    <s v="Will"/>
    <n v="11"/>
    <x v="1"/>
    <s v="Jaxon Smith-Njigba"/>
    <n v="16.8"/>
    <n v="2024"/>
  </r>
  <r>
    <x v="6"/>
    <s v="Will"/>
    <n v="11"/>
    <x v="2"/>
    <s v="Austin Ekeler"/>
    <n v="13.6"/>
    <n v="2024"/>
  </r>
  <r>
    <x v="6"/>
    <s v="Will"/>
    <n v="11"/>
    <x v="2"/>
    <s v="Tony Pollard"/>
    <n v="3.9"/>
    <n v="2024"/>
  </r>
  <r>
    <x v="6"/>
    <s v="Will"/>
    <n v="11"/>
    <x v="3"/>
    <s v="Travis Kelce"/>
    <n v="1.8"/>
    <n v="2024"/>
  </r>
  <r>
    <x v="6"/>
    <s v="Will"/>
    <n v="11"/>
    <x v="5"/>
    <s v="Jake Moody"/>
    <n v="5"/>
    <n v="2024"/>
  </r>
  <r>
    <x v="6"/>
    <s v="Will"/>
    <n v="11"/>
    <x v="4"/>
    <s v="Houston"/>
    <n v="18"/>
    <n v="2024"/>
  </r>
  <r>
    <x v="6"/>
    <s v="Will"/>
    <n v="11"/>
    <x v="6"/>
    <s v="Drake London"/>
    <n v="7.6"/>
    <n v="2024"/>
  </r>
  <r>
    <x v="2"/>
    <s v="Mike"/>
    <n v="11"/>
    <x v="0"/>
    <s v="Patrick Mahomes"/>
    <n v="15.84"/>
    <n v="2024"/>
  </r>
  <r>
    <x v="2"/>
    <s v="Mike"/>
    <n v="11"/>
    <x v="1"/>
    <s v="Khalil Shakir"/>
    <n v="11"/>
    <n v="2024"/>
  </r>
  <r>
    <x v="2"/>
    <s v="Mike"/>
    <n v="11"/>
    <x v="1"/>
    <s v="Davante Adams"/>
    <n v="10.199999999999999"/>
    <n v="2024"/>
  </r>
  <r>
    <x v="2"/>
    <s v="Mike"/>
    <n v="11"/>
    <x v="1"/>
    <s v="Tank Dell"/>
    <n v="7.8"/>
    <n v="2024"/>
  </r>
  <r>
    <x v="2"/>
    <s v="Mike"/>
    <n v="11"/>
    <x v="2"/>
    <s v="Chase Brown"/>
    <n v="16.8"/>
    <n v="2024"/>
  </r>
  <r>
    <x v="2"/>
    <s v="Mike"/>
    <n v="11"/>
    <x v="2"/>
    <s v="Derrick Henry"/>
    <n v="10.5"/>
    <n v="2024"/>
  </r>
  <r>
    <x v="2"/>
    <s v="Mike"/>
    <n v="11"/>
    <x v="3"/>
    <s v="Jake Ferguson"/>
    <n v="1.6"/>
    <n v="2024"/>
  </r>
  <r>
    <x v="2"/>
    <s v="Mike"/>
    <n v="11"/>
    <x v="5"/>
    <s v="Younghoe Koo"/>
    <n v="9"/>
    <n v="2024"/>
  </r>
  <r>
    <x v="2"/>
    <s v="Mike"/>
    <n v="11"/>
    <x v="4"/>
    <s v="Buffalo"/>
    <n v="7"/>
    <n v="2024"/>
  </r>
  <r>
    <x v="2"/>
    <s v="Mike"/>
    <n v="11"/>
    <x v="7"/>
    <s v="Kareem Hunt"/>
    <n v="6"/>
    <n v="2024"/>
  </r>
  <r>
    <x v="1"/>
    <s v="Todd"/>
    <n v="11"/>
    <x v="0"/>
    <s v="Sam Darnold"/>
    <n v="23.64"/>
    <n v="2024"/>
  </r>
  <r>
    <x v="1"/>
    <s v="Todd"/>
    <n v="11"/>
    <x v="1"/>
    <s v="AJ Brown"/>
    <n v="9"/>
    <n v="2024"/>
  </r>
  <r>
    <x v="1"/>
    <s v="Todd"/>
    <n v="11"/>
    <x v="1"/>
    <s v="Calvin Ridley"/>
    <n v="7.8"/>
    <n v="2024"/>
  </r>
  <r>
    <x v="1"/>
    <s v="Todd"/>
    <n v="11"/>
    <x v="1"/>
    <s v="Deebo Samuel"/>
    <n v="4.0999999999999996"/>
    <n v="2024"/>
  </r>
  <r>
    <x v="1"/>
    <s v="Todd"/>
    <n v="11"/>
    <x v="2"/>
    <s v="De'Von Achane"/>
    <n v="18.5"/>
    <n v="2024"/>
  </r>
  <r>
    <x v="1"/>
    <s v="Todd"/>
    <n v="11"/>
    <x v="2"/>
    <s v="Raheem Mostert"/>
    <n v="-0.2"/>
    <n v="2024"/>
  </r>
  <r>
    <x v="1"/>
    <s v="Todd"/>
    <n v="11"/>
    <x v="3"/>
    <s v="Tucker Kraft"/>
    <n v="0"/>
    <n v="2024"/>
  </r>
  <r>
    <x v="1"/>
    <s v="Todd"/>
    <n v="11"/>
    <x v="5"/>
    <s v="Chris Boswell"/>
    <n v="24"/>
    <n v="2024"/>
  </r>
  <r>
    <x v="1"/>
    <s v="Todd"/>
    <n v="11"/>
    <x v="4"/>
    <s v="Green Bay"/>
    <n v="5"/>
    <n v="2024"/>
  </r>
  <r>
    <x v="1"/>
    <s v="Todd"/>
    <n v="11"/>
    <x v="6"/>
    <s v="Darnell Mooney"/>
    <n v="3.7"/>
    <n v="2024"/>
  </r>
  <r>
    <x v="4"/>
    <s v="Eli"/>
    <n v="11"/>
    <x v="0"/>
    <s v="Jalen Hurts"/>
    <n v="18.739999999999998"/>
    <n v="2024"/>
  </r>
  <r>
    <x v="4"/>
    <s v="Eli"/>
    <n v="11"/>
    <x v="1"/>
    <s v="Justin Jefferson"/>
    <n v="11.1"/>
    <n v="2024"/>
  </r>
  <r>
    <x v="4"/>
    <s v="Eli"/>
    <n v="11"/>
    <x v="1"/>
    <s v="DJ Moore"/>
    <n v="10.199999999999999"/>
    <n v="2024"/>
  </r>
  <r>
    <x v="4"/>
    <s v="Eli"/>
    <n v="11"/>
    <x v="1"/>
    <s v="Marquez Valdes-Scantling"/>
    <n v="15.7"/>
    <n v="2024"/>
  </r>
  <r>
    <x v="4"/>
    <s v="Eli"/>
    <n v="11"/>
    <x v="2"/>
    <s v="Bijan Robinson"/>
    <n v="8.3000000000000007"/>
    <n v="2024"/>
  </r>
  <r>
    <x v="4"/>
    <s v="Eli"/>
    <n v="11"/>
    <x v="2"/>
    <s v="Tyjae Spears"/>
    <n v="1.8"/>
    <n v="2024"/>
  </r>
  <r>
    <x v="4"/>
    <s v="Eli"/>
    <n v="11"/>
    <x v="3"/>
    <s v="David Njoku"/>
    <n v="14.6"/>
    <n v="2024"/>
  </r>
  <r>
    <x v="4"/>
    <s v="Eli"/>
    <n v="11"/>
    <x v="5"/>
    <s v="Tyler Bass"/>
    <n v="5"/>
    <n v="2024"/>
  </r>
  <r>
    <x v="4"/>
    <s v="Eli"/>
    <n v="11"/>
    <x v="4"/>
    <s v="NYJ"/>
    <n v="2"/>
    <n v="2024"/>
  </r>
  <r>
    <x v="4"/>
    <s v="Eli"/>
    <n v="11"/>
    <x v="6"/>
    <s v="Rome Odunze"/>
    <n v="9.5"/>
    <n v="2024"/>
  </r>
  <r>
    <x v="10"/>
    <s v="Brand"/>
    <n v="11"/>
    <x v="0"/>
    <s v="Kirk Cousins"/>
    <n v="4.92"/>
    <n v="2024"/>
  </r>
  <r>
    <x v="10"/>
    <s v="Brand"/>
    <n v="11"/>
    <x v="1"/>
    <s v="Jameson Williams"/>
    <n v="20.6"/>
    <n v="2024"/>
  </r>
  <r>
    <x v="10"/>
    <s v="Brand"/>
    <n v="11"/>
    <x v="1"/>
    <s v="Michael Pittman"/>
    <n v="7.1"/>
    <n v="2024"/>
  </r>
  <r>
    <x v="10"/>
    <s v="Brand"/>
    <n v="11"/>
    <x v="1"/>
    <s v="Keenan Allen"/>
    <n v="6.1"/>
    <n v="2024"/>
  </r>
  <r>
    <x v="10"/>
    <s v="Brand"/>
    <n v="11"/>
    <x v="2"/>
    <s v="Breece Hall"/>
    <n v="27.6"/>
    <n v="2024"/>
  </r>
  <r>
    <x v="10"/>
    <s v="Brand"/>
    <n v="11"/>
    <x v="2"/>
    <s v="Kenneth Walker"/>
    <n v="12.9"/>
    <n v="2024"/>
  </r>
  <r>
    <x v="10"/>
    <s v="Brand"/>
    <n v="11"/>
    <x v="3"/>
    <s v="TJ Hockenson"/>
    <n v="2.2999999999999998"/>
    <n v="2024"/>
  </r>
  <r>
    <x v="10"/>
    <s v="Brand"/>
    <n v="11"/>
    <x v="5"/>
    <s v="Cameron Dicker"/>
    <n v="12"/>
    <n v="2024"/>
  </r>
  <r>
    <x v="10"/>
    <s v="Brand"/>
    <n v="11"/>
    <x v="4"/>
    <s v="Miami"/>
    <n v="5"/>
    <n v="2024"/>
  </r>
  <r>
    <x v="10"/>
    <s v="Brand"/>
    <n v="11"/>
    <x v="6"/>
    <s v="Garrett Wilson"/>
    <n v="3.8"/>
    <n v="2024"/>
  </r>
  <r>
    <x v="8"/>
    <s v="Schulwolf"/>
    <n v="11"/>
    <x v="0"/>
    <s v="Jayden Daniels"/>
    <n v="13.44"/>
    <n v="2024"/>
  </r>
  <r>
    <x v="8"/>
    <s v="Schulwolf"/>
    <n v="11"/>
    <x v="1"/>
    <s v="Cooper Kupp"/>
    <n v="25.6"/>
    <n v="2024"/>
  </r>
  <r>
    <x v="8"/>
    <s v="Schulwolf"/>
    <n v="11"/>
    <x v="1"/>
    <s v="Devonta Smith"/>
    <n v="4.9000000000000004"/>
    <n v="2024"/>
  </r>
  <r>
    <x v="8"/>
    <s v="Schulwolf"/>
    <n v="11"/>
    <x v="1"/>
    <s v="Rashod Bateman"/>
    <n v="4"/>
    <n v="2024"/>
  </r>
  <r>
    <x v="8"/>
    <s v="Schulwolf"/>
    <n v="11"/>
    <x v="2"/>
    <s v="Jahmyr Gibbs"/>
    <n v="18.8"/>
    <n v="2024"/>
  </r>
  <r>
    <x v="8"/>
    <s v="Schulwolf"/>
    <n v="11"/>
    <x v="2"/>
    <s v="James Cook"/>
    <n v="17.2"/>
    <n v="2024"/>
  </r>
  <r>
    <x v="8"/>
    <s v="Schulwolf"/>
    <n v="11"/>
    <x v="3"/>
    <s v="Dawson Knox"/>
    <n v="6"/>
    <n v="2024"/>
  </r>
  <r>
    <x v="8"/>
    <s v="Schulwolf"/>
    <n v="11"/>
    <x v="5"/>
    <s v="Brandon Aubrey"/>
    <n v="5"/>
    <n v="2024"/>
  </r>
  <r>
    <x v="8"/>
    <s v="Schulwolf"/>
    <n v="11"/>
    <x v="4"/>
    <s v="Denver"/>
    <n v="14"/>
    <n v="2024"/>
  </r>
  <r>
    <x v="8"/>
    <s v="Schulwolf"/>
    <n v="11"/>
    <x v="6"/>
    <s v="Terry McLaurin"/>
    <n v="1.5"/>
    <n v="2024"/>
  </r>
  <r>
    <x v="11"/>
    <s v="Cam"/>
    <n v="11"/>
    <x v="0"/>
    <s v="Joe Burrow"/>
    <n v="29.04"/>
    <n v="2024"/>
  </r>
  <r>
    <x v="11"/>
    <s v="Cam"/>
    <n v="11"/>
    <x v="1"/>
    <s v="Ja'Marr Chase"/>
    <n v="23"/>
    <n v="2024"/>
  </r>
  <r>
    <x v="11"/>
    <s v="Cam"/>
    <n v="11"/>
    <x v="1"/>
    <s v="Nico Collins"/>
    <n v="7.4"/>
    <n v="2024"/>
  </r>
  <r>
    <x v="11"/>
    <s v="Cam"/>
    <n v="11"/>
    <x v="1"/>
    <s v="Jakobi Meyers"/>
    <n v="6.8"/>
    <n v="2024"/>
  </r>
  <r>
    <x v="11"/>
    <s v="Cam"/>
    <n v="11"/>
    <x v="2"/>
    <s v="JK Dobbins"/>
    <n v="18.399999999999999"/>
    <n v="2024"/>
  </r>
  <r>
    <x v="11"/>
    <s v="Cam"/>
    <n v="11"/>
    <x v="2"/>
    <s v="Rhamondre Stevenson"/>
    <n v="10.9"/>
    <n v="2024"/>
  </r>
  <r>
    <x v="11"/>
    <s v="Cam"/>
    <n v="11"/>
    <x v="3"/>
    <s v="Dalton Schultz"/>
    <n v="5.8"/>
    <n v="2024"/>
  </r>
  <r>
    <x v="11"/>
    <s v="Cam"/>
    <n v="11"/>
    <x v="5"/>
    <s v="Jason Sanders"/>
    <n v="11"/>
    <n v="2024"/>
  </r>
  <r>
    <x v="11"/>
    <s v="Cam"/>
    <n v="11"/>
    <x v="4"/>
    <s v="Washington"/>
    <n v="-2"/>
    <n v="2024"/>
  </r>
  <r>
    <x v="11"/>
    <s v="Cam"/>
    <n v="11"/>
    <x v="7"/>
    <s v="Aaron Jones"/>
    <n v="4.8"/>
    <n v="2024"/>
  </r>
  <r>
    <x v="7"/>
    <s v="Jay"/>
    <n v="11"/>
    <x v="0"/>
    <s v="Lamar Jackson"/>
    <n v="14.88"/>
    <n v="2024"/>
  </r>
  <r>
    <x v="7"/>
    <s v="Jay"/>
    <n v="11"/>
    <x v="1"/>
    <s v="Tee Higgins"/>
    <n v="25.3"/>
    <n v="2024"/>
  </r>
  <r>
    <x v="7"/>
    <s v="Jay"/>
    <n v="11"/>
    <x v="1"/>
    <s v="Jauan Jennings"/>
    <n v="20.100000000000001"/>
    <n v="2024"/>
  </r>
  <r>
    <x v="7"/>
    <s v="Jay"/>
    <n v="11"/>
    <x v="1"/>
    <s v="Amari Cooper"/>
    <n v="6.5"/>
    <n v="2024"/>
  </r>
  <r>
    <x v="7"/>
    <s v="Jay"/>
    <n v="11"/>
    <x v="2"/>
    <s v="Brian Robinson"/>
    <n v="13.7"/>
    <n v="2024"/>
  </r>
  <r>
    <x v="7"/>
    <s v="Jay"/>
    <n v="11"/>
    <x v="2"/>
    <s v="Alvin Kamara"/>
    <n v="10.9"/>
    <n v="2024"/>
  </r>
  <r>
    <x v="7"/>
    <s v="Jay"/>
    <n v="11"/>
    <x v="3"/>
    <s v="Evan Engram"/>
    <n v="5.3"/>
    <n v="2024"/>
  </r>
  <r>
    <x v="7"/>
    <s v="Jay"/>
    <n v="11"/>
    <x v="5"/>
    <s v="Ka'imi Fairbairn"/>
    <n v="10"/>
    <n v="2024"/>
  </r>
  <r>
    <x v="7"/>
    <s v="Jay"/>
    <n v="11"/>
    <x v="4"/>
    <s v="New Orleans"/>
    <n v="0"/>
    <n v="2024"/>
  </r>
  <r>
    <x v="7"/>
    <s v="Jay"/>
    <n v="11"/>
    <x v="7"/>
    <s v="Jonathan Taylor"/>
    <n v="6.5"/>
    <n v="2024"/>
  </r>
  <r>
    <x v="5"/>
    <s v="Burnett/Jasjaap"/>
    <n v="11"/>
    <x v="0"/>
    <s v="Brock Purdy"/>
    <n v="18.36"/>
    <n v="2024"/>
  </r>
  <r>
    <x v="5"/>
    <s v="Burnett/Jasjaap"/>
    <n v="11"/>
    <x v="1"/>
    <s v="CeeDee Lamb"/>
    <n v="14.6"/>
    <n v="2024"/>
  </r>
  <r>
    <x v="5"/>
    <s v="Burnett/Jasjaap"/>
    <n v="11"/>
    <x v="1"/>
    <s v="Puka Nacua"/>
    <n v="21.8"/>
    <n v="2024"/>
  </r>
  <r>
    <x v="5"/>
    <s v="Burnett/Jasjaap"/>
    <n v="11"/>
    <x v="1"/>
    <s v="Jaylen Waddle"/>
    <n v="4.7"/>
    <n v="2024"/>
  </r>
  <r>
    <x v="5"/>
    <s v="Burnett/Jasjaap"/>
    <n v="11"/>
    <x v="2"/>
    <s v="David Montgomery"/>
    <n v="23"/>
    <n v="2024"/>
  </r>
  <r>
    <x v="5"/>
    <s v="Burnett/Jasjaap"/>
    <n v="11"/>
    <x v="2"/>
    <s v="Josh Jacobs"/>
    <n v="21.4"/>
    <n v="2024"/>
  </r>
  <r>
    <x v="5"/>
    <s v="Burnett/Jasjaap"/>
    <n v="11"/>
    <x v="3"/>
    <s v="Brock Bowers"/>
    <n v="24.8"/>
    <n v="2024"/>
  </r>
  <r>
    <x v="5"/>
    <s v="Burnett/Jasjaap"/>
    <n v="11"/>
    <x v="5"/>
    <s v="Jake Bates"/>
    <n v="12"/>
    <n v="2024"/>
  </r>
  <r>
    <x v="5"/>
    <s v="Burnett/Jasjaap"/>
    <n v="11"/>
    <x v="4"/>
    <s v="Kansas City"/>
    <n v="0"/>
    <n v="2024"/>
  </r>
  <r>
    <x v="5"/>
    <s v="Burnett/Jasjaap"/>
    <n v="11"/>
    <x v="7"/>
    <s v="Rico Dowdle"/>
    <n v="4.4000000000000004"/>
    <n v="2024"/>
  </r>
  <r>
    <x v="3"/>
    <s v="Kevin"/>
    <n v="11"/>
    <x v="0"/>
    <s v="Justin Herbert"/>
    <n v="24.38"/>
    <n v="2024"/>
  </r>
  <r>
    <x v="3"/>
    <s v="Kevin"/>
    <n v="11"/>
    <x v="1"/>
    <s v="George Pickens"/>
    <n v="12.9"/>
    <n v="2024"/>
  </r>
  <r>
    <x v="3"/>
    <s v="Kevin"/>
    <n v="11"/>
    <x v="1"/>
    <s v="Jordan Addison"/>
    <n v="13.6"/>
    <n v="2024"/>
  </r>
  <r>
    <x v="3"/>
    <s v="Kevin"/>
    <n v="11"/>
    <x v="1"/>
    <s v="DeAndre Hopkins"/>
    <n v="4.4000000000000004"/>
    <n v="2024"/>
  </r>
  <r>
    <x v="3"/>
    <s v="Kevin"/>
    <n v="11"/>
    <x v="2"/>
    <s v="Joe Mixon"/>
    <n v="34.299999999999997"/>
    <n v="2024"/>
  </r>
  <r>
    <x v="3"/>
    <s v="Kevin"/>
    <n v="11"/>
    <x v="2"/>
    <s v="Najee Harris"/>
    <n v="11.3"/>
    <n v="2024"/>
  </r>
  <r>
    <x v="3"/>
    <s v="Kevin"/>
    <n v="11"/>
    <x v="3"/>
    <s v="Hunter Henry"/>
    <n v="9.3000000000000007"/>
    <n v="2024"/>
  </r>
  <r>
    <x v="3"/>
    <s v="Kevin"/>
    <n v="11"/>
    <x v="5"/>
    <s v="Justin Tucker"/>
    <n v="5"/>
    <n v="2024"/>
  </r>
  <r>
    <x v="3"/>
    <s v="Kevin"/>
    <n v="11"/>
    <x v="4"/>
    <s v="LA Rams"/>
    <n v="8"/>
    <n v="2024"/>
  </r>
  <r>
    <x v="3"/>
    <s v="Kevin"/>
    <n v="11"/>
    <x v="6"/>
    <s v="Gabe Davis"/>
    <n v="0.8"/>
    <n v="2024"/>
  </r>
  <r>
    <x v="9"/>
    <s v="Tommy"/>
    <n v="11"/>
    <x v="0"/>
    <s v="Josh Allen"/>
    <n v="23.98"/>
    <n v="2024"/>
  </r>
  <r>
    <x v="9"/>
    <s v="Tommy"/>
    <n v="11"/>
    <x v="1"/>
    <s v="Xavier Worthy"/>
    <n v="14.8"/>
    <n v="2024"/>
  </r>
  <r>
    <x v="9"/>
    <s v="Tommy"/>
    <n v="11"/>
    <x v="1"/>
    <s v="DK Metcalf"/>
    <n v="10.5"/>
    <n v="2024"/>
  </r>
  <r>
    <x v="9"/>
    <s v="Tommy"/>
    <n v="11"/>
    <x v="1"/>
    <s v="Romeo Doubs"/>
    <n v="2.2000000000000002"/>
    <n v="2024"/>
  </r>
  <r>
    <x v="9"/>
    <s v="Tommy"/>
    <n v="11"/>
    <x v="2"/>
    <s v="Saquon Barkley"/>
    <n v="32.799999999999997"/>
    <n v="2024"/>
  </r>
  <r>
    <x v="9"/>
    <s v="Tommy"/>
    <n v="11"/>
    <x v="2"/>
    <s v="Kyren Williams"/>
    <n v="8.6"/>
    <n v="2024"/>
  </r>
  <r>
    <x v="9"/>
    <s v="Tommy"/>
    <n v="11"/>
    <x v="3"/>
    <s v="Mark Andrews"/>
    <n v="3.2"/>
    <n v="2024"/>
  </r>
  <r>
    <x v="9"/>
    <s v="Tommy"/>
    <n v="11"/>
    <x v="5"/>
    <s v="Brandon McManus"/>
    <n v="2"/>
    <n v="2024"/>
  </r>
  <r>
    <x v="9"/>
    <s v="Tommy"/>
    <n v="11"/>
    <x v="4"/>
    <s v="Minnesota"/>
    <n v="12"/>
    <n v="2024"/>
  </r>
  <r>
    <x v="9"/>
    <s v="Tommy"/>
    <n v="11"/>
    <x v="6"/>
    <s v="Noah Brown"/>
    <n v="0.9"/>
    <n v="2024"/>
  </r>
  <r>
    <x v="0"/>
    <s v="Brenton"/>
    <n v="12"/>
    <x v="0"/>
    <s v="Baker Mayfield"/>
    <n v="18.66"/>
    <n v="2024"/>
  </r>
  <r>
    <x v="0"/>
    <s v="Brenton"/>
    <n v="12"/>
    <x v="1"/>
    <s v="Courtland Sutton"/>
    <n v="25.7"/>
    <n v="2024"/>
  </r>
  <r>
    <x v="0"/>
    <s v="Brenton"/>
    <n v="12"/>
    <x v="1"/>
    <s v="Zay Flowers"/>
    <n v="8.6999999999999993"/>
    <n v="2024"/>
  </r>
  <r>
    <x v="0"/>
    <s v="Brenton"/>
    <n v="12"/>
    <x v="1"/>
    <s v="Tyreek Hill"/>
    <n v="7.3"/>
    <n v="2024"/>
  </r>
  <r>
    <x v="0"/>
    <s v="Brenton"/>
    <n v="12"/>
    <x v="2"/>
    <s v="Tyrone Tracy"/>
    <n v="7"/>
    <n v="2024"/>
  </r>
  <r>
    <x v="0"/>
    <s v="Brenton"/>
    <n v="12"/>
    <x v="2"/>
    <s v="Christian McCaffrey"/>
    <n v="6.3"/>
    <n v="2024"/>
  </r>
  <r>
    <x v="0"/>
    <s v="Brenton"/>
    <n v="12"/>
    <x v="3"/>
    <s v="Jonnu Smith"/>
    <n v="19.2"/>
    <n v="2024"/>
  </r>
  <r>
    <x v="0"/>
    <s v="Brenton"/>
    <n v="12"/>
    <x v="5"/>
    <s v="Jake Elliott"/>
    <n v="13"/>
    <n v="2024"/>
  </r>
  <r>
    <x v="0"/>
    <s v="Brenton"/>
    <n v="12"/>
    <x v="4"/>
    <s v="Detroit"/>
    <n v="8"/>
    <n v="2024"/>
  </r>
  <r>
    <x v="0"/>
    <s v="Brenton"/>
    <n v="12"/>
    <x v="6"/>
    <s v="Jayden Reed"/>
    <n v="4.0999999999999996"/>
    <n v="2024"/>
  </r>
  <r>
    <x v="1"/>
    <s v="Todd"/>
    <n v="12"/>
    <x v="0"/>
    <s v="Anthony Richardson"/>
    <n v="12.98"/>
    <n v="2024"/>
  </r>
  <r>
    <x v="1"/>
    <s v="Todd"/>
    <n v="12"/>
    <x v="1"/>
    <s v="AJ Brown"/>
    <n v="19.899999999999999"/>
    <n v="2024"/>
  </r>
  <r>
    <x v="1"/>
    <s v="Todd"/>
    <n v="12"/>
    <x v="1"/>
    <s v="Calvin Ridley"/>
    <n v="11.8"/>
    <n v="2024"/>
  </r>
  <r>
    <x v="1"/>
    <s v="Todd"/>
    <n v="12"/>
    <x v="1"/>
    <s v="Deebo Samuel"/>
    <n v="2.6"/>
    <n v="2024"/>
  </r>
  <r>
    <x v="1"/>
    <s v="Todd"/>
    <n v="12"/>
    <x v="2"/>
    <s v="De'Von Achane"/>
    <n v="19.100000000000001"/>
    <n v="2024"/>
  </r>
  <r>
    <x v="1"/>
    <s v="Todd"/>
    <n v="12"/>
    <x v="2"/>
    <s v="James Conner"/>
    <n v="7.4"/>
    <n v="2024"/>
  </r>
  <r>
    <x v="1"/>
    <s v="Todd"/>
    <n v="12"/>
    <x v="3"/>
    <s v="Tucker Kraft"/>
    <n v="9.6"/>
    <n v="2024"/>
  </r>
  <r>
    <x v="1"/>
    <s v="Todd"/>
    <n v="12"/>
    <x v="5"/>
    <s v="Chris Boswell"/>
    <n v="8"/>
    <n v="2024"/>
  </r>
  <r>
    <x v="1"/>
    <s v="Todd"/>
    <n v="12"/>
    <x v="4"/>
    <s v="Chicago"/>
    <n v="0"/>
    <n v="2024"/>
  </r>
  <r>
    <x v="1"/>
    <s v="Todd"/>
    <n v="12"/>
    <x v="6"/>
    <s v="Diontae Johnson"/>
    <n v="0"/>
    <n v="2024"/>
  </r>
  <r>
    <x v="2"/>
    <s v="Mike"/>
    <n v="12"/>
    <x v="0"/>
    <s v="Patrick Mahomes"/>
    <n v="28.76"/>
    <n v="2024"/>
  </r>
  <r>
    <x v="2"/>
    <s v="Mike"/>
    <n v="12"/>
    <x v="1"/>
    <s v="Devaughn Vele"/>
    <n v="11"/>
    <n v="2024"/>
  </r>
  <r>
    <x v="2"/>
    <s v="Mike"/>
    <n v="12"/>
    <x v="1"/>
    <s v="Mike Evans"/>
    <n v="9.3000000000000007"/>
    <n v="2024"/>
  </r>
  <r>
    <x v="2"/>
    <s v="Mike"/>
    <n v="12"/>
    <x v="1"/>
    <s v="Tank Dell"/>
    <n v="8.6999999999999993"/>
    <n v="2024"/>
  </r>
  <r>
    <x v="2"/>
    <s v="Mike"/>
    <n v="12"/>
    <x v="2"/>
    <s v="Nick Chubb"/>
    <n v="18.5"/>
    <n v="2024"/>
  </r>
  <r>
    <x v="2"/>
    <s v="Mike"/>
    <n v="12"/>
    <x v="2"/>
    <s v="Derrick Henry"/>
    <n v="14"/>
    <n v="2024"/>
  </r>
  <r>
    <x v="2"/>
    <s v="Mike"/>
    <n v="12"/>
    <x v="3"/>
    <s v="Sam LaPorta"/>
    <n v="3.4"/>
    <n v="2024"/>
  </r>
  <r>
    <x v="2"/>
    <s v="Mike"/>
    <n v="12"/>
    <x v="5"/>
    <s v="Chase McLaughlin"/>
    <n v="5"/>
    <n v="2024"/>
  </r>
  <r>
    <x v="2"/>
    <s v="Mike"/>
    <n v="12"/>
    <x v="4"/>
    <s v="Tampa Bay"/>
    <n v="11"/>
    <n v="2024"/>
  </r>
  <r>
    <x v="2"/>
    <s v="Mike"/>
    <n v="12"/>
    <x v="7"/>
    <s v="Kareem Hunt"/>
    <n v="10.199999999999999"/>
    <n v="2024"/>
  </r>
  <r>
    <x v="3"/>
    <s v="Kevin"/>
    <n v="12"/>
    <x v="0"/>
    <s v="CJ Stroud"/>
    <n v="15.68"/>
    <n v="2024"/>
  </r>
  <r>
    <x v="3"/>
    <s v="Kevin"/>
    <n v="12"/>
    <x v="1"/>
    <s v="DeAndre Hopkins"/>
    <n v="12"/>
    <n v="2024"/>
  </r>
  <r>
    <x v="3"/>
    <s v="Kevin"/>
    <n v="12"/>
    <x v="1"/>
    <s v="George Pickens"/>
    <n v="6.8"/>
    <n v="2024"/>
  </r>
  <r>
    <x v="3"/>
    <s v="Kevin"/>
    <n v="12"/>
    <x v="1"/>
    <s v="Marvin Harrison Jr"/>
    <n v="6.2"/>
    <n v="2024"/>
  </r>
  <r>
    <x v="3"/>
    <s v="Kevin"/>
    <n v="12"/>
    <x v="2"/>
    <s v="Chuba Hubbard"/>
    <n v="14.5"/>
    <n v="2024"/>
  </r>
  <r>
    <x v="3"/>
    <s v="Kevin"/>
    <n v="12"/>
    <x v="2"/>
    <s v="Joe Mixon"/>
    <n v="7"/>
    <n v="2024"/>
  </r>
  <r>
    <x v="3"/>
    <s v="Kevin"/>
    <n v="12"/>
    <x v="3"/>
    <s v="Hunter Henry"/>
    <n v="6.9"/>
    <n v="2024"/>
  </r>
  <r>
    <x v="3"/>
    <s v="Kevin"/>
    <n v="12"/>
    <x v="5"/>
    <s v="Justin Tucker"/>
    <n v="7"/>
    <n v="2024"/>
  </r>
  <r>
    <x v="3"/>
    <s v="Kevin"/>
    <n v="12"/>
    <x v="4"/>
    <s v="Philadelphia"/>
    <n v="9"/>
    <n v="2024"/>
  </r>
  <r>
    <x v="3"/>
    <s v="Kevin"/>
    <n v="12"/>
    <x v="7"/>
    <s v="Najee Harris"/>
    <n v="6.4"/>
    <n v="2024"/>
  </r>
  <r>
    <x v="4"/>
    <s v="Eli"/>
    <n v="12"/>
    <x v="0"/>
    <s v="Jalen Hurts"/>
    <n v="15.06"/>
    <n v="2024"/>
  </r>
  <r>
    <x v="4"/>
    <s v="Eli"/>
    <n v="12"/>
    <x v="1"/>
    <s v="DJ Moore"/>
    <n v="23.4"/>
    <n v="2024"/>
  </r>
  <r>
    <x v="4"/>
    <s v="Eli"/>
    <n v="12"/>
    <x v="1"/>
    <s v="Rome Odunze"/>
    <n v="6.4"/>
    <n v="2024"/>
  </r>
  <r>
    <x v="4"/>
    <s v="Eli"/>
    <n v="12"/>
    <x v="1"/>
    <s v="Xavier Legette"/>
    <n v="7.6"/>
    <n v="2024"/>
  </r>
  <r>
    <x v="4"/>
    <s v="Eli"/>
    <n v="12"/>
    <x v="2"/>
    <s v="Gus Edwards"/>
    <n v="7.1"/>
    <n v="2024"/>
  </r>
  <r>
    <x v="4"/>
    <s v="Eli"/>
    <n v="12"/>
    <x v="2"/>
    <s v="Tyjae Spears"/>
    <n v="0"/>
    <n v="2024"/>
  </r>
  <r>
    <x v="4"/>
    <s v="Eli"/>
    <n v="12"/>
    <x v="3"/>
    <s v="David Njoku"/>
    <n v="3.4"/>
    <n v="2024"/>
  </r>
  <r>
    <x v="4"/>
    <s v="Eli"/>
    <n v="12"/>
    <x v="5"/>
    <s v="Tyler Bass"/>
    <n v="0"/>
    <n v="2024"/>
  </r>
  <r>
    <x v="4"/>
    <s v="Eli"/>
    <n v="12"/>
    <x v="4"/>
    <s v="NYJ"/>
    <n v="0"/>
    <n v="2024"/>
  </r>
  <r>
    <x v="4"/>
    <s v="Eli"/>
    <n v="12"/>
    <x v="6"/>
    <s v="Justin Jefferson"/>
    <n v="3.7"/>
    <n v="2024"/>
  </r>
  <r>
    <x v="5"/>
    <s v="Burnett/Jasjaap"/>
    <n v="12"/>
    <x v="0"/>
    <s v="Bo Nix"/>
    <n v="19.420000000000002"/>
    <n v="2024"/>
  </r>
  <r>
    <x v="5"/>
    <s v="Burnett/Jasjaap"/>
    <n v="12"/>
    <x v="1"/>
    <s v="CeeDee Lamb"/>
    <n v="11.8"/>
    <n v="2024"/>
  </r>
  <r>
    <x v="5"/>
    <s v="Burnett/Jasjaap"/>
    <n v="12"/>
    <x v="1"/>
    <s v="Puka Nacua"/>
    <n v="16.2"/>
    <n v="2024"/>
  </r>
  <r>
    <x v="5"/>
    <s v="Burnett/Jasjaap"/>
    <n v="12"/>
    <x v="1"/>
    <s v="Jaylen Waddle"/>
    <n v="24.4"/>
    <n v="2024"/>
  </r>
  <r>
    <x v="5"/>
    <s v="Burnett/Jasjaap"/>
    <n v="12"/>
    <x v="2"/>
    <s v="Josh Jacobs"/>
    <n v="28.6"/>
    <n v="2024"/>
  </r>
  <r>
    <x v="5"/>
    <s v="Burnett/Jasjaap"/>
    <n v="12"/>
    <x v="2"/>
    <s v="David Montgomery"/>
    <n v="14.8"/>
    <n v="2024"/>
  </r>
  <r>
    <x v="5"/>
    <s v="Burnett/Jasjaap"/>
    <n v="12"/>
    <x v="3"/>
    <s v="Brock Bowers"/>
    <n v="5.8"/>
    <n v="2024"/>
  </r>
  <r>
    <x v="5"/>
    <s v="Burnett/Jasjaap"/>
    <n v="12"/>
    <x v="5"/>
    <s v="Austin Seibert"/>
    <n v="7"/>
    <n v="2024"/>
  </r>
  <r>
    <x v="5"/>
    <s v="Burnett/Jasjaap"/>
    <n v="12"/>
    <x v="4"/>
    <s v="Kansas City"/>
    <n v="1"/>
    <n v="2024"/>
  </r>
  <r>
    <x v="5"/>
    <s v="Burnett/Jasjaap"/>
    <n v="12"/>
    <x v="7"/>
    <s v="Rico Dowdle"/>
    <n v="9.3000000000000007"/>
    <n v="2024"/>
  </r>
  <r>
    <x v="6"/>
    <s v="Will"/>
    <n v="12"/>
    <x v="0"/>
    <s v="Geno Smith"/>
    <n v="12.36"/>
    <n v="2024"/>
  </r>
  <r>
    <x v="6"/>
    <s v="Will"/>
    <n v="12"/>
    <x v="1"/>
    <s v="Jaxon Smith-Njigba"/>
    <n v="16.7"/>
    <n v="2024"/>
  </r>
  <r>
    <x v="6"/>
    <s v="Will"/>
    <n v="12"/>
    <x v="1"/>
    <s v="Amon-Ra St. Brown"/>
    <n v="9.1999999999999993"/>
    <n v="2024"/>
  </r>
  <r>
    <x v="6"/>
    <s v="Will"/>
    <n v="12"/>
    <x v="1"/>
    <s v="Ladd McConkey"/>
    <n v="11.3"/>
    <n v="2024"/>
  </r>
  <r>
    <x v="6"/>
    <s v="Will"/>
    <n v="12"/>
    <x v="2"/>
    <s v="Tony Pollard"/>
    <n v="20.399999999999999"/>
    <n v="2024"/>
  </r>
  <r>
    <x v="6"/>
    <s v="Will"/>
    <n v="12"/>
    <x v="2"/>
    <s v="Austin Ekeler"/>
    <n v="3.4"/>
    <n v="2024"/>
  </r>
  <r>
    <x v="6"/>
    <s v="Will"/>
    <n v="12"/>
    <x v="3"/>
    <s v="Travis Kelce"/>
    <n v="9.1999999999999993"/>
    <n v="2024"/>
  </r>
  <r>
    <x v="6"/>
    <s v="Will"/>
    <n v="12"/>
    <x v="5"/>
    <s v="Jake Moody"/>
    <n v="5"/>
    <n v="2024"/>
  </r>
  <r>
    <x v="6"/>
    <s v="Will"/>
    <n v="12"/>
    <x v="4"/>
    <s v="Houston"/>
    <n v="18"/>
    <n v="2024"/>
  </r>
  <r>
    <x v="6"/>
    <s v="Will"/>
    <n v="12"/>
    <x v="6"/>
    <s v="Josh Downs"/>
    <n v="4.2"/>
    <n v="2024"/>
  </r>
  <r>
    <x v="7"/>
    <s v="Jay"/>
    <n v="12"/>
    <x v="0"/>
    <s v="Lamar Jackson"/>
    <n v="22.58"/>
    <n v="2024"/>
  </r>
  <r>
    <x v="7"/>
    <s v="Jay"/>
    <n v="12"/>
    <x v="1"/>
    <s v="Jauan Jennings"/>
    <n v="6.5"/>
    <n v="2024"/>
  </r>
  <r>
    <x v="7"/>
    <s v="Jay"/>
    <n v="12"/>
    <x v="1"/>
    <s v="Kayshon Boutte"/>
    <n v="1.1000000000000001"/>
    <n v="2024"/>
  </r>
  <r>
    <x v="7"/>
    <s v="Jay"/>
    <n v="12"/>
    <x v="1"/>
    <s v="Elijah Moore"/>
    <n v="3.6"/>
    <n v="2024"/>
  </r>
  <r>
    <x v="7"/>
    <s v="Jay"/>
    <n v="12"/>
    <x v="2"/>
    <s v="Brian Robinson"/>
    <n v="2.9"/>
    <n v="2024"/>
  </r>
  <r>
    <x v="7"/>
    <s v="Jay"/>
    <n v="12"/>
    <x v="2"/>
    <s v="Jonathan Taylor"/>
    <n v="3.5"/>
    <n v="2024"/>
  </r>
  <r>
    <x v="7"/>
    <s v="Jay"/>
    <n v="12"/>
    <x v="3"/>
    <s v="Zach Ertz"/>
    <n v="12.8"/>
    <n v="2024"/>
  </r>
  <r>
    <x v="7"/>
    <s v="Jay"/>
    <n v="12"/>
    <x v="5"/>
    <s v="Ka'imi Fairbairn"/>
    <n v="10"/>
    <n v="2024"/>
  </r>
  <r>
    <x v="7"/>
    <s v="Jay"/>
    <n v="12"/>
    <x v="4"/>
    <s v="Cleveland"/>
    <n v="6"/>
    <n v="2024"/>
  </r>
  <r>
    <x v="7"/>
    <s v="Jay"/>
    <n v="12"/>
    <x v="6"/>
    <s v="Quentin Johnston"/>
    <n v="0"/>
    <n v="2024"/>
  </r>
  <r>
    <x v="8"/>
    <s v="Schulwolf"/>
    <n v="12"/>
    <x v="0"/>
    <s v="Jayden Daniels"/>
    <n v="30.4"/>
    <n v="2024"/>
  </r>
  <r>
    <x v="8"/>
    <s v="Schulwolf"/>
    <n v="12"/>
    <x v="1"/>
    <s v="Terry McLaurin"/>
    <n v="18.7"/>
    <n v="2024"/>
  </r>
  <r>
    <x v="8"/>
    <s v="Schulwolf"/>
    <n v="12"/>
    <x v="1"/>
    <s v="Cooper Kupp"/>
    <n v="16"/>
    <n v="2024"/>
  </r>
  <r>
    <x v="8"/>
    <s v="Schulwolf"/>
    <n v="12"/>
    <x v="1"/>
    <s v="Rashod Bateman"/>
    <n v="11.3"/>
    <n v="2024"/>
  </r>
  <r>
    <x v="8"/>
    <s v="Schulwolf"/>
    <n v="12"/>
    <x v="2"/>
    <s v="Jahmyr Gibbs"/>
    <n v="23.4"/>
    <n v="2024"/>
  </r>
  <r>
    <x v="8"/>
    <s v="Schulwolf"/>
    <n v="12"/>
    <x v="2"/>
    <s v="Jaylen Warren"/>
    <n v="13.9"/>
    <n v="2024"/>
  </r>
  <r>
    <x v="8"/>
    <s v="Schulwolf"/>
    <n v="12"/>
    <x v="3"/>
    <s v="Will Dissly"/>
    <n v="6.7"/>
    <n v="2024"/>
  </r>
  <r>
    <x v="8"/>
    <s v="Schulwolf"/>
    <n v="12"/>
    <x v="5"/>
    <s v="Brandon Aubrey"/>
    <n v="10"/>
    <n v="2024"/>
  </r>
  <r>
    <x v="8"/>
    <s v="Schulwolf"/>
    <n v="12"/>
    <x v="4"/>
    <s v="Denver"/>
    <n v="9"/>
    <n v="2024"/>
  </r>
  <r>
    <x v="8"/>
    <s v="Schulwolf"/>
    <n v="12"/>
    <x v="6"/>
    <s v="DeMario Douglas"/>
    <n v="8.8000000000000007"/>
    <n v="2024"/>
  </r>
  <r>
    <x v="9"/>
    <s v="Tommy"/>
    <n v="12"/>
    <x v="0"/>
    <s v="Jared Goff"/>
    <n v="10.76"/>
    <n v="2024"/>
  </r>
  <r>
    <x v="9"/>
    <s v="Tommy"/>
    <n v="12"/>
    <x v="1"/>
    <s v="Malik Nabers"/>
    <n v="9.4"/>
    <n v="2024"/>
  </r>
  <r>
    <x v="9"/>
    <s v="Tommy"/>
    <n v="12"/>
    <x v="1"/>
    <s v="DK Metcalf"/>
    <n v="7.9"/>
    <n v="2024"/>
  </r>
  <r>
    <x v="9"/>
    <s v="Tommy"/>
    <n v="12"/>
    <x v="1"/>
    <s v="Xavier Worthy"/>
    <n v="7.1"/>
    <n v="2024"/>
  </r>
  <r>
    <x v="9"/>
    <s v="Tommy"/>
    <n v="12"/>
    <x v="2"/>
    <s v="Saquon Barkley"/>
    <n v="44.2"/>
    <n v="2024"/>
  </r>
  <r>
    <x v="9"/>
    <s v="Tommy"/>
    <n v="12"/>
    <x v="2"/>
    <s v="Kyren Williams"/>
    <n v="11.2"/>
    <n v="2024"/>
  </r>
  <r>
    <x v="9"/>
    <s v="Tommy"/>
    <n v="12"/>
    <x v="3"/>
    <s v="Mark Andrews"/>
    <n v="13.1"/>
    <n v="2024"/>
  </r>
  <r>
    <x v="9"/>
    <s v="Tommy"/>
    <n v="12"/>
    <x v="5"/>
    <s v="Jason Myers"/>
    <n v="5"/>
    <n v="2024"/>
  </r>
  <r>
    <x v="9"/>
    <s v="Tommy"/>
    <n v="12"/>
    <x v="4"/>
    <s v="Minnesota"/>
    <n v="6"/>
    <n v="2024"/>
  </r>
  <r>
    <x v="9"/>
    <s v="Tommy"/>
    <n v="12"/>
    <x v="7"/>
    <s v="Rachaad White"/>
    <n v="11.2"/>
    <n v="2024"/>
  </r>
  <r>
    <x v="10"/>
    <s v="Brand"/>
    <n v="12"/>
    <x v="0"/>
    <s v="Tommy DeVito"/>
    <n v="10.76"/>
    <n v="2024"/>
  </r>
  <r>
    <x v="10"/>
    <s v="Brand"/>
    <n v="12"/>
    <x v="1"/>
    <s v="Keenan Allen"/>
    <n v="19.100000000000001"/>
    <n v="2024"/>
  </r>
  <r>
    <x v="10"/>
    <s v="Brand"/>
    <n v="12"/>
    <x v="1"/>
    <s v="Michael Pittman"/>
    <n v="12.6"/>
    <n v="2024"/>
  </r>
  <r>
    <x v="10"/>
    <s v="Brand"/>
    <n v="12"/>
    <x v="1"/>
    <s v="Jameson Williams"/>
    <n v="9.3000000000000007"/>
    <n v="2024"/>
  </r>
  <r>
    <x v="10"/>
    <s v="Brand"/>
    <n v="12"/>
    <x v="2"/>
    <s v="Bucky Irving"/>
    <n v="24.2"/>
    <n v="2024"/>
  </r>
  <r>
    <x v="10"/>
    <s v="Brand"/>
    <n v="12"/>
    <x v="2"/>
    <s v="Kenneth Walker"/>
    <n v="11.3"/>
    <n v="2024"/>
  </r>
  <r>
    <x v="10"/>
    <s v="Brand"/>
    <n v="12"/>
    <x v="3"/>
    <s v="Dallas Goedert"/>
    <n v="3.9"/>
    <n v="2024"/>
  </r>
  <r>
    <x v="10"/>
    <s v="Brand"/>
    <n v="12"/>
    <x v="5"/>
    <s v="Cameron Dicker"/>
    <n v="16"/>
    <n v="2024"/>
  </r>
  <r>
    <x v="10"/>
    <s v="Brand"/>
    <n v="12"/>
    <x v="4"/>
    <s v="Miami"/>
    <n v="13"/>
    <n v="2024"/>
  </r>
  <r>
    <x v="10"/>
    <s v="Brand"/>
    <n v="12"/>
    <x v="6"/>
    <s v="Christian Watson"/>
    <n v="0.4"/>
    <n v="2024"/>
  </r>
  <r>
    <x v="11"/>
    <s v="Cam"/>
    <n v="12"/>
    <x v="0"/>
    <s v="Kyler Murray"/>
    <n v="10.3"/>
    <n v="2024"/>
  </r>
  <r>
    <x v="11"/>
    <s v="Cam"/>
    <n v="12"/>
    <x v="1"/>
    <s v="Jakobi Meyers"/>
    <n v="17.100000000000001"/>
    <n v="2024"/>
  </r>
  <r>
    <x v="11"/>
    <s v="Cam"/>
    <n v="12"/>
    <x v="1"/>
    <s v="Nico Collins"/>
    <n v="17.7"/>
    <n v="2024"/>
  </r>
  <r>
    <x v="11"/>
    <s v="Cam"/>
    <n v="12"/>
    <x v="1"/>
    <s v="Wan'Dale Robinson"/>
    <n v="7.2"/>
    <n v="2024"/>
  </r>
  <r>
    <x v="11"/>
    <s v="Cam"/>
    <n v="12"/>
    <x v="2"/>
    <s v="Aaron Jones"/>
    <n v="18.399999999999999"/>
    <n v="2024"/>
  </r>
  <r>
    <x v="11"/>
    <s v="Cam"/>
    <n v="12"/>
    <x v="2"/>
    <s v="JK Dobbins"/>
    <n v="7.4"/>
    <n v="2024"/>
  </r>
  <r>
    <x v="11"/>
    <s v="Cam"/>
    <n v="12"/>
    <x v="3"/>
    <s v="George Kittle"/>
    <n v="17.2"/>
    <n v="2024"/>
  </r>
  <r>
    <x v="11"/>
    <s v="Cam"/>
    <n v="12"/>
    <x v="5"/>
    <s v="Jason Sanders"/>
    <n v="12"/>
    <n v="2024"/>
  </r>
  <r>
    <x v="11"/>
    <s v="Cam"/>
    <n v="12"/>
    <x v="4"/>
    <s v="Washington"/>
    <n v="3"/>
    <n v="2024"/>
  </r>
  <r>
    <x v="11"/>
    <s v="Cam"/>
    <n v="12"/>
    <x v="7"/>
    <s v="Rhamondre Stevenson"/>
    <n v="3.3"/>
    <n v="2024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count="1524">
  <r>
    <x v="0"/>
    <s v="Brenton"/>
    <n v="1"/>
    <x v="0"/>
    <s v="Trevor Lawrence"/>
    <x v="0"/>
    <n v="2024"/>
  </r>
  <r>
    <x v="0"/>
    <s v="Brenton"/>
    <n v="1"/>
    <x v="1"/>
    <s v="Jayden Reed"/>
    <x v="1"/>
    <n v="2024"/>
  </r>
  <r>
    <x v="0"/>
    <s v="Brenton"/>
    <n v="1"/>
    <x v="1"/>
    <s v="Tyreek Hill"/>
    <x v="2"/>
    <n v="2024"/>
  </r>
  <r>
    <x v="0"/>
    <s v="Brenton"/>
    <n v="1"/>
    <x v="1"/>
    <s v="Zay Flowers"/>
    <x v="3"/>
    <n v="2024"/>
  </r>
  <r>
    <x v="0"/>
    <s v="Brenton"/>
    <n v="1"/>
    <x v="2"/>
    <s v="Jerome Ford"/>
    <x v="4"/>
    <n v="2024"/>
  </r>
  <r>
    <x v="0"/>
    <s v="Brenton"/>
    <n v="1"/>
    <x v="2"/>
    <s v="Javonte Williams"/>
    <x v="5"/>
    <n v="2024"/>
  </r>
  <r>
    <x v="0"/>
    <s v="Brenton"/>
    <n v="1"/>
    <x v="3"/>
    <s v="Trey McBride"/>
    <x v="6"/>
    <n v="2024"/>
  </r>
  <r>
    <x v="0"/>
    <s v="Brenton"/>
    <n v="1"/>
    <x v="4"/>
    <s v="Cincinnati"/>
    <x v="7"/>
    <n v="2024"/>
  </r>
  <r>
    <x v="0"/>
    <s v="Brenton"/>
    <n v="1"/>
    <x v="5"/>
    <s v="Tyler Bass"/>
    <x v="8"/>
    <n v="2024"/>
  </r>
  <r>
    <x v="1"/>
    <s v="Todd"/>
    <n v="1"/>
    <x v="0"/>
    <s v="Dak Prescott"/>
    <x v="9"/>
    <n v="2024"/>
  </r>
  <r>
    <x v="1"/>
    <s v="Todd"/>
    <n v="1"/>
    <x v="1"/>
    <s v="AJ Brown"/>
    <x v="10"/>
    <n v="2024"/>
  </r>
  <r>
    <x v="1"/>
    <s v="Todd"/>
    <n v="1"/>
    <x v="1"/>
    <s v="Deebo Samuel"/>
    <x v="11"/>
    <n v="2024"/>
  </r>
  <r>
    <x v="1"/>
    <s v="Todd"/>
    <n v="1"/>
    <x v="1"/>
    <s v="Rashee Rice"/>
    <x v="12"/>
    <n v="2024"/>
  </r>
  <r>
    <x v="1"/>
    <s v="Todd"/>
    <n v="1"/>
    <x v="2"/>
    <s v="De'Von Achane"/>
    <x v="13"/>
    <n v="2024"/>
  </r>
  <r>
    <x v="1"/>
    <s v="Todd"/>
    <n v="1"/>
    <x v="2"/>
    <s v="James Conner"/>
    <x v="14"/>
    <n v="2024"/>
  </r>
  <r>
    <x v="1"/>
    <s v="Todd"/>
    <n v="1"/>
    <x v="3"/>
    <s v="Pat Freiermuth"/>
    <x v="15"/>
    <n v="2024"/>
  </r>
  <r>
    <x v="1"/>
    <s v="Todd"/>
    <n v="1"/>
    <x v="4"/>
    <s v="Seattle"/>
    <x v="8"/>
    <n v="2024"/>
  </r>
  <r>
    <x v="1"/>
    <s v="Todd"/>
    <n v="1"/>
    <x v="5"/>
    <s v="Younghoe Koo"/>
    <x v="16"/>
    <n v="2024"/>
  </r>
  <r>
    <x v="2"/>
    <s v="Mike"/>
    <n v="1"/>
    <x v="0"/>
    <s v="Patrick Mahomes"/>
    <x v="17"/>
    <n v="2024"/>
  </r>
  <r>
    <x v="2"/>
    <s v="Mike"/>
    <n v="1"/>
    <x v="1"/>
    <s v="Davante Adams"/>
    <x v="18"/>
    <n v="2024"/>
  </r>
  <r>
    <x v="2"/>
    <s v="Mike"/>
    <n v="1"/>
    <x v="1"/>
    <s v="Mike Evans"/>
    <x v="19"/>
    <n v="2024"/>
  </r>
  <r>
    <x v="2"/>
    <s v="Mike"/>
    <n v="1"/>
    <x v="1"/>
    <s v="Khalil Shakir"/>
    <x v="20"/>
    <n v="2024"/>
  </r>
  <r>
    <x v="2"/>
    <s v="Mike"/>
    <n v="1"/>
    <x v="2"/>
    <s v="Derrick Henry"/>
    <x v="21"/>
    <n v="2024"/>
  </r>
  <r>
    <x v="2"/>
    <s v="Mike"/>
    <n v="1"/>
    <x v="2"/>
    <s v="Tyjae Spears"/>
    <x v="22"/>
    <n v="2024"/>
  </r>
  <r>
    <x v="2"/>
    <s v="Mike"/>
    <n v="1"/>
    <x v="3"/>
    <s v="Sam LaPorta"/>
    <x v="23"/>
    <n v="2024"/>
  </r>
  <r>
    <x v="2"/>
    <s v="Mike"/>
    <n v="1"/>
    <x v="5"/>
    <s v="Jason Sanders"/>
    <x v="24"/>
    <n v="2024"/>
  </r>
  <r>
    <x v="2"/>
    <s v="Mike"/>
    <n v="1"/>
    <x v="4"/>
    <s v="Buffalo"/>
    <x v="25"/>
    <n v="2024"/>
  </r>
  <r>
    <x v="3"/>
    <s v="Kevin"/>
    <n v="1"/>
    <x v="0"/>
    <s v="CJ Stroud"/>
    <x v="26"/>
    <n v="2024"/>
  </r>
  <r>
    <x v="3"/>
    <s v="Kevin"/>
    <n v="1"/>
    <x v="1"/>
    <s v="George Pickens"/>
    <x v="27"/>
    <n v="2024"/>
  </r>
  <r>
    <x v="3"/>
    <s v="Kevin"/>
    <n v="1"/>
    <x v="1"/>
    <s v="Chris Olave"/>
    <x v="28"/>
    <n v="2024"/>
  </r>
  <r>
    <x v="3"/>
    <s v="Kevin"/>
    <n v="1"/>
    <x v="1"/>
    <s v="Marvin Harrison Jr"/>
    <x v="29"/>
    <n v="2024"/>
  </r>
  <r>
    <x v="3"/>
    <s v="Kevin"/>
    <n v="1"/>
    <x v="2"/>
    <s v="Joe Mixon"/>
    <x v="30"/>
    <n v="2024"/>
  </r>
  <r>
    <x v="3"/>
    <s v="Kevin"/>
    <n v="1"/>
    <x v="2"/>
    <s v="Isiah Pacheco"/>
    <x v="31"/>
    <n v="2024"/>
  </r>
  <r>
    <x v="3"/>
    <s v="Kevin"/>
    <n v="1"/>
    <x v="3"/>
    <s v="Hunter Henry"/>
    <x v="5"/>
    <n v="2024"/>
  </r>
  <r>
    <x v="3"/>
    <s v="Kevin"/>
    <n v="1"/>
    <x v="5"/>
    <s v="Justin Tucker"/>
    <x v="32"/>
    <n v="2024"/>
  </r>
  <r>
    <x v="3"/>
    <s v="Kevin"/>
    <n v="1"/>
    <x v="4"/>
    <s v="Minnesota"/>
    <x v="33"/>
    <n v="2024"/>
  </r>
  <r>
    <x v="4"/>
    <s v="Eli"/>
    <n v="1"/>
    <x v="0"/>
    <s v="Jalen Hurts"/>
    <x v="34"/>
    <n v="2024"/>
  </r>
  <r>
    <x v="4"/>
    <s v="Eli"/>
    <n v="1"/>
    <x v="1"/>
    <s v="Justin Jefferson"/>
    <x v="35"/>
    <n v="2024"/>
  </r>
  <r>
    <x v="4"/>
    <s v="Eli"/>
    <n v="1"/>
    <x v="1"/>
    <s v="DJ Moore"/>
    <x v="36"/>
    <n v="2024"/>
  </r>
  <r>
    <x v="4"/>
    <s v="Eli"/>
    <n v="1"/>
    <x v="1"/>
    <s v="DeMario Douglas"/>
    <x v="37"/>
    <n v="2024"/>
  </r>
  <r>
    <x v="4"/>
    <s v="Eli"/>
    <n v="1"/>
    <x v="2"/>
    <s v="Bijan Robinson"/>
    <x v="38"/>
    <n v="2024"/>
  </r>
  <r>
    <x v="4"/>
    <s v="Eli"/>
    <n v="1"/>
    <x v="2"/>
    <s v="Jaylen Warren"/>
    <x v="7"/>
    <n v="2024"/>
  </r>
  <r>
    <x v="4"/>
    <s v="Eli"/>
    <n v="1"/>
    <x v="3"/>
    <s v="David Njoku"/>
    <x v="39"/>
    <n v="2024"/>
  </r>
  <r>
    <x v="4"/>
    <s v="Eli"/>
    <n v="1"/>
    <x v="5"/>
    <s v="Jake Moody"/>
    <x v="40"/>
    <n v="2024"/>
  </r>
  <r>
    <x v="4"/>
    <s v="Eli"/>
    <n v="1"/>
    <x v="4"/>
    <s v="NYJ"/>
    <x v="41"/>
    <n v="2024"/>
  </r>
  <r>
    <x v="5"/>
    <s v="Burnett/Jasjaap"/>
    <n v="1"/>
    <x v="0"/>
    <s v="Brock Purdy"/>
    <x v="42"/>
    <n v="2024"/>
  </r>
  <r>
    <x v="5"/>
    <s v="Burnett/Jasjaap"/>
    <n v="1"/>
    <x v="1"/>
    <s v="CeeDee Lamb"/>
    <x v="43"/>
    <n v="2024"/>
  </r>
  <r>
    <x v="5"/>
    <s v="Burnett/Jasjaap"/>
    <n v="1"/>
    <x v="1"/>
    <s v="Jaylen Waddle"/>
    <x v="44"/>
    <n v="2024"/>
  </r>
  <r>
    <x v="5"/>
    <s v="Burnett/Jasjaap"/>
    <n v="1"/>
    <x v="1"/>
    <s v="Puka Nacua"/>
    <x v="45"/>
    <n v="2024"/>
  </r>
  <r>
    <x v="5"/>
    <s v="Burnett/Jasjaap"/>
    <n v="1"/>
    <x v="2"/>
    <s v="Josh Jacobs"/>
    <x v="46"/>
    <n v="2024"/>
  </r>
  <r>
    <x v="5"/>
    <s v="Burnett/Jasjaap"/>
    <n v="1"/>
    <x v="2"/>
    <s v="David Montgomery"/>
    <x v="47"/>
    <n v="2024"/>
  </r>
  <r>
    <x v="5"/>
    <s v="Burnett/Jasjaap"/>
    <n v="1"/>
    <x v="3"/>
    <s v="Brock Bowers"/>
    <x v="48"/>
    <n v="2024"/>
  </r>
  <r>
    <x v="5"/>
    <s v="Burnett/Jasjaap"/>
    <n v="1"/>
    <x v="5"/>
    <s v="Jake Elliott"/>
    <x v="8"/>
    <n v="2024"/>
  </r>
  <r>
    <x v="5"/>
    <s v="Burnett/Jasjaap"/>
    <n v="1"/>
    <x v="4"/>
    <s v="Pittsburgh"/>
    <x v="49"/>
    <n v="2024"/>
  </r>
  <r>
    <x v="6"/>
    <s v="Will"/>
    <n v="1"/>
    <x v="0"/>
    <s v="Caleb Williams"/>
    <x v="50"/>
    <n v="2024"/>
  </r>
  <r>
    <x v="6"/>
    <s v="Will"/>
    <n v="1"/>
    <x v="1"/>
    <s v="Ladd McConkey"/>
    <x v="51"/>
    <n v="2024"/>
  </r>
  <r>
    <x v="6"/>
    <s v="Will"/>
    <n v="1"/>
    <x v="1"/>
    <s v="Amon-Ra St. Brown"/>
    <x v="5"/>
    <n v="2024"/>
  </r>
  <r>
    <x v="6"/>
    <s v="Will"/>
    <n v="1"/>
    <x v="1"/>
    <s v="Drake London"/>
    <x v="52"/>
    <n v="2024"/>
  </r>
  <r>
    <x v="6"/>
    <s v="Will"/>
    <n v="1"/>
    <x v="2"/>
    <s v="Travis Etienne"/>
    <x v="53"/>
    <n v="2024"/>
  </r>
  <r>
    <x v="6"/>
    <s v="Will"/>
    <n v="1"/>
    <x v="2"/>
    <s v="Zamir White"/>
    <x v="54"/>
    <n v="2024"/>
  </r>
  <r>
    <x v="6"/>
    <s v="Will"/>
    <n v="1"/>
    <x v="3"/>
    <s v="Kyle Pitts"/>
    <x v="55"/>
    <n v="2024"/>
  </r>
  <r>
    <x v="6"/>
    <s v="Will"/>
    <n v="1"/>
    <x v="5"/>
    <s v="Jason Myers"/>
    <x v="8"/>
    <n v="2024"/>
  </r>
  <r>
    <x v="6"/>
    <s v="Will"/>
    <n v="1"/>
    <x v="4"/>
    <s v="Houston"/>
    <x v="7"/>
    <n v="2024"/>
  </r>
  <r>
    <x v="7"/>
    <s v="Jay"/>
    <n v="1"/>
    <x v="0"/>
    <s v="Lamar Jackson"/>
    <x v="56"/>
    <n v="2024"/>
  </r>
  <r>
    <x v="7"/>
    <s v="Jay"/>
    <n v="1"/>
    <x v="1"/>
    <s v="Stefon Diggs"/>
    <x v="57"/>
    <n v="2024"/>
  </r>
  <r>
    <x v="7"/>
    <s v="Jay"/>
    <n v="1"/>
    <x v="1"/>
    <s v="Christian Kirk"/>
    <x v="58"/>
    <n v="2024"/>
  </r>
  <r>
    <x v="7"/>
    <s v="Jay"/>
    <n v="1"/>
    <x v="1"/>
    <s v="Amari Cooper"/>
    <x v="59"/>
    <n v="2024"/>
  </r>
  <r>
    <x v="7"/>
    <s v="Jay"/>
    <n v="1"/>
    <x v="2"/>
    <s v="Alvin Kamara"/>
    <x v="13"/>
    <n v="2024"/>
  </r>
  <r>
    <x v="7"/>
    <s v="Jay"/>
    <n v="1"/>
    <x v="2"/>
    <s v="Jonathan Taylor"/>
    <x v="60"/>
    <n v="2024"/>
  </r>
  <r>
    <x v="7"/>
    <s v="Jay"/>
    <n v="1"/>
    <x v="3"/>
    <s v="Mark Andrews"/>
    <x v="61"/>
    <n v="2024"/>
  </r>
  <r>
    <x v="7"/>
    <s v="Jay"/>
    <n v="1"/>
    <x v="5"/>
    <s v="Ka'imi Fairbairn"/>
    <x v="62"/>
    <n v="2024"/>
  </r>
  <r>
    <x v="7"/>
    <s v="Jay"/>
    <n v="1"/>
    <x v="4"/>
    <s v="LA Chargers"/>
    <x v="63"/>
    <n v="2024"/>
  </r>
  <r>
    <x v="8"/>
    <s v="Schulwolf"/>
    <n v="1"/>
    <x v="0"/>
    <s v="Jordan Love"/>
    <x v="64"/>
    <n v="2024"/>
  </r>
  <r>
    <x v="8"/>
    <s v="Schulwolf"/>
    <n v="1"/>
    <x v="1"/>
    <s v="Cooper Kupp"/>
    <x v="65"/>
    <n v="2024"/>
  </r>
  <r>
    <x v="8"/>
    <s v="Schulwolf"/>
    <n v="1"/>
    <x v="1"/>
    <s v="DeVonta Smith"/>
    <x v="66"/>
    <n v="2024"/>
  </r>
  <r>
    <x v="8"/>
    <s v="Schulwolf"/>
    <n v="1"/>
    <x v="1"/>
    <s v="Chris Godwin"/>
    <x v="67"/>
    <n v="2024"/>
  </r>
  <r>
    <x v="8"/>
    <s v="Schulwolf"/>
    <n v="1"/>
    <x v="2"/>
    <s v="Jahmyr Gibbs"/>
    <x v="68"/>
    <n v="2024"/>
  </r>
  <r>
    <x v="8"/>
    <s v="Schulwolf"/>
    <n v="1"/>
    <x v="2"/>
    <s v="James Cook"/>
    <x v="69"/>
    <n v="2024"/>
  </r>
  <r>
    <x v="8"/>
    <s v="Schulwolf"/>
    <n v="1"/>
    <x v="3"/>
    <s v="Dalton Kincaid"/>
    <x v="70"/>
    <n v="2024"/>
  </r>
  <r>
    <x v="8"/>
    <s v="Schulwolf"/>
    <n v="1"/>
    <x v="5"/>
    <s v="Brandon Aubrey"/>
    <x v="71"/>
    <n v="2024"/>
  </r>
  <r>
    <x v="8"/>
    <s v="Schulwolf"/>
    <n v="1"/>
    <x v="4"/>
    <s v="Dallas"/>
    <x v="72"/>
    <n v="2024"/>
  </r>
  <r>
    <x v="9"/>
    <s v="Tommy"/>
    <n v="1"/>
    <x v="0"/>
    <s v="Josh Allen"/>
    <x v="73"/>
    <n v="2024"/>
  </r>
  <r>
    <x v="9"/>
    <s v="Tommy"/>
    <n v="1"/>
    <x v="1"/>
    <s v="Malik Nabers"/>
    <x v="74"/>
    <n v="2024"/>
  </r>
  <r>
    <x v="9"/>
    <s v="Tommy"/>
    <n v="1"/>
    <x v="1"/>
    <s v="DK Metcalf"/>
    <x v="75"/>
    <n v="2024"/>
  </r>
  <r>
    <x v="9"/>
    <s v="Tommy"/>
    <n v="1"/>
    <x v="1"/>
    <s v="Romeo Doubs"/>
    <x v="76"/>
    <n v="2024"/>
  </r>
  <r>
    <x v="9"/>
    <s v="Tommy"/>
    <n v="1"/>
    <x v="2"/>
    <s v="Saquon Barkley"/>
    <x v="77"/>
    <n v="2024"/>
  </r>
  <r>
    <x v="9"/>
    <s v="Tommy"/>
    <n v="1"/>
    <x v="2"/>
    <s v="Rachaad White"/>
    <x v="38"/>
    <n v="2024"/>
  </r>
  <r>
    <x v="9"/>
    <s v="Tommy"/>
    <n v="1"/>
    <x v="3"/>
    <s v="Evan Engram"/>
    <x v="78"/>
    <n v="2024"/>
  </r>
  <r>
    <x v="9"/>
    <s v="Tommy"/>
    <n v="1"/>
    <x v="5"/>
    <s v="Harrison Butker"/>
    <x v="24"/>
    <n v="2024"/>
  </r>
  <r>
    <x v="9"/>
    <s v="Tommy"/>
    <n v="1"/>
    <x v="4"/>
    <s v="San Francisco"/>
    <x v="76"/>
    <n v="2024"/>
  </r>
  <r>
    <x v="10"/>
    <s v="Brand"/>
    <n v="1"/>
    <x v="0"/>
    <s v="Anthony Richardson"/>
    <x v="79"/>
    <n v="2024"/>
  </r>
  <r>
    <x v="10"/>
    <s v="Brand"/>
    <n v="1"/>
    <x v="1"/>
    <s v="Jameson Williams"/>
    <x v="80"/>
    <n v="2024"/>
  </r>
  <r>
    <x v="10"/>
    <s v="Brand"/>
    <n v="1"/>
    <x v="1"/>
    <s v="Christian Watson"/>
    <x v="48"/>
    <n v="2024"/>
  </r>
  <r>
    <x v="10"/>
    <s v="Brand"/>
    <n v="1"/>
    <x v="1"/>
    <s v="Garrett Wilson"/>
    <x v="24"/>
    <n v="2024"/>
  </r>
  <r>
    <x v="10"/>
    <s v="Brand"/>
    <n v="1"/>
    <x v="2"/>
    <s v="Kenneth Walker"/>
    <x v="81"/>
    <n v="2024"/>
  </r>
  <r>
    <x v="10"/>
    <s v="Brand"/>
    <n v="1"/>
    <x v="2"/>
    <s v="Breece Hall"/>
    <x v="47"/>
    <n v="2024"/>
  </r>
  <r>
    <x v="10"/>
    <s v="Brand"/>
    <n v="1"/>
    <x v="3"/>
    <s v="Dallas Goedert"/>
    <x v="82"/>
    <n v="2024"/>
  </r>
  <r>
    <x v="10"/>
    <s v="Brand"/>
    <n v="1"/>
    <x v="5"/>
    <s v="Cairo Santos"/>
    <x v="49"/>
    <n v="2024"/>
  </r>
  <r>
    <x v="10"/>
    <s v="Brand"/>
    <n v="1"/>
    <x v="4"/>
    <s v="New Orleans"/>
    <x v="62"/>
    <n v="2024"/>
  </r>
  <r>
    <x v="11"/>
    <s v="Cam"/>
    <n v="1"/>
    <x v="0"/>
    <s v="Joe Burrow"/>
    <x v="83"/>
    <n v="2024"/>
  </r>
  <r>
    <x v="11"/>
    <s v="Cam"/>
    <n v="1"/>
    <x v="1"/>
    <s v="Ja'Marr Chase"/>
    <x v="84"/>
    <n v="2024"/>
  </r>
  <r>
    <x v="11"/>
    <s v="Cam"/>
    <n v="1"/>
    <x v="1"/>
    <s v="Nico Collins"/>
    <x v="85"/>
    <n v="2024"/>
  </r>
  <r>
    <x v="11"/>
    <s v="Cam"/>
    <n v="1"/>
    <x v="1"/>
    <s v="Andrei Iosivas"/>
    <x v="86"/>
    <n v="2024"/>
  </r>
  <r>
    <x v="11"/>
    <s v="Cam"/>
    <n v="1"/>
    <x v="2"/>
    <s v="Rhamondre Stevenson"/>
    <x v="87"/>
    <n v="2024"/>
  </r>
  <r>
    <x v="11"/>
    <s v="Cam"/>
    <n v="1"/>
    <x v="2"/>
    <s v="Aaron Jones"/>
    <x v="81"/>
    <n v="2024"/>
  </r>
  <r>
    <x v="11"/>
    <s v="Cam"/>
    <n v="1"/>
    <x v="3"/>
    <s v="George Kittle"/>
    <x v="25"/>
    <n v="2024"/>
  </r>
  <r>
    <x v="11"/>
    <s v="Cam"/>
    <n v="1"/>
    <x v="5"/>
    <s v="Evan McPherson"/>
    <x v="25"/>
    <n v="2024"/>
  </r>
  <r>
    <x v="11"/>
    <s v="Cam"/>
    <n v="1"/>
    <x v="4"/>
    <s v="Atlanta"/>
    <x v="16"/>
    <n v="2024"/>
  </r>
  <r>
    <x v="0"/>
    <s v="Brenton"/>
    <n v="2"/>
    <x v="0"/>
    <s v="Baker Mayfield"/>
    <x v="88"/>
    <n v="2024"/>
  </r>
  <r>
    <x v="0"/>
    <s v="Brenton"/>
    <n v="2"/>
    <x v="1"/>
    <s v="Tyreek Hill"/>
    <x v="82"/>
    <n v="2024"/>
  </r>
  <r>
    <x v="0"/>
    <s v="Brenton"/>
    <n v="2"/>
    <x v="1"/>
    <s v="Zay Flowers"/>
    <x v="89"/>
    <n v="2024"/>
  </r>
  <r>
    <x v="0"/>
    <s v="Brenton"/>
    <n v="2"/>
    <x v="1"/>
    <s v="Jayden Reed"/>
    <x v="90"/>
    <n v="2024"/>
  </r>
  <r>
    <x v="0"/>
    <s v="Brenton"/>
    <n v="2"/>
    <x v="2"/>
    <s v="Ezekiel Elliott"/>
    <x v="91"/>
    <n v="2024"/>
  </r>
  <r>
    <x v="0"/>
    <s v="Brenton"/>
    <n v="2"/>
    <x v="2"/>
    <s v="Jerome Ford"/>
    <x v="92"/>
    <n v="2024"/>
  </r>
  <r>
    <x v="0"/>
    <s v="Brenton"/>
    <n v="2"/>
    <x v="3"/>
    <s v="Trey McBride"/>
    <x v="93"/>
    <n v="2024"/>
  </r>
  <r>
    <x v="0"/>
    <s v="Brenton"/>
    <n v="2"/>
    <x v="4"/>
    <s v="Tyler Bass"/>
    <x v="76"/>
    <n v="2024"/>
  </r>
  <r>
    <x v="0"/>
    <s v="Brenton"/>
    <n v="2"/>
    <x v="5"/>
    <s v="Jacksonville"/>
    <x v="16"/>
    <n v="2024"/>
  </r>
  <r>
    <x v="2"/>
    <s v="Mike"/>
    <n v="2"/>
    <x v="0"/>
    <s v="Patrick Mahomes"/>
    <x v="94"/>
    <n v="2024"/>
  </r>
  <r>
    <x v="2"/>
    <s v="Mike"/>
    <n v="2"/>
    <x v="1"/>
    <s v="Davante Adams"/>
    <x v="95"/>
    <n v="2024"/>
  </r>
  <r>
    <x v="2"/>
    <s v="Mike"/>
    <n v="2"/>
    <x v="1"/>
    <s v="Mike Evans"/>
    <x v="96"/>
    <n v="2024"/>
  </r>
  <r>
    <x v="2"/>
    <s v="Mike"/>
    <n v="2"/>
    <x v="1"/>
    <s v="Khalil Shakir"/>
    <x v="3"/>
    <n v="2024"/>
  </r>
  <r>
    <x v="2"/>
    <s v="Mike"/>
    <n v="2"/>
    <x v="2"/>
    <s v="Derrick Henry"/>
    <x v="97"/>
    <n v="2024"/>
  </r>
  <r>
    <x v="2"/>
    <s v="Mike"/>
    <n v="2"/>
    <x v="2"/>
    <s v="Tyjae Spears"/>
    <x v="86"/>
    <n v="2024"/>
  </r>
  <r>
    <x v="2"/>
    <s v="Mike"/>
    <n v="2"/>
    <x v="3"/>
    <s v="Sam LaPorta"/>
    <x v="98"/>
    <n v="2024"/>
  </r>
  <r>
    <x v="2"/>
    <s v="Mike"/>
    <n v="2"/>
    <x v="4"/>
    <s v="Buffalo"/>
    <x v="62"/>
    <n v="2024"/>
  </r>
  <r>
    <x v="2"/>
    <s v="Mike"/>
    <n v="2"/>
    <x v="5"/>
    <s v="Jason Sanders"/>
    <x v="16"/>
    <n v="2024"/>
  </r>
  <r>
    <x v="1"/>
    <s v="Todd"/>
    <n v="2"/>
    <x v="0"/>
    <s v="Dak Prescott"/>
    <x v="99"/>
    <n v="2024"/>
  </r>
  <r>
    <x v="1"/>
    <s v="Todd"/>
    <n v="2"/>
    <x v="1"/>
    <s v="Deebo Samuel"/>
    <x v="100"/>
    <n v="2024"/>
  </r>
  <r>
    <x v="1"/>
    <s v="Todd"/>
    <n v="2"/>
    <x v="1"/>
    <s v="Rashee Rice"/>
    <x v="101"/>
    <n v="2024"/>
  </r>
  <r>
    <x v="1"/>
    <s v="Todd"/>
    <n v="2"/>
    <x v="1"/>
    <s v="Calvin Ridley"/>
    <x v="102"/>
    <n v="2024"/>
  </r>
  <r>
    <x v="1"/>
    <s v="Todd"/>
    <n v="2"/>
    <x v="2"/>
    <s v="De'Von Achane"/>
    <x v="40"/>
    <n v="2024"/>
  </r>
  <r>
    <x v="1"/>
    <s v="Todd"/>
    <n v="2"/>
    <x v="2"/>
    <s v="James Conner"/>
    <x v="57"/>
    <n v="2024"/>
  </r>
  <r>
    <x v="1"/>
    <s v="Todd"/>
    <n v="2"/>
    <x v="3"/>
    <s v="Kyle Pitts"/>
    <x v="58"/>
    <n v="2024"/>
  </r>
  <r>
    <x v="1"/>
    <s v="Todd"/>
    <n v="2"/>
    <x v="4"/>
    <s v="Seattle"/>
    <x v="103"/>
    <n v="2024"/>
  </r>
  <r>
    <x v="1"/>
    <s v="Todd"/>
    <n v="2"/>
    <x v="5"/>
    <s v="Chris Boswell"/>
    <x v="24"/>
    <n v="2024"/>
  </r>
  <r>
    <x v="7"/>
    <s v="Jay"/>
    <n v="2"/>
    <x v="0"/>
    <s v="Lamar Jackson"/>
    <x v="104"/>
    <n v="2024"/>
  </r>
  <r>
    <x v="7"/>
    <s v="Jay"/>
    <n v="2"/>
    <x v="1"/>
    <s v="Stefon Diggs"/>
    <x v="96"/>
    <n v="2024"/>
  </r>
  <r>
    <x v="7"/>
    <s v="Jay"/>
    <n v="2"/>
    <x v="1"/>
    <s v="Amari Cooper"/>
    <x v="59"/>
    <n v="2024"/>
  </r>
  <r>
    <x v="7"/>
    <s v="Jay"/>
    <n v="2"/>
    <x v="1"/>
    <s v="Christian Kirk"/>
    <x v="105"/>
    <n v="2024"/>
  </r>
  <r>
    <x v="7"/>
    <s v="Jay"/>
    <n v="2"/>
    <x v="2"/>
    <s v="Alvin Kamara"/>
    <x v="106"/>
    <n v="2024"/>
  </r>
  <r>
    <x v="7"/>
    <s v="Jay"/>
    <n v="2"/>
    <x v="2"/>
    <s v="Jonathan Taylor"/>
    <x v="107"/>
    <n v="2024"/>
  </r>
  <r>
    <x v="7"/>
    <s v="Jay"/>
    <n v="2"/>
    <x v="3"/>
    <s v="Mark Andrews"/>
    <x v="108"/>
    <n v="2024"/>
  </r>
  <r>
    <x v="7"/>
    <s v="Jay"/>
    <n v="2"/>
    <x v="5"/>
    <s v="Ka'imi Fairbairn"/>
    <x v="109"/>
    <n v="2024"/>
  </r>
  <r>
    <x v="7"/>
    <s v="Jay"/>
    <n v="2"/>
    <x v="4"/>
    <s v="LA Chargers"/>
    <x v="100"/>
    <n v="2024"/>
  </r>
  <r>
    <x v="4"/>
    <s v="Eli"/>
    <n v="2"/>
    <x v="0"/>
    <s v="Jalen Hurts"/>
    <x v="110"/>
    <n v="2024"/>
  </r>
  <r>
    <x v="4"/>
    <s v="Eli"/>
    <n v="2"/>
    <x v="1"/>
    <s v="Justin Jefferson"/>
    <x v="111"/>
    <n v="2024"/>
  </r>
  <r>
    <x v="4"/>
    <s v="Eli"/>
    <n v="2"/>
    <x v="1"/>
    <s v="DJ Moore"/>
    <x v="112"/>
    <n v="2024"/>
  </r>
  <r>
    <x v="4"/>
    <s v="Eli"/>
    <n v="2"/>
    <x v="1"/>
    <s v="Demarcus Robinson"/>
    <x v="25"/>
    <n v="2024"/>
  </r>
  <r>
    <x v="4"/>
    <s v="Eli"/>
    <n v="2"/>
    <x v="2"/>
    <s v="Bijan Robinson"/>
    <x v="113"/>
    <n v="2024"/>
  </r>
  <r>
    <x v="4"/>
    <s v="Eli"/>
    <n v="2"/>
    <x v="2"/>
    <s v="Jordan Mason"/>
    <x v="114"/>
    <n v="2024"/>
  </r>
  <r>
    <x v="4"/>
    <s v="Eli"/>
    <n v="2"/>
    <x v="3"/>
    <s v="Dalton Schultz"/>
    <x v="115"/>
    <n v="2024"/>
  </r>
  <r>
    <x v="4"/>
    <s v="Eli"/>
    <n v="2"/>
    <x v="5"/>
    <s v="Jake Moody"/>
    <x v="103"/>
    <n v="2024"/>
  </r>
  <r>
    <x v="4"/>
    <s v="Eli"/>
    <n v="2"/>
    <x v="4"/>
    <s v="NYJ"/>
    <x v="8"/>
    <n v="2024"/>
  </r>
  <r>
    <x v="6"/>
    <s v="Will"/>
    <n v="2"/>
    <x v="0"/>
    <s v="Geno Smith"/>
    <x v="116"/>
    <n v="2024"/>
  </r>
  <r>
    <x v="6"/>
    <s v="Will"/>
    <n v="2"/>
    <x v="1"/>
    <s v="Amon-Ra St. Brown"/>
    <x v="117"/>
    <n v="2024"/>
  </r>
  <r>
    <x v="6"/>
    <s v="Will"/>
    <n v="2"/>
    <x v="1"/>
    <s v="Drake London"/>
    <x v="118"/>
    <n v="2024"/>
  </r>
  <r>
    <x v="6"/>
    <s v="Will"/>
    <n v="2"/>
    <x v="1"/>
    <s v="Jaxon Smith-Njigba"/>
    <x v="119"/>
    <n v="2024"/>
  </r>
  <r>
    <x v="6"/>
    <s v="Will"/>
    <n v="2"/>
    <x v="2"/>
    <s v="Travis Etienne"/>
    <x v="120"/>
    <n v="2024"/>
  </r>
  <r>
    <x v="6"/>
    <s v="Will"/>
    <n v="2"/>
    <x v="2"/>
    <s v="Zach Charbonet"/>
    <x v="68"/>
    <n v="2024"/>
  </r>
  <r>
    <x v="6"/>
    <s v="Will"/>
    <n v="2"/>
    <x v="3"/>
    <s v="Travis Kelce"/>
    <x v="121"/>
    <n v="2024"/>
  </r>
  <r>
    <x v="6"/>
    <s v="Will"/>
    <n v="2"/>
    <x v="5"/>
    <s v="Jason Myers"/>
    <x v="122"/>
    <n v="2024"/>
  </r>
  <r>
    <x v="6"/>
    <s v="Will"/>
    <n v="2"/>
    <x v="4"/>
    <s v="Houston"/>
    <x v="101"/>
    <n v="2024"/>
  </r>
  <r>
    <x v="8"/>
    <s v="Schulwolf"/>
    <n v="2"/>
    <x v="0"/>
    <s v="Jayden Daniels"/>
    <x v="123"/>
    <n v="2024"/>
  </r>
  <r>
    <x v="8"/>
    <s v="Schulwolf"/>
    <n v="2"/>
    <x v="1"/>
    <s v="Chris Godwin"/>
    <x v="124"/>
    <n v="2024"/>
  </r>
  <r>
    <x v="8"/>
    <s v="Schulwolf"/>
    <n v="2"/>
    <x v="1"/>
    <s v="DeVonta Smith"/>
    <x v="125"/>
    <n v="2024"/>
  </r>
  <r>
    <x v="8"/>
    <s v="Schulwolf"/>
    <n v="2"/>
    <x v="1"/>
    <s v="Cooper Kupp"/>
    <x v="96"/>
    <n v="2024"/>
  </r>
  <r>
    <x v="8"/>
    <s v="Schulwolf"/>
    <n v="2"/>
    <x v="2"/>
    <s v="James Cook"/>
    <x v="126"/>
    <n v="2024"/>
  </r>
  <r>
    <x v="8"/>
    <s v="Schulwolf"/>
    <n v="2"/>
    <x v="2"/>
    <s v="Jahmyr Gibbs"/>
    <x v="127"/>
    <n v="2024"/>
  </r>
  <r>
    <x v="8"/>
    <s v="Schulwolf"/>
    <n v="2"/>
    <x v="3"/>
    <s v="Dalton Kincaid"/>
    <x v="128"/>
    <n v="2024"/>
  </r>
  <r>
    <x v="8"/>
    <s v="Schulwolf"/>
    <n v="2"/>
    <x v="5"/>
    <s v="Brandon Aubrey"/>
    <x v="62"/>
    <n v="2024"/>
  </r>
  <r>
    <x v="8"/>
    <s v="Schulwolf"/>
    <n v="2"/>
    <x v="4"/>
    <s v="Dallas"/>
    <x v="129"/>
    <n v="2024"/>
  </r>
  <r>
    <x v="3"/>
    <s v="Kevin"/>
    <n v="2"/>
    <x v="0"/>
    <s v="CJ Stroud"/>
    <x v="130"/>
    <n v="2024"/>
  </r>
  <r>
    <x v="3"/>
    <s v="Kevin"/>
    <n v="2"/>
    <x v="1"/>
    <s v="Marvin Harrison Jr"/>
    <x v="131"/>
    <n v="2024"/>
  </r>
  <r>
    <x v="3"/>
    <s v="Kevin"/>
    <n v="2"/>
    <x v="1"/>
    <s v="Chris Olave"/>
    <x v="60"/>
    <n v="2024"/>
  </r>
  <r>
    <x v="3"/>
    <s v="Kevin"/>
    <n v="2"/>
    <x v="1"/>
    <s v="George Pickens"/>
    <x v="132"/>
    <n v="2024"/>
  </r>
  <r>
    <x v="3"/>
    <s v="Kevin"/>
    <n v="2"/>
    <x v="2"/>
    <s v="Isiah Pacheco"/>
    <x v="38"/>
    <n v="2024"/>
  </r>
  <r>
    <x v="3"/>
    <s v="Kevin"/>
    <n v="2"/>
    <x v="2"/>
    <s v="Najee Harris"/>
    <x v="133"/>
    <n v="2024"/>
  </r>
  <r>
    <x v="3"/>
    <s v="Kevin"/>
    <n v="2"/>
    <x v="3"/>
    <s v="Hunter Henry"/>
    <x v="134"/>
    <n v="2024"/>
  </r>
  <r>
    <x v="3"/>
    <s v="Kevin"/>
    <n v="2"/>
    <x v="5"/>
    <s v="Justin Tucker"/>
    <x v="49"/>
    <n v="2024"/>
  </r>
  <r>
    <x v="3"/>
    <s v="Kevin"/>
    <n v="2"/>
    <x v="4"/>
    <s v="Cleveland"/>
    <x v="24"/>
    <n v="2024"/>
  </r>
  <r>
    <x v="10"/>
    <s v="Brand"/>
    <n v="2"/>
    <x v="0"/>
    <s v="Anthony Richardson"/>
    <x v="135"/>
    <n v="2024"/>
  </r>
  <r>
    <x v="10"/>
    <s v="Brand"/>
    <n v="2"/>
    <x v="1"/>
    <s v="Jameson Williams"/>
    <x v="66"/>
    <n v="2024"/>
  </r>
  <r>
    <x v="10"/>
    <s v="Brand"/>
    <n v="2"/>
    <x v="1"/>
    <s v="Garrett Wilson"/>
    <x v="136"/>
    <n v="2024"/>
  </r>
  <r>
    <x v="10"/>
    <s v="Brand"/>
    <n v="2"/>
    <x v="1"/>
    <s v="Michael Pittman"/>
    <x v="54"/>
    <n v="2024"/>
  </r>
  <r>
    <x v="10"/>
    <s v="Brand"/>
    <n v="2"/>
    <x v="2"/>
    <s v="Breece Hall"/>
    <x v="137"/>
    <n v="2024"/>
  </r>
  <r>
    <x v="10"/>
    <s v="Brand"/>
    <n v="2"/>
    <x v="2"/>
    <s v="Bucky Irving"/>
    <x v="37"/>
    <n v="2024"/>
  </r>
  <r>
    <x v="10"/>
    <s v="Brand"/>
    <n v="2"/>
    <x v="3"/>
    <s v="Dallas Goedert"/>
    <x v="128"/>
    <n v="2024"/>
  </r>
  <r>
    <x v="10"/>
    <s v="Brand"/>
    <n v="2"/>
    <x v="5"/>
    <s v="Cairo Santos"/>
    <x v="138"/>
    <n v="2024"/>
  </r>
  <r>
    <x v="10"/>
    <s v="Brand"/>
    <n v="2"/>
    <x v="4"/>
    <s v="Indianapolis"/>
    <x v="139"/>
    <n v="2024"/>
  </r>
  <r>
    <x v="9"/>
    <s v="Tommy"/>
    <n v="2"/>
    <x v="0"/>
    <s v="Josh Allen"/>
    <x v="140"/>
    <n v="2024"/>
  </r>
  <r>
    <x v="9"/>
    <s v="Tommy"/>
    <n v="2"/>
    <x v="1"/>
    <s v="DK Metcalf"/>
    <x v="141"/>
    <n v="2024"/>
  </r>
  <r>
    <x v="9"/>
    <s v="Tommy"/>
    <n v="2"/>
    <x v="1"/>
    <s v="Malik Nabers"/>
    <x v="142"/>
    <n v="2024"/>
  </r>
  <r>
    <x v="9"/>
    <s v="Tommy"/>
    <n v="2"/>
    <x v="1"/>
    <s v="Xavier Worthy"/>
    <x v="143"/>
    <n v="2024"/>
  </r>
  <r>
    <x v="9"/>
    <s v="Tommy"/>
    <n v="2"/>
    <x v="2"/>
    <s v="Saquon Barkley"/>
    <x v="144"/>
    <n v="2024"/>
  </r>
  <r>
    <x v="9"/>
    <s v="Tommy"/>
    <n v="2"/>
    <x v="2"/>
    <s v="Kyren Williams"/>
    <x v="145"/>
    <n v="2024"/>
  </r>
  <r>
    <x v="9"/>
    <s v="Tommy"/>
    <n v="2"/>
    <x v="3"/>
    <s v="Evan Engram"/>
    <x v="146"/>
    <n v="2024"/>
  </r>
  <r>
    <x v="9"/>
    <s v="Tommy"/>
    <n v="2"/>
    <x v="5"/>
    <s v="Harrison Butker"/>
    <x v="8"/>
    <n v="2024"/>
  </r>
  <r>
    <x v="9"/>
    <s v="Tommy"/>
    <n v="2"/>
    <x v="4"/>
    <s v="San Francisco"/>
    <x v="16"/>
    <n v="2024"/>
  </r>
  <r>
    <x v="11"/>
    <s v="Cam"/>
    <n v="2"/>
    <x v="0"/>
    <s v="Kyler Murray"/>
    <x v="147"/>
    <n v="2024"/>
  </r>
  <r>
    <x v="11"/>
    <s v="Cam"/>
    <n v="2"/>
    <x v="1"/>
    <s v="Nico Collins"/>
    <x v="148"/>
    <n v="2024"/>
  </r>
  <r>
    <x v="11"/>
    <s v="Cam"/>
    <n v="2"/>
    <x v="1"/>
    <s v="Ja'Marr Chase"/>
    <x v="6"/>
    <n v="2024"/>
  </r>
  <r>
    <x v="11"/>
    <s v="Cam"/>
    <n v="2"/>
    <x v="1"/>
    <s v="Brandon Aiyuk"/>
    <x v="149"/>
    <n v="2024"/>
  </r>
  <r>
    <x v="11"/>
    <s v="Cam"/>
    <n v="2"/>
    <x v="2"/>
    <s v="Rhamondre Stevenson"/>
    <x v="101"/>
    <n v="2024"/>
  </r>
  <r>
    <x v="11"/>
    <s v="Cam"/>
    <n v="2"/>
    <x v="2"/>
    <s v="JK Dobbins"/>
    <x v="150"/>
    <n v="2024"/>
  </r>
  <r>
    <x v="11"/>
    <s v="Cam"/>
    <n v="2"/>
    <x v="3"/>
    <s v="George Kittle"/>
    <x v="125"/>
    <n v="2024"/>
  </r>
  <r>
    <x v="11"/>
    <s v="Cam"/>
    <n v="2"/>
    <x v="5"/>
    <s v="Evan McPherson"/>
    <x v="63"/>
    <n v="2024"/>
  </r>
  <r>
    <x v="11"/>
    <s v="Cam"/>
    <n v="2"/>
    <x v="4"/>
    <s v="Baltimore"/>
    <x v="32"/>
    <n v="2024"/>
  </r>
  <r>
    <x v="5"/>
    <s v="Burnett/Jasjaap"/>
    <n v="2"/>
    <x v="0"/>
    <s v="Brock Purdy"/>
    <x v="151"/>
    <n v="2024"/>
  </r>
  <r>
    <x v="5"/>
    <s v="Burnett/Jasjaap"/>
    <n v="2"/>
    <x v="1"/>
    <s v="CeeDee Lamb"/>
    <x v="62"/>
    <n v="2024"/>
  </r>
  <r>
    <x v="5"/>
    <s v="Burnett/Jasjaap"/>
    <n v="2"/>
    <x v="1"/>
    <s v="Jaylen Waddle"/>
    <x v="23"/>
    <n v="2024"/>
  </r>
  <r>
    <x v="5"/>
    <s v="Burnett/Jasjaap"/>
    <n v="2"/>
    <x v="1"/>
    <s v="Rashid Shaheed"/>
    <x v="57"/>
    <n v="2024"/>
  </r>
  <r>
    <x v="5"/>
    <s v="Burnett/Jasjaap"/>
    <n v="2"/>
    <x v="2"/>
    <s v="David Montgomery"/>
    <x v="63"/>
    <n v="2024"/>
  </r>
  <r>
    <x v="5"/>
    <s v="Burnett/Jasjaap"/>
    <n v="2"/>
    <x v="2"/>
    <s v="Josh Jacobs"/>
    <x v="152"/>
    <n v="2024"/>
  </r>
  <r>
    <x v="5"/>
    <s v="Burnett/Jasjaap"/>
    <n v="2"/>
    <x v="3"/>
    <s v="Brock Bowers"/>
    <x v="130"/>
    <n v="2024"/>
  </r>
  <r>
    <x v="5"/>
    <s v="Burnett/Jasjaap"/>
    <n v="2"/>
    <x v="5"/>
    <s v="Jake Elliott"/>
    <x v="76"/>
    <n v="2024"/>
  </r>
  <r>
    <x v="5"/>
    <s v="Burnett/Jasjaap"/>
    <n v="2"/>
    <x v="4"/>
    <s v="Pittsburgh"/>
    <x v="100"/>
    <n v="2024"/>
  </r>
  <r>
    <x v="0"/>
    <s v="Brenton"/>
    <n v="3"/>
    <x v="0"/>
    <s v="Derek Carr"/>
    <x v="153"/>
    <n v="2024"/>
  </r>
  <r>
    <x v="0"/>
    <s v="Brenton"/>
    <n v="3"/>
    <x v="1"/>
    <s v="Tyreek Hill"/>
    <x v="6"/>
    <n v="2024"/>
  </r>
  <r>
    <x v="0"/>
    <s v="Brenton"/>
    <n v="3"/>
    <x v="1"/>
    <s v="Zay Flowers"/>
    <x v="154"/>
    <n v="2024"/>
  </r>
  <r>
    <x v="0"/>
    <s v="Brenton"/>
    <n v="3"/>
    <x v="1"/>
    <s v="Jayden Reed"/>
    <x v="155"/>
    <n v="2024"/>
  </r>
  <r>
    <x v="0"/>
    <s v="Brenton"/>
    <n v="3"/>
    <x v="2"/>
    <s v="Cam Akers"/>
    <x v="156"/>
    <n v="2024"/>
  </r>
  <r>
    <x v="0"/>
    <s v="Brenton"/>
    <n v="3"/>
    <x v="2"/>
    <s v="Jerome Ford"/>
    <x v="157"/>
    <n v="2024"/>
  </r>
  <r>
    <x v="0"/>
    <s v="Brenton"/>
    <n v="3"/>
    <x v="3"/>
    <s v="Trey McBride"/>
    <x v="16"/>
    <n v="2024"/>
  </r>
  <r>
    <x v="0"/>
    <s v="Brenton"/>
    <n v="3"/>
    <x v="5"/>
    <s v="Tyler Bass"/>
    <x v="138"/>
    <n v="2024"/>
  </r>
  <r>
    <x v="0"/>
    <s v="Brenton"/>
    <n v="3"/>
    <x v="4"/>
    <s v="Tampa Bay"/>
    <x v="78"/>
    <n v="2024"/>
  </r>
  <r>
    <x v="3"/>
    <s v="Kevin"/>
    <n v="3"/>
    <x v="0"/>
    <s v="CJ Stroud"/>
    <x v="158"/>
    <n v="2024"/>
  </r>
  <r>
    <x v="3"/>
    <s v="Kevin"/>
    <n v="3"/>
    <x v="1"/>
    <s v="Chris Olave"/>
    <x v="159"/>
    <n v="2024"/>
  </r>
  <r>
    <x v="3"/>
    <s v="Kevin"/>
    <n v="3"/>
    <x v="1"/>
    <s v="Marvin Harrison Jr"/>
    <x v="134"/>
    <n v="2024"/>
  </r>
  <r>
    <x v="3"/>
    <s v="Kevin"/>
    <n v="3"/>
    <x v="1"/>
    <s v="George Pickens"/>
    <x v="136"/>
    <n v="2024"/>
  </r>
  <r>
    <x v="3"/>
    <s v="Kevin"/>
    <n v="3"/>
    <x v="2"/>
    <s v="Najee Harris"/>
    <x v="43"/>
    <n v="2024"/>
  </r>
  <r>
    <x v="3"/>
    <s v="Kevin"/>
    <n v="3"/>
    <x v="2"/>
    <s v="Joe Mixon"/>
    <x v="146"/>
    <n v="2024"/>
  </r>
  <r>
    <x v="3"/>
    <s v="Kevin"/>
    <n v="3"/>
    <x v="3"/>
    <s v="Hunter Henry"/>
    <x v="160"/>
    <n v="2024"/>
  </r>
  <r>
    <x v="3"/>
    <s v="Kevin"/>
    <n v="3"/>
    <x v="5"/>
    <s v="Justin Tucker"/>
    <x v="7"/>
    <n v="2024"/>
  </r>
  <r>
    <x v="3"/>
    <s v="Kevin"/>
    <n v="3"/>
    <x v="4"/>
    <s v="Cleveland"/>
    <x v="103"/>
    <n v="2024"/>
  </r>
  <r>
    <x v="2"/>
    <s v="Mike"/>
    <n v="3"/>
    <x v="0"/>
    <s v="Patrick Mahomes"/>
    <x v="104"/>
    <n v="2024"/>
  </r>
  <r>
    <x v="2"/>
    <s v="Mike"/>
    <n v="3"/>
    <x v="1"/>
    <s v="Tank Dell"/>
    <x v="161"/>
    <n v="2024"/>
  </r>
  <r>
    <x v="2"/>
    <s v="Mike"/>
    <n v="3"/>
    <x v="1"/>
    <s v="Davante Adams"/>
    <x v="25"/>
    <n v="2024"/>
  </r>
  <r>
    <x v="2"/>
    <s v="Mike"/>
    <n v="3"/>
    <x v="1"/>
    <s v="Khalil Shakir"/>
    <x v="11"/>
    <n v="2024"/>
  </r>
  <r>
    <x v="2"/>
    <s v="Mike"/>
    <n v="3"/>
    <x v="2"/>
    <s v="Derrick Henry"/>
    <x v="162"/>
    <n v="2024"/>
  </r>
  <r>
    <x v="2"/>
    <s v="Mike"/>
    <n v="3"/>
    <x v="2"/>
    <s v="Carson Steele"/>
    <x v="133"/>
    <n v="2024"/>
  </r>
  <r>
    <x v="2"/>
    <s v="Mike"/>
    <n v="3"/>
    <x v="3"/>
    <s v="Sam LaPorta"/>
    <x v="163"/>
    <n v="2024"/>
  </r>
  <r>
    <x v="2"/>
    <s v="Mike"/>
    <n v="3"/>
    <x v="5"/>
    <s v="Younghoe Koo"/>
    <x v="76"/>
    <n v="2024"/>
  </r>
  <r>
    <x v="2"/>
    <s v="Mike"/>
    <n v="3"/>
    <x v="4"/>
    <s v="Buffalo"/>
    <x v="100"/>
    <n v="2024"/>
  </r>
  <r>
    <x v="7"/>
    <s v="Jay"/>
    <n v="3"/>
    <x v="0"/>
    <s v="Lamar Jackson"/>
    <x v="164"/>
    <n v="2024"/>
  </r>
  <r>
    <x v="7"/>
    <s v="Jay"/>
    <n v="3"/>
    <x v="1"/>
    <s v="Amari Cooper"/>
    <x v="165"/>
    <n v="2024"/>
  </r>
  <r>
    <x v="7"/>
    <s v="Jay"/>
    <n v="3"/>
    <x v="1"/>
    <s v="Stefon Diggs"/>
    <x v="166"/>
    <n v="2024"/>
  </r>
  <r>
    <x v="7"/>
    <s v="Jay"/>
    <n v="3"/>
    <x v="1"/>
    <s v="Tee Higgins"/>
    <x v="167"/>
    <n v="2024"/>
  </r>
  <r>
    <x v="7"/>
    <s v="Jay"/>
    <n v="3"/>
    <x v="2"/>
    <s v="Jonathan Taylor"/>
    <x v="40"/>
    <n v="2024"/>
  </r>
  <r>
    <x v="7"/>
    <s v="Jay"/>
    <n v="3"/>
    <x v="2"/>
    <s v="Alvin Kamara"/>
    <x v="113"/>
    <n v="2024"/>
  </r>
  <r>
    <x v="7"/>
    <s v="Jay"/>
    <n v="3"/>
    <x v="3"/>
    <s v="Mark Andrews"/>
    <x v="146"/>
    <n v="2024"/>
  </r>
  <r>
    <x v="7"/>
    <s v="Jay"/>
    <n v="3"/>
    <x v="5"/>
    <s v="Ka'imi Fairbairn"/>
    <x v="78"/>
    <n v="2024"/>
  </r>
  <r>
    <x v="7"/>
    <s v="Jay"/>
    <n v="3"/>
    <x v="4"/>
    <s v="Cincinnati"/>
    <x v="129"/>
    <n v="2024"/>
  </r>
  <r>
    <x v="1"/>
    <s v="Todd"/>
    <n v="3"/>
    <x v="0"/>
    <s v="Dak Prescott"/>
    <x v="168"/>
    <n v="2024"/>
  </r>
  <r>
    <x v="1"/>
    <s v="Todd"/>
    <n v="3"/>
    <x v="1"/>
    <s v="Rashee Rice"/>
    <x v="169"/>
    <n v="2024"/>
  </r>
  <r>
    <x v="1"/>
    <s v="Todd"/>
    <n v="3"/>
    <x v="1"/>
    <s v="Brian Thomas Jr"/>
    <x v="170"/>
    <n v="2024"/>
  </r>
  <r>
    <x v="1"/>
    <s v="Todd"/>
    <n v="3"/>
    <x v="1"/>
    <s v="Calvin Ridley"/>
    <x v="171"/>
    <n v="2024"/>
  </r>
  <r>
    <x v="1"/>
    <s v="Todd"/>
    <n v="3"/>
    <x v="2"/>
    <s v="De'Von Achane"/>
    <x v="170"/>
    <n v="2024"/>
  </r>
  <r>
    <x v="1"/>
    <s v="Todd"/>
    <n v="3"/>
    <x v="2"/>
    <s v="D'Andre Swift"/>
    <x v="22"/>
    <n v="2024"/>
  </r>
  <r>
    <x v="1"/>
    <s v="Todd"/>
    <n v="3"/>
    <x v="3"/>
    <s v="Kyle Pitts"/>
    <x v="92"/>
    <n v="2024"/>
  </r>
  <r>
    <x v="1"/>
    <s v="Todd"/>
    <n v="3"/>
    <x v="5"/>
    <s v="Chris Boswell"/>
    <x v="32"/>
    <n v="2024"/>
  </r>
  <r>
    <x v="1"/>
    <s v="Todd"/>
    <n v="3"/>
    <x v="4"/>
    <s v="Las Vegas"/>
    <x v="172"/>
    <n v="2024"/>
  </r>
  <r>
    <x v="4"/>
    <s v="Eli"/>
    <n v="3"/>
    <x v="0"/>
    <s v="Jalen Hurts"/>
    <x v="173"/>
    <n v="2024"/>
  </r>
  <r>
    <x v="4"/>
    <s v="Eli"/>
    <n v="3"/>
    <x v="1"/>
    <s v="Justin Jefferson"/>
    <x v="125"/>
    <n v="2024"/>
  </r>
  <r>
    <x v="4"/>
    <s v="Eli"/>
    <n v="3"/>
    <x v="1"/>
    <s v="Rome Odunze"/>
    <x v="10"/>
    <n v="2024"/>
  </r>
  <r>
    <x v="4"/>
    <s v="Eli"/>
    <n v="3"/>
    <x v="1"/>
    <s v="DJ Moore"/>
    <x v="174"/>
    <n v="2024"/>
  </r>
  <r>
    <x v="4"/>
    <s v="Eli"/>
    <n v="3"/>
    <x v="2"/>
    <s v="Bijan Robinson"/>
    <x v="175"/>
    <n v="2024"/>
  </r>
  <r>
    <x v="4"/>
    <s v="Eli"/>
    <n v="3"/>
    <x v="2"/>
    <s v="Jordan Mason"/>
    <x v="158"/>
    <n v="2024"/>
  </r>
  <r>
    <x v="4"/>
    <s v="Eli"/>
    <n v="3"/>
    <x v="3"/>
    <s v="Dalton Schultz"/>
    <x v="28"/>
    <n v="2024"/>
  </r>
  <r>
    <x v="4"/>
    <s v="Eli"/>
    <n v="3"/>
    <x v="5"/>
    <s v="Jake Moody"/>
    <x v="25"/>
    <n v="2024"/>
  </r>
  <r>
    <x v="4"/>
    <s v="Eli"/>
    <n v="3"/>
    <x v="4"/>
    <s v="NYJ"/>
    <x v="176"/>
    <n v="2024"/>
  </r>
  <r>
    <x v="6"/>
    <s v="Will"/>
    <n v="3"/>
    <x v="0"/>
    <s v="Geno Smith"/>
    <x v="177"/>
    <n v="2024"/>
  </r>
  <r>
    <x v="6"/>
    <s v="Will"/>
    <n v="3"/>
    <x v="1"/>
    <s v="Amon-Ra St. Brown"/>
    <x v="62"/>
    <n v="2024"/>
  </r>
  <r>
    <x v="6"/>
    <s v="Will"/>
    <n v="3"/>
    <x v="1"/>
    <s v="Drake London"/>
    <x v="93"/>
    <n v="2024"/>
  </r>
  <r>
    <x v="6"/>
    <s v="Will"/>
    <n v="3"/>
    <x v="1"/>
    <s v="Ladd McConkey"/>
    <x v="178"/>
    <n v="2024"/>
  </r>
  <r>
    <x v="6"/>
    <s v="Will"/>
    <n v="3"/>
    <x v="2"/>
    <s v="Zach Charbonet"/>
    <x v="179"/>
    <n v="2024"/>
  </r>
  <r>
    <x v="6"/>
    <s v="Will"/>
    <n v="3"/>
    <x v="2"/>
    <s v="Travis Etienne"/>
    <x v="27"/>
    <n v="2024"/>
  </r>
  <r>
    <x v="6"/>
    <s v="Will"/>
    <n v="3"/>
    <x v="3"/>
    <s v="Travis Kelce"/>
    <x v="103"/>
    <n v="2024"/>
  </r>
  <r>
    <x v="6"/>
    <s v="Will"/>
    <n v="3"/>
    <x v="5"/>
    <s v="Jason Myers"/>
    <x v="32"/>
    <n v="2024"/>
  </r>
  <r>
    <x v="6"/>
    <s v="Will"/>
    <n v="3"/>
    <x v="4"/>
    <s v="Houston"/>
    <x v="16"/>
    <n v="2024"/>
  </r>
  <r>
    <x v="11"/>
    <s v="Cam"/>
    <n v="3"/>
    <x v="0"/>
    <s v="Joe Burrow"/>
    <x v="180"/>
    <n v="2024"/>
  </r>
  <r>
    <x v="11"/>
    <s v="Cam"/>
    <n v="3"/>
    <x v="1"/>
    <s v="Ja'Marr Chase"/>
    <x v="181"/>
    <n v="2024"/>
  </r>
  <r>
    <x v="11"/>
    <s v="Cam"/>
    <n v="3"/>
    <x v="1"/>
    <s v="Nico Collins"/>
    <x v="21"/>
    <n v="2024"/>
  </r>
  <r>
    <x v="11"/>
    <s v="Cam"/>
    <n v="3"/>
    <x v="1"/>
    <s v="Brandon Aiyuk"/>
    <x v="170"/>
    <n v="2024"/>
  </r>
  <r>
    <x v="11"/>
    <s v="Cam"/>
    <n v="3"/>
    <x v="2"/>
    <s v="Aaron Jones"/>
    <x v="182"/>
    <n v="2024"/>
  </r>
  <r>
    <x v="11"/>
    <s v="Cam"/>
    <n v="3"/>
    <x v="2"/>
    <s v="JK Dobbins"/>
    <x v="92"/>
    <n v="2024"/>
  </r>
  <r>
    <x v="11"/>
    <s v="Cam"/>
    <n v="3"/>
    <x v="3"/>
    <s v="Pat Freiermuth"/>
    <x v="128"/>
    <n v="2024"/>
  </r>
  <r>
    <x v="11"/>
    <s v="Cam"/>
    <n v="3"/>
    <x v="5"/>
    <s v="Evan McPherson"/>
    <x v="32"/>
    <n v="2024"/>
  </r>
  <r>
    <x v="11"/>
    <s v="Cam"/>
    <n v="3"/>
    <x v="4"/>
    <s v="Chicago"/>
    <x v="16"/>
    <n v="2024"/>
  </r>
  <r>
    <x v="8"/>
    <s v="Schulwolf"/>
    <n v="3"/>
    <x v="0"/>
    <s v="Jayden Daniels"/>
    <x v="183"/>
    <n v="2024"/>
  </r>
  <r>
    <x v="8"/>
    <s v="Schulwolf"/>
    <n v="3"/>
    <x v="1"/>
    <s v="Chris Godwin"/>
    <x v="130"/>
    <n v="2024"/>
  </r>
  <r>
    <x v="8"/>
    <s v="Schulwolf"/>
    <n v="3"/>
    <x v="1"/>
    <s v="DeVonta Smith"/>
    <x v="46"/>
    <n v="2024"/>
  </r>
  <r>
    <x v="8"/>
    <s v="Schulwolf"/>
    <n v="3"/>
    <x v="1"/>
    <s v="Jerry Jeudy"/>
    <x v="184"/>
    <n v="2024"/>
  </r>
  <r>
    <x v="8"/>
    <s v="Schulwolf"/>
    <n v="3"/>
    <x v="2"/>
    <s v="Zack Moss"/>
    <x v="185"/>
    <n v="2024"/>
  </r>
  <r>
    <x v="8"/>
    <s v="Schulwolf"/>
    <n v="3"/>
    <x v="2"/>
    <s v="James Cook"/>
    <x v="186"/>
    <n v="2024"/>
  </r>
  <r>
    <x v="8"/>
    <s v="Schulwolf"/>
    <n v="3"/>
    <x v="3"/>
    <s v="Dalton Kincaid"/>
    <x v="187"/>
    <n v="2024"/>
  </r>
  <r>
    <x v="8"/>
    <s v="Schulwolf"/>
    <n v="3"/>
    <x v="5"/>
    <s v="Brandon Aubrey"/>
    <x v="138"/>
    <n v="2024"/>
  </r>
  <r>
    <x v="8"/>
    <s v="Schulwolf"/>
    <n v="3"/>
    <x v="4"/>
    <s v="Dallas"/>
    <x v="188"/>
    <n v="2024"/>
  </r>
  <r>
    <x v="10"/>
    <s v="Brand"/>
    <n v="3"/>
    <x v="0"/>
    <s v="Anthony Richardson"/>
    <x v="189"/>
    <n v="2024"/>
  </r>
  <r>
    <x v="10"/>
    <s v="Brand"/>
    <n v="3"/>
    <x v="1"/>
    <s v="Garrett Wilson"/>
    <x v="69"/>
    <n v="2024"/>
  </r>
  <r>
    <x v="10"/>
    <s v="Brand"/>
    <n v="3"/>
    <x v="1"/>
    <s v="Michael Pittman"/>
    <x v="90"/>
    <n v="2024"/>
  </r>
  <r>
    <x v="10"/>
    <s v="Brand"/>
    <n v="3"/>
    <x v="1"/>
    <s v="Brandin Cooks"/>
    <x v="59"/>
    <n v="2024"/>
  </r>
  <r>
    <x v="10"/>
    <s v="Brand"/>
    <n v="3"/>
    <x v="2"/>
    <s v="Breece Hall"/>
    <x v="190"/>
    <n v="2024"/>
  </r>
  <r>
    <x v="10"/>
    <s v="Brand"/>
    <n v="3"/>
    <x v="2"/>
    <s v="Bucky Irving"/>
    <x v="191"/>
    <n v="2024"/>
  </r>
  <r>
    <x v="10"/>
    <s v="Brand"/>
    <n v="3"/>
    <x v="3"/>
    <s v="Dallas Goedert"/>
    <x v="192"/>
    <n v="2024"/>
  </r>
  <r>
    <x v="10"/>
    <s v="Brand"/>
    <n v="3"/>
    <x v="5"/>
    <s v="Cairo Santos"/>
    <x v="25"/>
    <n v="2024"/>
  </r>
  <r>
    <x v="10"/>
    <s v="Brand"/>
    <n v="3"/>
    <x v="4"/>
    <s v="Indianapolis"/>
    <x v="8"/>
    <n v="2024"/>
  </r>
  <r>
    <x v="9"/>
    <s v="Tommy"/>
    <n v="3"/>
    <x v="0"/>
    <s v="Josh Allen"/>
    <x v="193"/>
    <n v="2024"/>
  </r>
  <r>
    <x v="9"/>
    <s v="Tommy"/>
    <n v="3"/>
    <x v="1"/>
    <s v="Malik Nabers"/>
    <x v="179"/>
    <n v="2024"/>
  </r>
  <r>
    <x v="9"/>
    <s v="Tommy"/>
    <n v="3"/>
    <x v="1"/>
    <s v="DK Metcalf"/>
    <x v="194"/>
    <n v="2024"/>
  </r>
  <r>
    <x v="9"/>
    <s v="Tommy"/>
    <n v="3"/>
    <x v="1"/>
    <s v="Xavier Worthy"/>
    <x v="16"/>
    <n v="2024"/>
  </r>
  <r>
    <x v="9"/>
    <s v="Tommy"/>
    <n v="3"/>
    <x v="2"/>
    <s v="Saquon Barkley"/>
    <x v="195"/>
    <n v="2024"/>
  </r>
  <r>
    <x v="9"/>
    <s v="Tommy"/>
    <n v="3"/>
    <x v="2"/>
    <s v="Kyren Williams"/>
    <x v="196"/>
    <n v="2024"/>
  </r>
  <r>
    <x v="9"/>
    <s v="Tommy"/>
    <n v="3"/>
    <x v="3"/>
    <s v="Mike Gesicki"/>
    <x v="184"/>
    <n v="2024"/>
  </r>
  <r>
    <x v="9"/>
    <s v="Tommy"/>
    <n v="3"/>
    <x v="5"/>
    <s v="Harrison Butker"/>
    <x v="122"/>
    <n v="2024"/>
  </r>
  <r>
    <x v="9"/>
    <s v="Tommy"/>
    <n v="3"/>
    <x v="4"/>
    <s v="San Francisco"/>
    <x v="16"/>
    <n v="2024"/>
  </r>
  <r>
    <x v="5"/>
    <s v="Burnett/Jasjaap"/>
    <n v="3"/>
    <x v="0"/>
    <s v="Brock Purdy"/>
    <x v="197"/>
    <n v="2024"/>
  </r>
  <r>
    <x v="5"/>
    <s v="Burnett/Jasjaap"/>
    <n v="3"/>
    <x v="1"/>
    <s v="CeeDee Lamb"/>
    <x v="184"/>
    <n v="2024"/>
  </r>
  <r>
    <x v="5"/>
    <s v="Burnett/Jasjaap"/>
    <n v="3"/>
    <x v="1"/>
    <s v="Jaylen Waddle"/>
    <x v="163"/>
    <n v="2024"/>
  </r>
  <r>
    <x v="5"/>
    <s v="Burnett/Jasjaap"/>
    <n v="3"/>
    <x v="1"/>
    <s v="Rashid Shaheed"/>
    <x v="146"/>
    <n v="2024"/>
  </r>
  <r>
    <x v="5"/>
    <s v="Burnett/Jasjaap"/>
    <n v="3"/>
    <x v="2"/>
    <s v="David Montgomery"/>
    <x v="198"/>
    <n v="2024"/>
  </r>
  <r>
    <x v="5"/>
    <s v="Burnett/Jasjaap"/>
    <n v="3"/>
    <x v="2"/>
    <s v="Josh Jacobs"/>
    <x v="128"/>
    <n v="2024"/>
  </r>
  <r>
    <x v="5"/>
    <s v="Burnett/Jasjaap"/>
    <n v="3"/>
    <x v="3"/>
    <s v="Brock Bowers"/>
    <x v="90"/>
    <n v="2024"/>
  </r>
  <r>
    <x v="5"/>
    <s v="Burnett/Jasjaap"/>
    <n v="3"/>
    <x v="5"/>
    <s v="Jake Elliott"/>
    <x v="78"/>
    <n v="2024"/>
  </r>
  <r>
    <x v="5"/>
    <s v="Burnett/Jasjaap"/>
    <n v="3"/>
    <x v="4"/>
    <s v="Pittsburgh"/>
    <x v="122"/>
    <n v="2024"/>
  </r>
  <r>
    <x v="0"/>
    <s v="Brenton"/>
    <n v="4"/>
    <x v="0"/>
    <s v="Baker Mayfield"/>
    <x v="199"/>
    <n v="2024"/>
  </r>
  <r>
    <x v="0"/>
    <s v="Brenton"/>
    <n v="4"/>
    <x v="1"/>
    <s v="Jayden Reed"/>
    <x v="200"/>
    <n v="2024"/>
  </r>
  <r>
    <x v="0"/>
    <s v="Brenton"/>
    <n v="4"/>
    <x v="1"/>
    <s v="Courtland Sutton"/>
    <x v="201"/>
    <n v="2024"/>
  </r>
  <r>
    <x v="0"/>
    <s v="Brenton"/>
    <n v="4"/>
    <x v="1"/>
    <s v="Tyreek Hill"/>
    <x v="45"/>
    <n v="2024"/>
  </r>
  <r>
    <x v="0"/>
    <s v="Brenton"/>
    <n v="4"/>
    <x v="2"/>
    <s v="Jerome Ford"/>
    <x v="122"/>
    <n v="2024"/>
  </r>
  <r>
    <x v="0"/>
    <s v="Brenton"/>
    <n v="4"/>
    <x v="2"/>
    <s v="Cam Akers"/>
    <x v="128"/>
    <n v="2024"/>
  </r>
  <r>
    <x v="0"/>
    <s v="Brenton"/>
    <n v="4"/>
    <x v="3"/>
    <s v="Colby Parkinson"/>
    <x v="128"/>
    <n v="2024"/>
  </r>
  <r>
    <x v="0"/>
    <s v="Brenton"/>
    <n v="4"/>
    <x v="5"/>
    <s v="Tyler Bass"/>
    <x v="103"/>
    <n v="2024"/>
  </r>
  <r>
    <x v="0"/>
    <s v="Brenton"/>
    <n v="4"/>
    <x v="4"/>
    <s v="Kansas City"/>
    <x v="76"/>
    <n v="2024"/>
  </r>
  <r>
    <x v="0"/>
    <s v="Brenton"/>
    <n v="4"/>
    <x v="6"/>
    <s v="Zay Flowers"/>
    <x v="202"/>
    <n v="2024"/>
  </r>
  <r>
    <x v="7"/>
    <s v="Jay"/>
    <n v="4"/>
    <x v="0"/>
    <s v="Lamar Jackson"/>
    <x v="203"/>
    <n v="2024"/>
  </r>
  <r>
    <x v="7"/>
    <s v="Jay"/>
    <n v="4"/>
    <x v="1"/>
    <s v="Amari Cooper"/>
    <x v="6"/>
    <n v="2024"/>
  </r>
  <r>
    <x v="7"/>
    <s v="Jay"/>
    <n v="4"/>
    <x v="1"/>
    <s v="Stefon Diggs"/>
    <x v="101"/>
    <n v="2024"/>
  </r>
  <r>
    <x v="7"/>
    <s v="Jay"/>
    <n v="4"/>
    <x v="1"/>
    <s v="Jauan Jennings"/>
    <x v="204"/>
    <n v="2024"/>
  </r>
  <r>
    <x v="7"/>
    <s v="Jay"/>
    <n v="4"/>
    <x v="2"/>
    <s v="Brian Robinson"/>
    <x v="88"/>
    <n v="2024"/>
  </r>
  <r>
    <x v="7"/>
    <s v="Jay"/>
    <n v="4"/>
    <x v="2"/>
    <s v="Alvin Kamara"/>
    <x v="205"/>
    <n v="2024"/>
  </r>
  <r>
    <x v="7"/>
    <s v="Jay"/>
    <n v="4"/>
    <x v="3"/>
    <s v="Tyler Conklin"/>
    <x v="206"/>
    <n v="2024"/>
  </r>
  <r>
    <x v="7"/>
    <s v="Jay"/>
    <n v="4"/>
    <x v="5"/>
    <s v="Ka'imi Fairbairn"/>
    <x v="25"/>
    <n v="2024"/>
  </r>
  <r>
    <x v="7"/>
    <s v="Jay"/>
    <n v="4"/>
    <x v="4"/>
    <s v="Miami"/>
    <x v="7"/>
    <n v="2024"/>
  </r>
  <r>
    <x v="7"/>
    <s v="Jay"/>
    <n v="4"/>
    <x v="7"/>
    <s v="Jonathan Taylor"/>
    <x v="67"/>
    <n v="2024"/>
  </r>
  <r>
    <x v="8"/>
    <s v="Schulwolf"/>
    <n v="4"/>
    <x v="0"/>
    <s v="Jayden Daniels"/>
    <x v="207"/>
    <n v="2024"/>
  </r>
  <r>
    <x v="8"/>
    <s v="Schulwolf"/>
    <n v="4"/>
    <x v="1"/>
    <s v="Terry McLaurin"/>
    <x v="85"/>
    <n v="2024"/>
  </r>
  <r>
    <x v="8"/>
    <s v="Schulwolf"/>
    <n v="4"/>
    <x v="1"/>
    <s v="Jerry Jeudy"/>
    <x v="208"/>
    <n v="2024"/>
  </r>
  <r>
    <x v="8"/>
    <s v="Schulwolf"/>
    <n v="4"/>
    <x v="1"/>
    <s v="Chris Godwin"/>
    <x v="191"/>
    <n v="2024"/>
  </r>
  <r>
    <x v="8"/>
    <s v="Schulwolf"/>
    <n v="4"/>
    <x v="2"/>
    <s v="Jahmyr Gibbs"/>
    <x v="209"/>
    <n v="2024"/>
  </r>
  <r>
    <x v="8"/>
    <s v="Schulwolf"/>
    <n v="4"/>
    <x v="2"/>
    <s v="Zack Moss"/>
    <x v="47"/>
    <n v="2024"/>
  </r>
  <r>
    <x v="8"/>
    <s v="Schulwolf"/>
    <n v="4"/>
    <x v="3"/>
    <s v="Dalton Kincaid"/>
    <x v="210"/>
    <n v="2024"/>
  </r>
  <r>
    <x v="8"/>
    <s v="Schulwolf"/>
    <n v="4"/>
    <x v="5"/>
    <s v="Brandon Aubrey"/>
    <x v="138"/>
    <n v="2024"/>
  </r>
  <r>
    <x v="8"/>
    <s v="Schulwolf"/>
    <n v="4"/>
    <x v="4"/>
    <s v="Dallas"/>
    <x v="7"/>
    <n v="2024"/>
  </r>
  <r>
    <x v="8"/>
    <s v="Schulwolf"/>
    <n v="4"/>
    <x v="7"/>
    <s v="James Cook"/>
    <x v="128"/>
    <n v="2024"/>
  </r>
  <r>
    <x v="5"/>
    <s v="Burnett/Jasjaap"/>
    <n v="4"/>
    <x v="0"/>
    <s v="Brock Purdy"/>
    <x v="211"/>
    <n v="2024"/>
  </r>
  <r>
    <x v="5"/>
    <s v="Burnett/Jasjaap"/>
    <n v="4"/>
    <x v="1"/>
    <s v="CeeDee Lamb"/>
    <x v="87"/>
    <n v="2024"/>
  </r>
  <r>
    <x v="5"/>
    <s v="Burnett/Jasjaap"/>
    <n v="4"/>
    <x v="1"/>
    <s v="Jaylen Waddle"/>
    <x v="90"/>
    <n v="2024"/>
  </r>
  <r>
    <x v="5"/>
    <s v="Burnett/Jasjaap"/>
    <n v="4"/>
    <x v="1"/>
    <s v="Rashid Shaheed"/>
    <x v="20"/>
    <n v="2024"/>
  </r>
  <r>
    <x v="5"/>
    <s v="Burnett/Jasjaap"/>
    <n v="4"/>
    <x v="2"/>
    <s v="David Montgomery"/>
    <x v="107"/>
    <n v="2024"/>
  </r>
  <r>
    <x v="5"/>
    <s v="Burnett/Jasjaap"/>
    <n v="4"/>
    <x v="2"/>
    <s v="Josh Jacobs"/>
    <x v="158"/>
    <n v="2024"/>
  </r>
  <r>
    <x v="5"/>
    <s v="Burnett/Jasjaap"/>
    <n v="4"/>
    <x v="3"/>
    <s v="Brock Bowers"/>
    <x v="86"/>
    <n v="2024"/>
  </r>
  <r>
    <x v="5"/>
    <s v="Burnett/Jasjaap"/>
    <n v="4"/>
    <x v="5"/>
    <s v="Jake Elliott"/>
    <x v="139"/>
    <n v="2024"/>
  </r>
  <r>
    <x v="5"/>
    <s v="Burnett/Jasjaap"/>
    <n v="4"/>
    <x v="4"/>
    <s v="Pittsburgh"/>
    <x v="78"/>
    <n v="2024"/>
  </r>
  <r>
    <x v="5"/>
    <s v="Burnett/Jasjaap"/>
    <n v="4"/>
    <x v="7"/>
    <s v="Gus Edwards"/>
    <x v="160"/>
    <n v="2024"/>
  </r>
  <r>
    <x v="2"/>
    <s v="Mike"/>
    <n v="4"/>
    <x v="0"/>
    <s v="Patrick Mahomes"/>
    <x v="49"/>
    <n v="2024"/>
  </r>
  <r>
    <x v="2"/>
    <s v="Mike"/>
    <n v="4"/>
    <x v="1"/>
    <s v="Mike Evans"/>
    <x v="212"/>
    <n v="2024"/>
  </r>
  <r>
    <x v="2"/>
    <s v="Mike"/>
    <n v="4"/>
    <x v="1"/>
    <s v="Khalil Shakir"/>
    <x v="136"/>
    <n v="2024"/>
  </r>
  <r>
    <x v="2"/>
    <s v="Mike"/>
    <n v="4"/>
    <x v="1"/>
    <s v="Quentin Johnston"/>
    <x v="213"/>
    <n v="2024"/>
  </r>
  <r>
    <x v="2"/>
    <s v="Mike"/>
    <n v="4"/>
    <x v="2"/>
    <s v="Derrick Henry"/>
    <x v="214"/>
    <n v="2024"/>
  </r>
  <r>
    <x v="2"/>
    <s v="Mike"/>
    <n v="4"/>
    <x v="2"/>
    <s v="Carson Steele"/>
    <x v="215"/>
    <n v="2024"/>
  </r>
  <r>
    <x v="2"/>
    <s v="Mike"/>
    <n v="4"/>
    <x v="3"/>
    <s v="Jake Ferguson"/>
    <x v="18"/>
    <n v="2024"/>
  </r>
  <r>
    <x v="2"/>
    <s v="Mike"/>
    <n v="4"/>
    <x v="5"/>
    <s v="Younghoe Koo"/>
    <x v="109"/>
    <n v="2024"/>
  </r>
  <r>
    <x v="2"/>
    <s v="Mike"/>
    <n v="4"/>
    <x v="4"/>
    <s v="Buffalo"/>
    <x v="188"/>
    <n v="2024"/>
  </r>
  <r>
    <x v="2"/>
    <s v="Mike"/>
    <n v="4"/>
    <x v="8"/>
    <s v="Sam LaPorta"/>
    <x v="170"/>
    <n v="2024"/>
  </r>
  <r>
    <x v="4"/>
    <s v="Eli"/>
    <n v="4"/>
    <x v="0"/>
    <s v="Jalen Hurts"/>
    <x v="216"/>
    <n v="2024"/>
  </r>
  <r>
    <x v="4"/>
    <s v="Eli"/>
    <n v="4"/>
    <x v="1"/>
    <s v="Justin Jefferson"/>
    <x v="217"/>
    <n v="2024"/>
  </r>
  <r>
    <x v="4"/>
    <s v="Eli"/>
    <n v="4"/>
    <x v="1"/>
    <s v="DJ Moore"/>
    <x v="218"/>
    <n v="2024"/>
  </r>
  <r>
    <x v="4"/>
    <s v="Eli"/>
    <n v="4"/>
    <x v="1"/>
    <s v="Jalen Tolbert"/>
    <x v="132"/>
    <n v="2024"/>
  </r>
  <r>
    <x v="4"/>
    <s v="Eli"/>
    <n v="4"/>
    <x v="2"/>
    <s v="Jordan Mason"/>
    <x v="33"/>
    <n v="2024"/>
  </r>
  <r>
    <x v="4"/>
    <s v="Eli"/>
    <n v="4"/>
    <x v="2"/>
    <s v="Bijan Robinson"/>
    <x v="156"/>
    <n v="2024"/>
  </r>
  <r>
    <x v="4"/>
    <s v="Eli"/>
    <n v="4"/>
    <x v="3"/>
    <s v="Dalton Schultz"/>
    <x v="219"/>
    <n v="2024"/>
  </r>
  <r>
    <x v="4"/>
    <s v="Eli"/>
    <n v="4"/>
    <x v="5"/>
    <s v="Jake Moody"/>
    <x v="49"/>
    <n v="2024"/>
  </r>
  <r>
    <x v="4"/>
    <s v="Eli"/>
    <n v="4"/>
    <x v="4"/>
    <s v="NYJ"/>
    <x v="24"/>
    <n v="2024"/>
  </r>
  <r>
    <x v="4"/>
    <s v="Eli"/>
    <n v="4"/>
    <x v="6"/>
    <s v="Rome Odunze"/>
    <x v="202"/>
    <n v="2024"/>
  </r>
  <r>
    <x v="1"/>
    <s v="Todd"/>
    <n v="4"/>
    <x v="0"/>
    <s v="Dak Prescott"/>
    <x v="220"/>
    <n v="2024"/>
  </r>
  <r>
    <x v="1"/>
    <s v="Todd"/>
    <n v="4"/>
    <x v="1"/>
    <s v="Brian Thomas Jr"/>
    <x v="57"/>
    <n v="2024"/>
  </r>
  <r>
    <x v="1"/>
    <s v="Todd"/>
    <n v="4"/>
    <x v="1"/>
    <s v="Diontae Johnson"/>
    <x v="14"/>
    <n v="2024"/>
  </r>
  <r>
    <x v="1"/>
    <s v="Todd"/>
    <n v="4"/>
    <x v="1"/>
    <s v="Deebo Samuel"/>
    <x v="161"/>
    <n v="2024"/>
  </r>
  <r>
    <x v="1"/>
    <s v="Todd"/>
    <n v="4"/>
    <x v="2"/>
    <s v="James Conner"/>
    <x v="14"/>
    <n v="2024"/>
  </r>
  <r>
    <x v="1"/>
    <s v="Todd"/>
    <n v="4"/>
    <x v="2"/>
    <s v="De'Von Achane"/>
    <x v="75"/>
    <n v="2024"/>
  </r>
  <r>
    <x v="1"/>
    <s v="Todd"/>
    <n v="4"/>
    <x v="3"/>
    <s v="Kyle Pitts"/>
    <x v="146"/>
    <n v="2024"/>
  </r>
  <r>
    <x v="1"/>
    <s v="Todd"/>
    <n v="4"/>
    <x v="5"/>
    <s v="Chris Boswell"/>
    <x v="32"/>
    <n v="2024"/>
  </r>
  <r>
    <x v="1"/>
    <s v="Todd"/>
    <n v="4"/>
    <x v="4"/>
    <s v="Tennessee"/>
    <x v="49"/>
    <n v="2024"/>
  </r>
  <r>
    <x v="1"/>
    <s v="Todd"/>
    <n v="4"/>
    <x v="6"/>
    <s v="Rashee Rice"/>
    <x v="146"/>
    <n v="2024"/>
  </r>
  <r>
    <x v="11"/>
    <s v="Cam"/>
    <n v="4"/>
    <x v="0"/>
    <s v="Kyler Murray"/>
    <x v="221"/>
    <n v="2024"/>
  </r>
  <r>
    <x v="11"/>
    <s v="Cam"/>
    <n v="4"/>
    <x v="1"/>
    <s v="Ja'Marr Chase"/>
    <x v="101"/>
    <n v="2024"/>
  </r>
  <r>
    <x v="11"/>
    <s v="Cam"/>
    <n v="4"/>
    <x v="1"/>
    <s v="Nico Collins"/>
    <x v="222"/>
    <n v="2024"/>
  </r>
  <r>
    <x v="11"/>
    <s v="Cam"/>
    <n v="4"/>
    <x v="1"/>
    <s v="Jakobi Meyers"/>
    <x v="223"/>
    <n v="2024"/>
  </r>
  <r>
    <x v="11"/>
    <s v="Cam"/>
    <n v="4"/>
    <x v="2"/>
    <s v="Aaron Jones"/>
    <x v="4"/>
    <n v="2024"/>
  </r>
  <r>
    <x v="11"/>
    <s v="Cam"/>
    <n v="4"/>
    <x v="2"/>
    <s v="Rhamondre Stevenson"/>
    <x v="45"/>
    <n v="2024"/>
  </r>
  <r>
    <x v="11"/>
    <s v="Cam"/>
    <n v="4"/>
    <x v="3"/>
    <s v="George Kittle"/>
    <x v="224"/>
    <n v="2024"/>
  </r>
  <r>
    <x v="11"/>
    <s v="Cam"/>
    <n v="4"/>
    <x v="5"/>
    <s v="Evan McPherson"/>
    <x v="49"/>
    <n v="2024"/>
  </r>
  <r>
    <x v="11"/>
    <s v="Cam"/>
    <n v="4"/>
    <x v="4"/>
    <s v="Chicago"/>
    <x v="76"/>
    <n v="2024"/>
  </r>
  <r>
    <x v="11"/>
    <s v="Cam"/>
    <n v="4"/>
    <x v="6"/>
    <s v="Brandon Aiyuk"/>
    <x v="225"/>
    <n v="2024"/>
  </r>
  <r>
    <x v="6"/>
    <s v="Will"/>
    <n v="4"/>
    <x v="0"/>
    <s v="Geno Smith"/>
    <x v="226"/>
    <n v="2024"/>
  </r>
  <r>
    <x v="6"/>
    <s v="Will"/>
    <n v="4"/>
    <x v="1"/>
    <s v="Amon-Ra St. Brown"/>
    <x v="227"/>
    <n v="2024"/>
  </r>
  <r>
    <x v="6"/>
    <s v="Will"/>
    <n v="4"/>
    <x v="1"/>
    <s v="Drake London"/>
    <x v="156"/>
    <n v="2024"/>
  </r>
  <r>
    <x v="6"/>
    <s v="Will"/>
    <n v="4"/>
    <x v="1"/>
    <s v="Ladd McConkey"/>
    <x v="228"/>
    <n v="2024"/>
  </r>
  <r>
    <x v="6"/>
    <s v="Will"/>
    <n v="4"/>
    <x v="2"/>
    <s v="Travis Etienne"/>
    <x v="23"/>
    <n v="2024"/>
  </r>
  <r>
    <x v="6"/>
    <s v="Will"/>
    <n v="4"/>
    <x v="2"/>
    <s v="Zach Charbonet"/>
    <x v="133"/>
    <n v="2024"/>
  </r>
  <r>
    <x v="6"/>
    <s v="Will"/>
    <n v="4"/>
    <x v="3"/>
    <s v="Travis Kelce"/>
    <x v="51"/>
    <n v="2024"/>
  </r>
  <r>
    <x v="6"/>
    <s v="Will"/>
    <n v="4"/>
    <x v="5"/>
    <s v="Jason Myers"/>
    <x v="7"/>
    <n v="2024"/>
  </r>
  <r>
    <x v="6"/>
    <s v="Will"/>
    <n v="4"/>
    <x v="4"/>
    <s v="Houston"/>
    <x v="78"/>
    <n v="2024"/>
  </r>
  <r>
    <x v="6"/>
    <s v="Will"/>
    <n v="4"/>
    <x v="6"/>
    <s v="Jaxon Smith-Njigba"/>
    <x v="74"/>
    <n v="2024"/>
  </r>
  <r>
    <x v="9"/>
    <s v="Tommy"/>
    <n v="4"/>
    <x v="0"/>
    <s v="Josh Allen"/>
    <x v="170"/>
    <n v="2024"/>
  </r>
  <r>
    <x v="9"/>
    <s v="Tommy"/>
    <n v="4"/>
    <x v="1"/>
    <s v="Malik Nabers"/>
    <x v="125"/>
    <n v="2024"/>
  </r>
  <r>
    <x v="9"/>
    <s v="Tommy"/>
    <n v="4"/>
    <x v="1"/>
    <s v="Xavier Worthy"/>
    <x v="31"/>
    <n v="2024"/>
  </r>
  <r>
    <x v="9"/>
    <s v="Tommy"/>
    <n v="4"/>
    <x v="1"/>
    <s v="DK Metcalf"/>
    <x v="66"/>
    <n v="2024"/>
  </r>
  <r>
    <x v="9"/>
    <s v="Tommy"/>
    <n v="4"/>
    <x v="2"/>
    <s v="Kyren Williams"/>
    <x v="194"/>
    <n v="2024"/>
  </r>
  <r>
    <x v="9"/>
    <s v="Tommy"/>
    <n v="4"/>
    <x v="2"/>
    <s v="Saquon Barkley"/>
    <x v="229"/>
    <n v="2024"/>
  </r>
  <r>
    <x v="9"/>
    <s v="Tommy"/>
    <n v="4"/>
    <x v="3"/>
    <s v="Mike Gesicki"/>
    <x v="230"/>
    <n v="2024"/>
  </r>
  <r>
    <x v="9"/>
    <s v="Tommy"/>
    <n v="4"/>
    <x v="5"/>
    <s v="Harrison Butker"/>
    <x v="103"/>
    <n v="2024"/>
  </r>
  <r>
    <x v="9"/>
    <s v="Tommy"/>
    <n v="4"/>
    <x v="4"/>
    <s v="San Francisco"/>
    <x v="33"/>
    <n v="2024"/>
  </r>
  <r>
    <x v="9"/>
    <s v="Tommy"/>
    <n v="4"/>
    <x v="7"/>
    <s v="Rachaad White"/>
    <x v="156"/>
    <n v="2024"/>
  </r>
  <r>
    <x v="10"/>
    <s v="Brand"/>
    <n v="4"/>
    <x v="0"/>
    <s v="Anthony Richardson"/>
    <x v="231"/>
    <n v="2024"/>
  </r>
  <r>
    <x v="10"/>
    <s v="Brand"/>
    <n v="4"/>
    <x v="1"/>
    <s v="Michael Pittman"/>
    <x v="130"/>
    <n v="2024"/>
  </r>
  <r>
    <x v="10"/>
    <s v="Brand"/>
    <n v="4"/>
    <x v="1"/>
    <s v="Garrett Wilson"/>
    <x v="163"/>
    <n v="2024"/>
  </r>
  <r>
    <x v="10"/>
    <s v="Brand"/>
    <n v="4"/>
    <x v="1"/>
    <s v="Jameson Williams"/>
    <x v="63"/>
    <n v="2024"/>
  </r>
  <r>
    <x v="10"/>
    <s v="Brand"/>
    <n v="4"/>
    <x v="2"/>
    <s v="Kenneth Walker"/>
    <x v="195"/>
    <n v="2024"/>
  </r>
  <r>
    <x v="10"/>
    <s v="Brand"/>
    <n v="4"/>
    <x v="2"/>
    <s v="Breece Hall"/>
    <x v="5"/>
    <n v="2024"/>
  </r>
  <r>
    <x v="10"/>
    <s v="Brand"/>
    <n v="4"/>
    <x v="3"/>
    <s v="Dallas Goedert"/>
    <x v="218"/>
    <n v="2024"/>
  </r>
  <r>
    <x v="10"/>
    <s v="Brand"/>
    <n v="4"/>
    <x v="5"/>
    <s v="Cairo Santos"/>
    <x v="76"/>
    <n v="2024"/>
  </r>
  <r>
    <x v="10"/>
    <s v="Brand"/>
    <n v="4"/>
    <x v="4"/>
    <s v="Las Vegas"/>
    <x v="8"/>
    <n v="2024"/>
  </r>
  <r>
    <x v="10"/>
    <s v="Brand"/>
    <n v="4"/>
    <x v="6"/>
    <s v="Keenan Allen"/>
    <x v="232"/>
    <n v="2024"/>
  </r>
  <r>
    <x v="3"/>
    <s v="Kevin"/>
    <n v="4"/>
    <x v="0"/>
    <s v="CJ Stroud"/>
    <x v="148"/>
    <n v="2024"/>
  </r>
  <r>
    <x v="3"/>
    <s v="Kevin"/>
    <n v="4"/>
    <x v="1"/>
    <s v="Jordan Addison"/>
    <x v="205"/>
    <n v="2024"/>
  </r>
  <r>
    <x v="3"/>
    <s v="Kevin"/>
    <n v="4"/>
    <x v="1"/>
    <s v="Marvin Harrison Jr"/>
    <x v="49"/>
    <n v="2024"/>
  </r>
  <r>
    <x v="3"/>
    <s v="Kevin"/>
    <n v="4"/>
    <x v="1"/>
    <s v="George Pickens"/>
    <x v="233"/>
    <n v="2024"/>
  </r>
  <r>
    <x v="3"/>
    <s v="Kevin"/>
    <n v="4"/>
    <x v="2"/>
    <s v="Chuba Hubbard"/>
    <x v="87"/>
    <n v="2024"/>
  </r>
  <r>
    <x v="3"/>
    <s v="Kevin"/>
    <n v="4"/>
    <x v="2"/>
    <s v="Najee Harris"/>
    <x v="48"/>
    <n v="2024"/>
  </r>
  <r>
    <x v="3"/>
    <s v="Kevin"/>
    <n v="4"/>
    <x v="3"/>
    <s v="Hunter Henry"/>
    <x v="37"/>
    <n v="2024"/>
  </r>
  <r>
    <x v="3"/>
    <s v="Kevin"/>
    <n v="4"/>
    <x v="5"/>
    <s v="Justin Tucker"/>
    <x v="103"/>
    <n v="2024"/>
  </r>
  <r>
    <x v="3"/>
    <s v="Kevin"/>
    <n v="4"/>
    <x v="4"/>
    <s v="Cleveland"/>
    <x v="122"/>
    <n v="2024"/>
  </r>
  <r>
    <x v="3"/>
    <s v="Kevin"/>
    <n v="4"/>
    <x v="6"/>
    <s v="Chris Olave"/>
    <x v="234"/>
    <n v="2024"/>
  </r>
  <r>
    <x v="0"/>
    <s v="Brenton"/>
    <n v="5"/>
    <x v="0"/>
    <s v="Baker Mayfield"/>
    <x v="235"/>
    <n v="2024"/>
  </r>
  <r>
    <x v="0"/>
    <s v="Brenton"/>
    <n v="5"/>
    <x v="1"/>
    <s v="Jayden Reed"/>
    <x v="20"/>
    <n v="2024"/>
  </r>
  <r>
    <x v="0"/>
    <s v="Brenton"/>
    <n v="5"/>
    <x v="1"/>
    <s v="Tyreek Hill"/>
    <x v="191"/>
    <n v="2024"/>
  </r>
  <r>
    <x v="0"/>
    <s v="Brenton"/>
    <n v="5"/>
    <x v="1"/>
    <s v="Courtland Sutton"/>
    <x v="91"/>
    <n v="2024"/>
  </r>
  <r>
    <x v="0"/>
    <s v="Brenton"/>
    <n v="5"/>
    <x v="2"/>
    <s v="Javonte Williams"/>
    <x v="38"/>
    <n v="2024"/>
  </r>
  <r>
    <x v="0"/>
    <s v="Brenton"/>
    <n v="5"/>
    <x v="2"/>
    <s v="Jerome Ford"/>
    <x v="39"/>
    <n v="2024"/>
  </r>
  <r>
    <x v="0"/>
    <s v="Brenton"/>
    <n v="5"/>
    <x v="3"/>
    <s v="Trey McBride"/>
    <x v="112"/>
    <n v="2024"/>
  </r>
  <r>
    <x v="0"/>
    <s v="Brenton"/>
    <n v="5"/>
    <x v="5"/>
    <s v="Tyler Bass"/>
    <x v="32"/>
    <n v="2024"/>
  </r>
  <r>
    <x v="0"/>
    <s v="Brenton"/>
    <n v="5"/>
    <x v="4"/>
    <s v="New England"/>
    <x v="24"/>
    <n v="2024"/>
  </r>
  <r>
    <x v="0"/>
    <s v="Brenton"/>
    <n v="5"/>
    <x v="6"/>
    <s v="Dontayvion Wicks"/>
    <x v="7"/>
    <n v="2024"/>
  </r>
  <r>
    <x v="4"/>
    <s v="Eli"/>
    <n v="5"/>
    <x v="0"/>
    <s v="Deshaun Watson"/>
    <x v="18"/>
    <n v="2024"/>
  </r>
  <r>
    <x v="4"/>
    <s v="Eli"/>
    <n v="5"/>
    <x v="1"/>
    <s v="DJ Moore"/>
    <x v="65"/>
    <n v="2024"/>
  </r>
  <r>
    <x v="4"/>
    <s v="Eli"/>
    <n v="5"/>
    <x v="1"/>
    <s v="Justin Jefferson"/>
    <x v="175"/>
    <n v="2024"/>
  </r>
  <r>
    <x v="4"/>
    <s v="Eli"/>
    <n v="5"/>
    <x v="1"/>
    <s v="Rome Odunze"/>
    <x v="23"/>
    <n v="2024"/>
  </r>
  <r>
    <x v="4"/>
    <s v="Eli"/>
    <n v="5"/>
    <x v="2"/>
    <s v="Bijan Robinson"/>
    <x v="84"/>
    <n v="2024"/>
  </r>
  <r>
    <x v="4"/>
    <s v="Eli"/>
    <n v="5"/>
    <x v="2"/>
    <s v="Jordan Mason"/>
    <x v="112"/>
    <n v="2024"/>
  </r>
  <r>
    <x v="4"/>
    <s v="Eli"/>
    <n v="5"/>
    <x v="3"/>
    <s v="David Njoku"/>
    <x v="160"/>
    <n v="2024"/>
  </r>
  <r>
    <x v="4"/>
    <s v="Eli"/>
    <n v="5"/>
    <x v="5"/>
    <s v="Jake Moody"/>
    <x v="32"/>
    <n v="2024"/>
  </r>
  <r>
    <x v="4"/>
    <s v="Eli"/>
    <n v="5"/>
    <x v="4"/>
    <s v="NYJ"/>
    <x v="8"/>
    <n v="2024"/>
  </r>
  <r>
    <x v="4"/>
    <s v="Eli"/>
    <n v="5"/>
    <x v="6"/>
    <s v="Xavier Legette"/>
    <x v="236"/>
    <n v="2024"/>
  </r>
  <r>
    <x v="2"/>
    <s v="Mike"/>
    <n v="5"/>
    <x v="0"/>
    <s v="Justin Fields"/>
    <x v="237"/>
    <n v="2024"/>
  </r>
  <r>
    <x v="2"/>
    <s v="Mike"/>
    <n v="5"/>
    <x v="1"/>
    <s v="Mike Evans"/>
    <x v="238"/>
    <n v="2024"/>
  </r>
  <r>
    <x v="2"/>
    <s v="Mike"/>
    <n v="5"/>
    <x v="1"/>
    <s v="Tutu Atwell"/>
    <x v="239"/>
    <n v="2024"/>
  </r>
  <r>
    <x v="2"/>
    <s v="Mike"/>
    <n v="5"/>
    <x v="1"/>
    <s v="Tank Dell"/>
    <x v="128"/>
    <n v="2024"/>
  </r>
  <r>
    <x v="2"/>
    <s v="Mike"/>
    <n v="5"/>
    <x v="2"/>
    <s v="Derrick Henry"/>
    <x v="97"/>
    <n v="2024"/>
  </r>
  <r>
    <x v="2"/>
    <s v="Mike"/>
    <n v="5"/>
    <x v="2"/>
    <s v="Kareem Hunt"/>
    <x v="185"/>
    <n v="2024"/>
  </r>
  <r>
    <x v="2"/>
    <s v="Mike"/>
    <n v="5"/>
    <x v="3"/>
    <s v="Jake Ferguson"/>
    <x v="8"/>
    <n v="2024"/>
  </r>
  <r>
    <x v="2"/>
    <s v="Mike"/>
    <n v="5"/>
    <x v="5"/>
    <s v="Younghoe Koo"/>
    <x v="101"/>
    <n v="2024"/>
  </r>
  <r>
    <x v="2"/>
    <s v="Mike"/>
    <n v="5"/>
    <x v="4"/>
    <s v="Buffalo"/>
    <x v="78"/>
    <n v="2024"/>
  </r>
  <r>
    <x v="2"/>
    <s v="Mike"/>
    <n v="5"/>
    <x v="7"/>
    <s v="Chase Brown"/>
    <x v="134"/>
    <n v="2024"/>
  </r>
  <r>
    <x v="11"/>
    <s v="Cam"/>
    <n v="5"/>
    <x v="0"/>
    <s v="Joe Burrow"/>
    <x v="240"/>
    <n v="2024"/>
  </r>
  <r>
    <x v="11"/>
    <s v="Cam"/>
    <n v="5"/>
    <x v="1"/>
    <s v="Ja'Marr Chase"/>
    <x v="241"/>
    <n v="2024"/>
  </r>
  <r>
    <x v="11"/>
    <s v="Cam"/>
    <n v="5"/>
    <x v="1"/>
    <s v="Brandon Aiyuk"/>
    <x v="242"/>
    <n v="2024"/>
  </r>
  <r>
    <x v="11"/>
    <s v="Cam"/>
    <n v="5"/>
    <x v="1"/>
    <s v="Nico Collins"/>
    <x v="31"/>
    <n v="2024"/>
  </r>
  <r>
    <x v="11"/>
    <s v="Cam"/>
    <n v="5"/>
    <x v="2"/>
    <s v="D'Andre Swift"/>
    <x v="176"/>
    <n v="2024"/>
  </r>
  <r>
    <x v="11"/>
    <s v="Cam"/>
    <n v="5"/>
    <x v="2"/>
    <s v="Aaron Jones"/>
    <x v="225"/>
    <n v="2024"/>
  </r>
  <r>
    <x v="11"/>
    <s v="Cam"/>
    <n v="5"/>
    <x v="3"/>
    <s v="George Kittle"/>
    <x v="64"/>
    <n v="2024"/>
  </r>
  <r>
    <x v="11"/>
    <s v="Cam"/>
    <n v="5"/>
    <x v="5"/>
    <s v="Evan McPherson"/>
    <x v="16"/>
    <n v="2024"/>
  </r>
  <r>
    <x v="11"/>
    <s v="Cam"/>
    <n v="5"/>
    <x v="4"/>
    <s v="Chicago"/>
    <x v="63"/>
    <n v="2024"/>
  </r>
  <r>
    <x v="11"/>
    <s v="Cam"/>
    <n v="5"/>
    <x v="6"/>
    <s v="Wan'Dale Robinson"/>
    <x v="49"/>
    <n v="2024"/>
  </r>
  <r>
    <x v="10"/>
    <s v="Brand"/>
    <n v="5"/>
    <x v="0"/>
    <s v="Joe Flacco"/>
    <x v="243"/>
    <n v="2024"/>
  </r>
  <r>
    <x v="10"/>
    <s v="Brand"/>
    <n v="5"/>
    <x v="1"/>
    <s v="Garrett Wilson"/>
    <x v="244"/>
    <n v="2024"/>
  </r>
  <r>
    <x v="10"/>
    <s v="Brand"/>
    <n v="5"/>
    <x v="1"/>
    <s v="Michael Pittman"/>
    <x v="175"/>
    <n v="2024"/>
  </r>
  <r>
    <x v="10"/>
    <s v="Brand"/>
    <n v="5"/>
    <x v="1"/>
    <s v="Keenan Allen"/>
    <x v="245"/>
    <n v="2024"/>
  </r>
  <r>
    <x v="10"/>
    <s v="Brand"/>
    <n v="5"/>
    <x v="2"/>
    <s v="Kenneth Walker"/>
    <x v="43"/>
    <n v="2024"/>
  </r>
  <r>
    <x v="10"/>
    <s v="Brand"/>
    <n v="5"/>
    <x v="2"/>
    <s v="Breece Hall"/>
    <x v="22"/>
    <n v="2024"/>
  </r>
  <r>
    <x v="10"/>
    <s v="Brand"/>
    <n v="5"/>
    <x v="3"/>
    <s v="Zach Ertz"/>
    <x v="139"/>
    <n v="2024"/>
  </r>
  <r>
    <x v="10"/>
    <s v="Brand"/>
    <n v="5"/>
    <x v="5"/>
    <s v="Cairo Santos"/>
    <x v="103"/>
    <n v="2024"/>
  </r>
  <r>
    <x v="10"/>
    <s v="Brand"/>
    <n v="5"/>
    <x v="4"/>
    <s v="Indianapolis"/>
    <x v="246"/>
    <n v="2024"/>
  </r>
  <r>
    <x v="10"/>
    <s v="Brand"/>
    <n v="5"/>
    <x v="7"/>
    <s v="Bucky Irving"/>
    <x v="163"/>
    <n v="2024"/>
  </r>
  <r>
    <x v="5"/>
    <s v="Burnett/Jasjaap"/>
    <n v="5"/>
    <x v="0"/>
    <s v="Brock Purdy"/>
    <x v="247"/>
    <n v="2024"/>
  </r>
  <r>
    <x v="5"/>
    <s v="Burnett/Jasjaap"/>
    <n v="5"/>
    <x v="1"/>
    <s v="Rashid Shaheed"/>
    <x v="248"/>
    <n v="2024"/>
  </r>
  <r>
    <x v="5"/>
    <s v="Burnett/Jasjaap"/>
    <n v="5"/>
    <x v="1"/>
    <s v="CeeDee Lamb"/>
    <x v="155"/>
    <n v="2024"/>
  </r>
  <r>
    <x v="5"/>
    <s v="Burnett/Jasjaap"/>
    <n v="5"/>
    <x v="1"/>
    <s v="Jordan Whittington"/>
    <x v="51"/>
    <n v="2024"/>
  </r>
  <r>
    <x v="5"/>
    <s v="Burnett/Jasjaap"/>
    <n v="5"/>
    <x v="2"/>
    <s v="Josh Jacobs"/>
    <x v="4"/>
    <n v="2024"/>
  </r>
  <r>
    <x v="5"/>
    <s v="Burnett/Jasjaap"/>
    <n v="5"/>
    <x v="2"/>
    <s v="Rico Dowdle"/>
    <x v="194"/>
    <n v="2024"/>
  </r>
  <r>
    <x v="5"/>
    <s v="Burnett/Jasjaap"/>
    <n v="5"/>
    <x v="3"/>
    <s v="Brock Bowers"/>
    <x v="198"/>
    <n v="2024"/>
  </r>
  <r>
    <x v="5"/>
    <s v="Burnett/Jasjaap"/>
    <n v="5"/>
    <x v="5"/>
    <s v="Austin Seibert"/>
    <x v="8"/>
    <n v="2024"/>
  </r>
  <r>
    <x v="5"/>
    <s v="Burnett/Jasjaap"/>
    <n v="5"/>
    <x v="4"/>
    <s v="Pittsburgh"/>
    <x v="76"/>
    <n v="2024"/>
  </r>
  <r>
    <x v="5"/>
    <s v="Burnett/Jasjaap"/>
    <n v="5"/>
    <x v="6"/>
    <s v="Jaylen Waddle"/>
    <x v="249"/>
    <n v="2024"/>
  </r>
  <r>
    <x v="6"/>
    <s v="Will"/>
    <n v="5"/>
    <x v="0"/>
    <s v="Geno Smith"/>
    <x v="250"/>
    <n v="2024"/>
  </r>
  <r>
    <x v="6"/>
    <s v="Will"/>
    <n v="5"/>
    <x v="1"/>
    <s v="Drake London"/>
    <x v="251"/>
    <n v="2024"/>
  </r>
  <r>
    <x v="6"/>
    <s v="Will"/>
    <n v="5"/>
    <x v="1"/>
    <s v="Jaxon Smith-Njigba"/>
    <x v="43"/>
    <n v="2024"/>
  </r>
  <r>
    <x v="6"/>
    <s v="Will"/>
    <n v="5"/>
    <x v="1"/>
    <s v="Keon Coleman"/>
    <x v="46"/>
    <n v="2024"/>
  </r>
  <r>
    <x v="6"/>
    <s v="Will"/>
    <n v="5"/>
    <x v="2"/>
    <s v="Travis Etienne"/>
    <x v="24"/>
    <n v="2024"/>
  </r>
  <r>
    <x v="6"/>
    <s v="Will"/>
    <n v="5"/>
    <x v="2"/>
    <s v="Austin Ekeler"/>
    <x v="252"/>
    <n v="2024"/>
  </r>
  <r>
    <x v="6"/>
    <s v="Will"/>
    <n v="5"/>
    <x v="3"/>
    <s v="Travis Kelce"/>
    <x v="253"/>
    <n v="2024"/>
  </r>
  <r>
    <x v="6"/>
    <s v="Will"/>
    <n v="5"/>
    <x v="5"/>
    <s v="Jason Myers"/>
    <x v="24"/>
    <n v="2024"/>
  </r>
  <r>
    <x v="6"/>
    <s v="Will"/>
    <n v="5"/>
    <x v="4"/>
    <s v="Houston"/>
    <x v="7"/>
    <n v="2024"/>
  </r>
  <r>
    <x v="6"/>
    <s v="Will"/>
    <n v="5"/>
    <x v="7"/>
    <s v="Zach Charbonet"/>
    <x v="254"/>
    <n v="2024"/>
  </r>
  <r>
    <x v="8"/>
    <s v="Schulwolf"/>
    <n v="5"/>
    <x v="0"/>
    <s v="Jayden Daniels"/>
    <x v="255"/>
    <n v="2024"/>
  </r>
  <r>
    <x v="8"/>
    <s v="Schulwolf"/>
    <n v="5"/>
    <x v="1"/>
    <s v="Terry McLaurin"/>
    <x v="46"/>
    <n v="2024"/>
  </r>
  <r>
    <x v="8"/>
    <s v="Schulwolf"/>
    <n v="5"/>
    <x v="1"/>
    <s v="Chris Godwin"/>
    <x v="74"/>
    <n v="2024"/>
  </r>
  <r>
    <x v="8"/>
    <s v="Schulwolf"/>
    <n v="5"/>
    <x v="1"/>
    <s v="Tyler Lockett"/>
    <x v="239"/>
    <n v="2024"/>
  </r>
  <r>
    <x v="8"/>
    <s v="Schulwolf"/>
    <n v="5"/>
    <x v="2"/>
    <s v="James Cook"/>
    <x v="114"/>
    <n v="2024"/>
  </r>
  <r>
    <x v="8"/>
    <s v="Schulwolf"/>
    <n v="5"/>
    <x v="2"/>
    <s v="Zack Moss"/>
    <x v="184"/>
    <n v="2024"/>
  </r>
  <r>
    <x v="8"/>
    <s v="Schulwolf"/>
    <n v="5"/>
    <x v="3"/>
    <s v="Dalton Kincaid"/>
    <x v="75"/>
    <n v="2024"/>
  </r>
  <r>
    <x v="8"/>
    <s v="Schulwolf"/>
    <n v="5"/>
    <x v="5"/>
    <s v="Brandon Aubrey"/>
    <x v="24"/>
    <n v="2024"/>
  </r>
  <r>
    <x v="8"/>
    <s v="Schulwolf"/>
    <n v="5"/>
    <x v="4"/>
    <s v="Denver"/>
    <x v="63"/>
    <n v="2024"/>
  </r>
  <r>
    <x v="8"/>
    <s v="Schulwolf"/>
    <n v="5"/>
    <x v="6"/>
    <s v="Jerry Jeudy"/>
    <x v="28"/>
    <n v="2024"/>
  </r>
  <r>
    <x v="1"/>
    <s v="Todd"/>
    <n v="5"/>
    <x v="0"/>
    <s v="Sam Darnold"/>
    <x v="256"/>
    <n v="2024"/>
  </r>
  <r>
    <x v="1"/>
    <s v="Todd"/>
    <n v="5"/>
    <x v="1"/>
    <s v="Brian Thomas Jr"/>
    <x v="238"/>
    <n v="2024"/>
  </r>
  <r>
    <x v="1"/>
    <s v="Todd"/>
    <n v="5"/>
    <x v="1"/>
    <s v="Darnell Mooney"/>
    <x v="131"/>
    <n v="2024"/>
  </r>
  <r>
    <x v="1"/>
    <s v="Todd"/>
    <n v="5"/>
    <x v="1"/>
    <s v="Diontae Johnson"/>
    <x v="75"/>
    <n v="2024"/>
  </r>
  <r>
    <x v="1"/>
    <s v="Todd"/>
    <n v="5"/>
    <x v="2"/>
    <s v="James Conner"/>
    <x v="49"/>
    <n v="2024"/>
  </r>
  <r>
    <x v="1"/>
    <s v="Todd"/>
    <n v="5"/>
    <x v="2"/>
    <s v="De'Von Achane"/>
    <x v="37"/>
    <n v="2024"/>
  </r>
  <r>
    <x v="1"/>
    <s v="Todd"/>
    <n v="5"/>
    <x v="3"/>
    <s v="Tucker Kraft"/>
    <x v="257"/>
    <n v="2024"/>
  </r>
  <r>
    <x v="1"/>
    <s v="Todd"/>
    <n v="5"/>
    <x v="5"/>
    <s v="Chris Boswell"/>
    <x v="25"/>
    <n v="2024"/>
  </r>
  <r>
    <x v="1"/>
    <s v="Todd"/>
    <n v="5"/>
    <x v="4"/>
    <s v="Green Bay"/>
    <x v="122"/>
    <n v="2024"/>
  </r>
  <r>
    <x v="1"/>
    <s v="Todd"/>
    <n v="5"/>
    <x v="6"/>
    <s v="Deebo Samuel"/>
    <x v="52"/>
    <n v="2024"/>
  </r>
  <r>
    <x v="9"/>
    <s v="Tommy"/>
    <n v="5"/>
    <x v="0"/>
    <s v="Josh Allen"/>
    <x v="17"/>
    <n v="2024"/>
  </r>
  <r>
    <x v="9"/>
    <s v="Tommy"/>
    <n v="5"/>
    <x v="1"/>
    <s v="Xavier Worthy"/>
    <x v="204"/>
    <n v="2024"/>
  </r>
  <r>
    <x v="9"/>
    <s v="Tommy"/>
    <n v="5"/>
    <x v="1"/>
    <s v="Allen Lazard"/>
    <x v="46"/>
    <n v="2024"/>
  </r>
  <r>
    <x v="9"/>
    <s v="Tommy"/>
    <n v="5"/>
    <x v="1"/>
    <s v="Michael Wilson"/>
    <x v="204"/>
    <n v="2024"/>
  </r>
  <r>
    <x v="9"/>
    <s v="Tommy"/>
    <n v="5"/>
    <x v="2"/>
    <s v="Kyren Williams"/>
    <x v="63"/>
    <n v="2024"/>
  </r>
  <r>
    <x v="9"/>
    <s v="Tommy"/>
    <n v="5"/>
    <x v="2"/>
    <s v="Rachaad White"/>
    <x v="3"/>
    <n v="2024"/>
  </r>
  <r>
    <x v="9"/>
    <s v="Tommy"/>
    <n v="5"/>
    <x v="3"/>
    <s v="Cade Otton"/>
    <x v="178"/>
    <n v="2024"/>
  </r>
  <r>
    <x v="9"/>
    <s v="Tommy"/>
    <n v="5"/>
    <x v="5"/>
    <s v="Harrison Butker"/>
    <x v="100"/>
    <n v="2024"/>
  </r>
  <r>
    <x v="9"/>
    <s v="Tommy"/>
    <n v="5"/>
    <x v="4"/>
    <s v="Minnesota"/>
    <x v="62"/>
    <n v="2024"/>
  </r>
  <r>
    <x v="9"/>
    <s v="Tommy"/>
    <n v="5"/>
    <x v="6"/>
    <s v="DK Metcalf"/>
    <x v="6"/>
    <n v="2024"/>
  </r>
  <r>
    <x v="7"/>
    <s v="Jay"/>
    <n v="5"/>
    <x v="0"/>
    <s v="Lamar Jackson"/>
    <x v="258"/>
    <n v="2024"/>
  </r>
  <r>
    <x v="7"/>
    <s v="Jay"/>
    <n v="5"/>
    <x v="1"/>
    <s v="Stefon Diggs"/>
    <x v="174"/>
    <n v="2024"/>
  </r>
  <r>
    <x v="7"/>
    <s v="Jay"/>
    <n v="5"/>
    <x v="1"/>
    <s v="Amari Cooper"/>
    <x v="32"/>
    <n v="2024"/>
  </r>
  <r>
    <x v="7"/>
    <s v="Jay"/>
    <n v="5"/>
    <x v="1"/>
    <s v="Jauan Jennings"/>
    <x v="213"/>
    <n v="2024"/>
  </r>
  <r>
    <x v="7"/>
    <s v="Jay"/>
    <n v="5"/>
    <x v="2"/>
    <s v="Trey Sermon"/>
    <x v="259"/>
    <n v="2024"/>
  </r>
  <r>
    <x v="7"/>
    <s v="Jay"/>
    <n v="5"/>
    <x v="2"/>
    <s v="Brian Robinson"/>
    <x v="12"/>
    <n v="2024"/>
  </r>
  <r>
    <x v="7"/>
    <s v="Jay"/>
    <n v="5"/>
    <x v="3"/>
    <s v="Tyler Conklin"/>
    <x v="157"/>
    <n v="2024"/>
  </r>
  <r>
    <x v="7"/>
    <s v="Jay"/>
    <n v="5"/>
    <x v="5"/>
    <s v="Ka'imi Fairbairn"/>
    <x v="101"/>
    <n v="2024"/>
  </r>
  <r>
    <x v="7"/>
    <s v="Jay"/>
    <n v="5"/>
    <x v="4"/>
    <s v="Miami"/>
    <x v="76"/>
    <n v="2024"/>
  </r>
  <r>
    <x v="7"/>
    <s v="Jay"/>
    <n v="5"/>
    <x v="7"/>
    <s v="Alvin Kamara"/>
    <x v="260"/>
    <n v="2024"/>
  </r>
  <r>
    <x v="3"/>
    <s v="Kevin"/>
    <n v="5"/>
    <x v="0"/>
    <s v="CJ Stroud"/>
    <x v="237"/>
    <n v="2024"/>
  </r>
  <r>
    <x v="3"/>
    <s v="Kevin"/>
    <n v="5"/>
    <x v="1"/>
    <s v="Jordan Addison"/>
    <x v="82"/>
    <n v="2024"/>
  </r>
  <r>
    <x v="3"/>
    <s v="Kevin"/>
    <n v="5"/>
    <x v="1"/>
    <s v="Marvin Harrison Jr"/>
    <x v="163"/>
    <n v="2024"/>
  </r>
  <r>
    <x v="3"/>
    <s v="Kevin"/>
    <n v="5"/>
    <x v="1"/>
    <s v="George Pickens"/>
    <x v="86"/>
    <n v="2024"/>
  </r>
  <r>
    <x v="3"/>
    <s v="Kevin"/>
    <n v="5"/>
    <x v="2"/>
    <s v="Chuba Hubbard"/>
    <x v="261"/>
    <n v="2024"/>
  </r>
  <r>
    <x v="3"/>
    <s v="Kevin"/>
    <n v="5"/>
    <x v="2"/>
    <s v="Najee Harris"/>
    <x v="161"/>
    <n v="2024"/>
  </r>
  <r>
    <x v="3"/>
    <s v="Kevin"/>
    <n v="5"/>
    <x v="3"/>
    <s v="Hunter Henry"/>
    <x v="91"/>
    <n v="2024"/>
  </r>
  <r>
    <x v="3"/>
    <s v="Kevin"/>
    <n v="5"/>
    <x v="5"/>
    <s v="Justin Tucker"/>
    <x v="49"/>
    <n v="2024"/>
  </r>
  <r>
    <x v="3"/>
    <s v="Kevin"/>
    <n v="5"/>
    <x v="4"/>
    <s v="Seattle"/>
    <x v="76"/>
    <n v="2024"/>
  </r>
  <r>
    <x v="3"/>
    <s v="Kevin"/>
    <n v="5"/>
    <x v="6"/>
    <s v="Chris Olave"/>
    <x v="139"/>
    <n v="2024"/>
  </r>
  <r>
    <x v="0"/>
    <s v="Brenton"/>
    <n v="6"/>
    <x v="0"/>
    <s v="Daniel Jones"/>
    <x v="69"/>
    <n v="2024"/>
  </r>
  <r>
    <x v="0"/>
    <s v="Brenton"/>
    <n v="6"/>
    <x v="1"/>
    <s v="Jayden Reed"/>
    <x v="69"/>
    <n v="2024"/>
  </r>
  <r>
    <x v="0"/>
    <s v="Brenton"/>
    <n v="6"/>
    <x v="1"/>
    <s v="Courtland Sutton"/>
    <x v="120"/>
    <n v="2024"/>
  </r>
  <r>
    <x v="0"/>
    <s v="Brenton"/>
    <n v="6"/>
    <x v="1"/>
    <s v="Zay Flowers"/>
    <x v="81"/>
    <n v="2024"/>
  </r>
  <r>
    <x v="0"/>
    <s v="Brenton"/>
    <n v="6"/>
    <x v="2"/>
    <s v="Javonte Williams"/>
    <x v="115"/>
    <n v="2024"/>
  </r>
  <r>
    <x v="0"/>
    <s v="Brenton"/>
    <n v="6"/>
    <x v="2"/>
    <s v="Tank Bigsby"/>
    <x v="61"/>
    <n v="2024"/>
  </r>
  <r>
    <x v="0"/>
    <s v="Brenton"/>
    <n v="6"/>
    <x v="3"/>
    <s v="Trey McBride"/>
    <x v="38"/>
    <n v="2024"/>
  </r>
  <r>
    <x v="0"/>
    <s v="Brenton"/>
    <n v="6"/>
    <x v="5"/>
    <s v="Jake Elliott"/>
    <x v="8"/>
    <n v="2024"/>
  </r>
  <r>
    <x v="0"/>
    <s v="Brenton"/>
    <n v="6"/>
    <x v="4"/>
    <s v="Atlanta"/>
    <x v="16"/>
    <n v="2024"/>
  </r>
  <r>
    <x v="0"/>
    <s v="Brenton"/>
    <n v="6"/>
    <x v="6"/>
    <s v="Dontayvion Wicks"/>
    <x v="171"/>
    <n v="2024"/>
  </r>
  <r>
    <x v="11"/>
    <s v="Cam"/>
    <n v="6"/>
    <x v="0"/>
    <s v="Joe Burrow"/>
    <x v="262"/>
    <n v="2024"/>
  </r>
  <r>
    <x v="11"/>
    <s v="Cam"/>
    <n v="6"/>
    <x v="1"/>
    <s v="Josh Downs"/>
    <x v="101"/>
    <n v="2024"/>
  </r>
  <r>
    <x v="11"/>
    <s v="Cam"/>
    <n v="6"/>
    <x v="1"/>
    <s v="Ja'Marr Chase"/>
    <x v="218"/>
    <n v="2024"/>
  </r>
  <r>
    <x v="11"/>
    <s v="Cam"/>
    <n v="6"/>
    <x v="1"/>
    <s v="Wan'Dale Robinson"/>
    <x v="36"/>
    <n v="2024"/>
  </r>
  <r>
    <x v="11"/>
    <s v="Cam"/>
    <n v="6"/>
    <x v="2"/>
    <s v="D'Andre Swift"/>
    <x v="263"/>
    <n v="2024"/>
  </r>
  <r>
    <x v="11"/>
    <s v="Cam"/>
    <n v="6"/>
    <x v="2"/>
    <s v="JK Dobbins"/>
    <x v="264"/>
    <n v="2024"/>
  </r>
  <r>
    <x v="11"/>
    <s v="Cam"/>
    <n v="6"/>
    <x v="3"/>
    <s v="George Kittle"/>
    <x v="265"/>
    <n v="2024"/>
  </r>
  <r>
    <x v="11"/>
    <s v="Cam"/>
    <n v="6"/>
    <x v="5"/>
    <s v="Evan McPherson"/>
    <x v="103"/>
    <n v="2024"/>
  </r>
  <r>
    <x v="11"/>
    <s v="Cam"/>
    <n v="6"/>
    <x v="4"/>
    <s v="Chicago"/>
    <x v="8"/>
    <n v="2024"/>
  </r>
  <r>
    <x v="11"/>
    <s v="Cam"/>
    <n v="6"/>
    <x v="6"/>
    <s v="Brandon Aiyuk"/>
    <x v="15"/>
    <n v="2024"/>
  </r>
  <r>
    <x v="2"/>
    <s v="Mike"/>
    <n v="6"/>
    <x v="0"/>
    <s v="Justin Fields"/>
    <x v="142"/>
    <n v="2024"/>
  </r>
  <r>
    <x v="2"/>
    <s v="Mike"/>
    <n v="6"/>
    <x v="1"/>
    <s v="Tank Dell"/>
    <x v="228"/>
    <n v="2024"/>
  </r>
  <r>
    <x v="2"/>
    <s v="Mike"/>
    <n v="6"/>
    <x v="1"/>
    <s v="Mike Evans"/>
    <x v="75"/>
    <n v="2024"/>
  </r>
  <r>
    <x v="2"/>
    <s v="Mike"/>
    <n v="6"/>
    <x v="1"/>
    <s v="Ray-Ray McCloud"/>
    <x v="5"/>
    <n v="2024"/>
  </r>
  <r>
    <x v="2"/>
    <s v="Mike"/>
    <n v="6"/>
    <x v="2"/>
    <s v="Derrick Henry"/>
    <x v="266"/>
    <n v="2024"/>
  </r>
  <r>
    <x v="2"/>
    <s v="Mike"/>
    <n v="6"/>
    <x v="2"/>
    <s v="Chase Brown"/>
    <x v="267"/>
    <n v="2024"/>
  </r>
  <r>
    <x v="2"/>
    <s v="Mike"/>
    <n v="6"/>
    <x v="3"/>
    <s v="Sam LaPorta"/>
    <x v="20"/>
    <n v="2024"/>
  </r>
  <r>
    <x v="2"/>
    <s v="Mike"/>
    <n v="6"/>
    <x v="5"/>
    <s v="Younghoe Koo"/>
    <x v="122"/>
    <n v="2024"/>
  </r>
  <r>
    <x v="2"/>
    <s v="Mike"/>
    <n v="6"/>
    <x v="4"/>
    <s v="Buffalo"/>
    <x v="103"/>
    <n v="2024"/>
  </r>
  <r>
    <x v="2"/>
    <s v="Mike"/>
    <n v="6"/>
    <x v="8"/>
    <s v="Jake Ferguson"/>
    <x v="59"/>
    <n v="2024"/>
  </r>
  <r>
    <x v="9"/>
    <s v="Tommy"/>
    <n v="6"/>
    <x v="0"/>
    <s v="Josh Allen"/>
    <x v="268"/>
    <n v="2024"/>
  </r>
  <r>
    <x v="9"/>
    <s v="Tommy"/>
    <n v="6"/>
    <x v="1"/>
    <s v="Allen Lazard"/>
    <x v="10"/>
    <n v="2024"/>
  </r>
  <r>
    <x v="9"/>
    <s v="Tommy"/>
    <n v="6"/>
    <x v="1"/>
    <s v="Romeo Doubs"/>
    <x v="194"/>
    <n v="2024"/>
  </r>
  <r>
    <x v="9"/>
    <s v="Tommy"/>
    <n v="6"/>
    <x v="1"/>
    <s v="Michael Wilson"/>
    <x v="74"/>
    <n v="2024"/>
  </r>
  <r>
    <x v="9"/>
    <s v="Tommy"/>
    <n v="6"/>
    <x v="2"/>
    <s v="Alexander Mattison"/>
    <x v="63"/>
    <n v="2024"/>
  </r>
  <r>
    <x v="9"/>
    <s v="Tommy"/>
    <n v="6"/>
    <x v="2"/>
    <s v="Saquon Barkley"/>
    <x v="39"/>
    <n v="2024"/>
  </r>
  <r>
    <x v="9"/>
    <s v="Tommy"/>
    <n v="6"/>
    <x v="3"/>
    <s v="Cade Otton"/>
    <x v="157"/>
    <n v="2024"/>
  </r>
  <r>
    <x v="9"/>
    <s v="Tommy"/>
    <n v="6"/>
    <x v="5"/>
    <s v="Chase McLaughlin"/>
    <x v="24"/>
    <n v="2024"/>
  </r>
  <r>
    <x v="9"/>
    <s v="Tommy"/>
    <n v="6"/>
    <x v="4"/>
    <s v="San Francisco"/>
    <x v="25"/>
    <n v="2024"/>
  </r>
  <r>
    <x v="9"/>
    <s v="Tommy"/>
    <n v="6"/>
    <x v="6"/>
    <s v="DK Metcalf"/>
    <x v="149"/>
    <n v="2024"/>
  </r>
  <r>
    <x v="1"/>
    <s v="Todd"/>
    <n v="6"/>
    <x v="0"/>
    <s v="Dak Prescott"/>
    <x v="269"/>
    <n v="2024"/>
  </r>
  <r>
    <x v="1"/>
    <s v="Todd"/>
    <n v="6"/>
    <x v="1"/>
    <s v="Deebo Samuel"/>
    <x v="270"/>
    <n v="2024"/>
  </r>
  <r>
    <x v="1"/>
    <s v="Todd"/>
    <n v="6"/>
    <x v="1"/>
    <s v="AJ Brown"/>
    <x v="19"/>
    <n v="2024"/>
  </r>
  <r>
    <x v="1"/>
    <s v="Todd"/>
    <n v="6"/>
    <x v="1"/>
    <s v="Darnell Mooney"/>
    <x v="128"/>
    <n v="2024"/>
  </r>
  <r>
    <x v="1"/>
    <s v="Todd"/>
    <n v="6"/>
    <x v="2"/>
    <s v="James Conner"/>
    <x v="163"/>
    <n v="2024"/>
  </r>
  <r>
    <x v="1"/>
    <s v="Todd"/>
    <n v="6"/>
    <x v="2"/>
    <s v="Braelon Allen"/>
    <x v="271"/>
    <n v="2024"/>
  </r>
  <r>
    <x v="1"/>
    <s v="Todd"/>
    <n v="6"/>
    <x v="3"/>
    <s v="Tucker Kraft"/>
    <x v="52"/>
    <n v="2024"/>
  </r>
  <r>
    <x v="1"/>
    <s v="Todd"/>
    <n v="6"/>
    <x v="5"/>
    <s v="Chris Boswell"/>
    <x v="62"/>
    <n v="2024"/>
  </r>
  <r>
    <x v="1"/>
    <s v="Todd"/>
    <n v="6"/>
    <x v="4"/>
    <s v="Green Bay"/>
    <x v="24"/>
    <n v="2024"/>
  </r>
  <r>
    <x v="1"/>
    <s v="Todd"/>
    <n v="6"/>
    <x v="6"/>
    <s v="Brian Thomas Jr"/>
    <x v="91"/>
    <n v="2024"/>
  </r>
  <r>
    <x v="8"/>
    <s v="Schulwolf"/>
    <n v="6"/>
    <x v="0"/>
    <s v="Jayden Daniels"/>
    <x v="272"/>
    <n v="2024"/>
  </r>
  <r>
    <x v="8"/>
    <s v="Schulwolf"/>
    <n v="6"/>
    <x v="1"/>
    <s v="Terry McLaurin"/>
    <x v="265"/>
    <n v="2024"/>
  </r>
  <r>
    <x v="8"/>
    <s v="Schulwolf"/>
    <n v="6"/>
    <x v="1"/>
    <s v="Chris Godwin"/>
    <x v="273"/>
    <n v="2024"/>
  </r>
  <r>
    <x v="8"/>
    <s v="Schulwolf"/>
    <n v="6"/>
    <x v="1"/>
    <s v="DeVonta Smith"/>
    <x v="35"/>
    <n v="2024"/>
  </r>
  <r>
    <x v="8"/>
    <s v="Schulwolf"/>
    <n v="6"/>
    <x v="2"/>
    <s v="Jahmyr Gibbs"/>
    <x v="21"/>
    <n v="2024"/>
  </r>
  <r>
    <x v="8"/>
    <s v="Schulwolf"/>
    <n v="6"/>
    <x v="2"/>
    <s v="Ty Johnson"/>
    <x v="232"/>
    <n v="2024"/>
  </r>
  <r>
    <x v="8"/>
    <s v="Schulwolf"/>
    <n v="6"/>
    <x v="3"/>
    <s v="Dalton Kincaid"/>
    <x v="3"/>
    <n v="2024"/>
  </r>
  <r>
    <x v="8"/>
    <s v="Schulwolf"/>
    <n v="6"/>
    <x v="5"/>
    <s v="Brandon Aubrey"/>
    <x v="122"/>
    <n v="2024"/>
  </r>
  <r>
    <x v="8"/>
    <s v="Schulwolf"/>
    <n v="6"/>
    <x v="4"/>
    <s v="Denver"/>
    <x v="139"/>
    <n v="2024"/>
  </r>
  <r>
    <x v="8"/>
    <s v="Schulwolf"/>
    <n v="6"/>
    <x v="7"/>
    <s v="Zack Moss"/>
    <x v="146"/>
    <n v="2024"/>
  </r>
  <r>
    <x v="4"/>
    <s v="Eli"/>
    <n v="6"/>
    <x v="0"/>
    <s v="Jalen Hurts"/>
    <x v="274"/>
    <n v="2024"/>
  </r>
  <r>
    <x v="4"/>
    <s v="Eli"/>
    <n v="6"/>
    <x v="1"/>
    <s v="Jalen Tolbert"/>
    <x v="149"/>
    <n v="2024"/>
  </r>
  <r>
    <x v="4"/>
    <s v="Eli"/>
    <n v="6"/>
    <x v="1"/>
    <s v="DJ Moore"/>
    <x v="16"/>
    <n v="2024"/>
  </r>
  <r>
    <x v="4"/>
    <s v="Eli"/>
    <n v="6"/>
    <x v="1"/>
    <s v="Rome Odunze"/>
    <x v="103"/>
    <n v="2024"/>
  </r>
  <r>
    <x v="4"/>
    <s v="Eli"/>
    <n v="6"/>
    <x v="2"/>
    <s v="Bijan Robinson"/>
    <x v="275"/>
    <n v="2024"/>
  </r>
  <r>
    <x v="4"/>
    <s v="Eli"/>
    <n v="6"/>
    <x v="2"/>
    <s v="Jordan Mason"/>
    <x v="161"/>
    <n v="2024"/>
  </r>
  <r>
    <x v="4"/>
    <s v="Eli"/>
    <n v="6"/>
    <x v="3"/>
    <s v="Kyle Pitts"/>
    <x v="157"/>
    <n v="2024"/>
  </r>
  <r>
    <x v="4"/>
    <s v="Eli"/>
    <n v="6"/>
    <x v="5"/>
    <s v="Brayden Narveson"/>
    <x v="8"/>
    <n v="2024"/>
  </r>
  <r>
    <x v="4"/>
    <s v="Eli"/>
    <n v="6"/>
    <x v="4"/>
    <s v="NYJ"/>
    <x v="78"/>
    <n v="2024"/>
  </r>
  <r>
    <x v="4"/>
    <s v="Eli"/>
    <n v="6"/>
    <x v="7"/>
    <s v="Tyjae Spears"/>
    <x v="276"/>
    <n v="2024"/>
  </r>
  <r>
    <x v="7"/>
    <s v="Jay"/>
    <n v="6"/>
    <x v="0"/>
    <s v="Lamar Jackson"/>
    <x v="277"/>
    <n v="2024"/>
  </r>
  <r>
    <x v="7"/>
    <s v="Jay"/>
    <n v="6"/>
    <x v="1"/>
    <s v="Stefon Diggs"/>
    <x v="186"/>
    <n v="2024"/>
  </r>
  <r>
    <x v="7"/>
    <s v="Jay"/>
    <n v="6"/>
    <x v="1"/>
    <s v="Amari Cooper"/>
    <x v="45"/>
    <n v="2024"/>
  </r>
  <r>
    <x v="7"/>
    <s v="Jay"/>
    <n v="6"/>
    <x v="1"/>
    <s v="Jauan Jennings"/>
    <x v="91"/>
    <n v="2024"/>
  </r>
  <r>
    <x v="7"/>
    <s v="Jay"/>
    <n v="6"/>
    <x v="2"/>
    <s v="Tony Pollard"/>
    <x v="190"/>
    <n v="2024"/>
  </r>
  <r>
    <x v="7"/>
    <s v="Jay"/>
    <n v="6"/>
    <x v="2"/>
    <s v="Alvin Kamara"/>
    <x v="134"/>
    <n v="2024"/>
  </r>
  <r>
    <x v="7"/>
    <s v="Jay"/>
    <n v="6"/>
    <x v="3"/>
    <s v="Evan Engram"/>
    <x v="145"/>
    <n v="2024"/>
  </r>
  <r>
    <x v="7"/>
    <s v="Jay"/>
    <n v="6"/>
    <x v="5"/>
    <s v="Ka'imi Fairbairn"/>
    <x v="138"/>
    <n v="2024"/>
  </r>
  <r>
    <x v="7"/>
    <s v="Jay"/>
    <n v="6"/>
    <x v="4"/>
    <s v="LA Chargers"/>
    <x v="25"/>
    <n v="2024"/>
  </r>
  <r>
    <x v="7"/>
    <s v="Jay"/>
    <n v="6"/>
    <x v="7"/>
    <s v="Trey Sermon"/>
    <x v="278"/>
    <n v="2024"/>
  </r>
  <r>
    <x v="6"/>
    <s v="Will"/>
    <n v="6"/>
    <x v="0"/>
    <s v="Geno Smith"/>
    <x v="279"/>
    <n v="2024"/>
  </r>
  <r>
    <x v="6"/>
    <s v="Will"/>
    <n v="6"/>
    <x v="1"/>
    <s v="Drake London"/>
    <x v="64"/>
    <n v="2024"/>
  </r>
  <r>
    <x v="6"/>
    <s v="Will"/>
    <n v="6"/>
    <x v="1"/>
    <s v="Amon-Ra St. Brown"/>
    <x v="20"/>
    <n v="2024"/>
  </r>
  <r>
    <x v="6"/>
    <s v="Will"/>
    <n v="6"/>
    <x v="1"/>
    <s v="Jaxon Smith-Njigba"/>
    <x v="280"/>
    <n v="2024"/>
  </r>
  <r>
    <x v="6"/>
    <s v="Will"/>
    <n v="6"/>
    <x v="2"/>
    <s v="Austin Ekeler"/>
    <x v="48"/>
    <n v="2024"/>
  </r>
  <r>
    <x v="6"/>
    <s v="Will"/>
    <n v="6"/>
    <x v="2"/>
    <s v="Travis Etienne"/>
    <x v="281"/>
    <n v="2024"/>
  </r>
  <r>
    <x v="6"/>
    <s v="Will"/>
    <n v="6"/>
    <x v="3"/>
    <s v="Isaiah Likely"/>
    <x v="206"/>
    <n v="2024"/>
  </r>
  <r>
    <x v="6"/>
    <s v="Will"/>
    <n v="6"/>
    <x v="5"/>
    <s v="Jason Myers"/>
    <x v="25"/>
    <n v="2024"/>
  </r>
  <r>
    <x v="6"/>
    <s v="Will"/>
    <n v="6"/>
    <x v="4"/>
    <s v="Houston"/>
    <x v="49"/>
    <n v="2024"/>
  </r>
  <r>
    <x v="6"/>
    <s v="Will"/>
    <n v="6"/>
    <x v="6"/>
    <s v="Ladd McConkey"/>
    <x v="149"/>
    <n v="2024"/>
  </r>
  <r>
    <x v="10"/>
    <s v="Brand"/>
    <n v="6"/>
    <x v="0"/>
    <s v="Kirk Cousins"/>
    <x v="224"/>
    <n v="2024"/>
  </r>
  <r>
    <x v="10"/>
    <s v="Brand"/>
    <n v="6"/>
    <x v="1"/>
    <s v="Garrett Wilson"/>
    <x v="238"/>
    <n v="2024"/>
  </r>
  <r>
    <x v="10"/>
    <s v="Brand"/>
    <n v="6"/>
    <x v="1"/>
    <s v="Jameson Williams"/>
    <x v="11"/>
    <n v="2024"/>
  </r>
  <r>
    <x v="10"/>
    <s v="Brand"/>
    <n v="6"/>
    <x v="1"/>
    <s v="Michael Pittman"/>
    <x v="138"/>
    <n v="2024"/>
  </r>
  <r>
    <x v="10"/>
    <s v="Brand"/>
    <n v="6"/>
    <x v="2"/>
    <s v="Breece Hall"/>
    <x v="212"/>
    <n v="2024"/>
  </r>
  <r>
    <x v="10"/>
    <s v="Brand"/>
    <n v="6"/>
    <x v="2"/>
    <s v="Bucky Irving"/>
    <x v="217"/>
    <n v="2024"/>
  </r>
  <r>
    <x v="10"/>
    <s v="Brand"/>
    <n v="6"/>
    <x v="3"/>
    <s v="Dallas Goedert"/>
    <x v="146"/>
    <n v="2024"/>
  </r>
  <r>
    <x v="10"/>
    <s v="Brand"/>
    <n v="6"/>
    <x v="5"/>
    <s v="Cairo Santos"/>
    <x v="16"/>
    <n v="2024"/>
  </r>
  <r>
    <x v="10"/>
    <s v="Brand"/>
    <n v="6"/>
    <x v="4"/>
    <s v="Indianapolis"/>
    <x v="16"/>
    <n v="2024"/>
  </r>
  <r>
    <x v="10"/>
    <s v="Brand"/>
    <n v="6"/>
    <x v="7"/>
    <s v="Kenneth Walker"/>
    <x v="114"/>
    <n v="2024"/>
  </r>
  <r>
    <x v="3"/>
    <s v="Kevin"/>
    <n v="6"/>
    <x v="0"/>
    <s v="CJ Stroud"/>
    <x v="282"/>
    <n v="2024"/>
  </r>
  <r>
    <x v="3"/>
    <s v="Kevin"/>
    <n v="6"/>
    <x v="1"/>
    <s v="DeAndre Hopkins"/>
    <x v="223"/>
    <n v="2024"/>
  </r>
  <r>
    <x v="3"/>
    <s v="Kevin"/>
    <n v="6"/>
    <x v="1"/>
    <s v="George Pickens"/>
    <x v="283"/>
    <n v="2024"/>
  </r>
  <r>
    <x v="3"/>
    <s v="Kevin"/>
    <n v="6"/>
    <x v="1"/>
    <s v="Marvin Harrison Jr"/>
    <x v="146"/>
    <n v="2024"/>
  </r>
  <r>
    <x v="3"/>
    <s v="Kevin"/>
    <n v="6"/>
    <x v="2"/>
    <s v="Najee Harris"/>
    <x v="270"/>
    <n v="2024"/>
  </r>
  <r>
    <x v="3"/>
    <s v="Kevin"/>
    <n v="6"/>
    <x v="2"/>
    <s v="Chuba Hubbard"/>
    <x v="233"/>
    <n v="2024"/>
  </r>
  <r>
    <x v="3"/>
    <s v="Kevin"/>
    <n v="6"/>
    <x v="3"/>
    <s v="Hunter Henry"/>
    <x v="187"/>
    <n v="2024"/>
  </r>
  <r>
    <x v="3"/>
    <s v="Kevin"/>
    <n v="6"/>
    <x v="5"/>
    <s v="Justin Tucker"/>
    <x v="49"/>
    <n v="2024"/>
  </r>
  <r>
    <x v="3"/>
    <s v="Kevin"/>
    <n v="6"/>
    <x v="4"/>
    <s v="Tampa Bay"/>
    <x v="101"/>
    <n v="2024"/>
  </r>
  <r>
    <x v="3"/>
    <s v="Kevin"/>
    <n v="6"/>
    <x v="6"/>
    <s v="Chris Olave"/>
    <x v="284"/>
    <n v="2024"/>
  </r>
  <r>
    <x v="5"/>
    <s v="Burnett/Jasjaap"/>
    <n v="6"/>
    <x v="0"/>
    <s v="Brock Purdy"/>
    <x v="165"/>
    <n v="2024"/>
  </r>
  <r>
    <x v="5"/>
    <s v="Burnett/Jasjaap"/>
    <n v="6"/>
    <x v="1"/>
    <s v="CeeDee Lamb"/>
    <x v="229"/>
    <n v="2024"/>
  </r>
  <r>
    <x v="5"/>
    <s v="Burnett/Jasjaap"/>
    <n v="6"/>
    <x v="1"/>
    <s v="Rashid Shaheed"/>
    <x v="280"/>
    <n v="2024"/>
  </r>
  <r>
    <x v="5"/>
    <s v="Burnett/Jasjaap"/>
    <n v="6"/>
    <x v="1"/>
    <s v="Alec Pierce"/>
    <x v="146"/>
    <n v="2024"/>
  </r>
  <r>
    <x v="5"/>
    <s v="Burnett/Jasjaap"/>
    <n v="6"/>
    <x v="2"/>
    <s v="Josh Jacobs"/>
    <x v="27"/>
    <n v="2024"/>
  </r>
  <r>
    <x v="5"/>
    <s v="Burnett/Jasjaap"/>
    <n v="6"/>
    <x v="2"/>
    <s v="David Montgomery"/>
    <x v="285"/>
    <n v="2024"/>
  </r>
  <r>
    <x v="5"/>
    <s v="Burnett/Jasjaap"/>
    <n v="6"/>
    <x v="3"/>
    <s v="Brock Bowers"/>
    <x v="187"/>
    <n v="2024"/>
  </r>
  <r>
    <x v="5"/>
    <s v="Burnett/Jasjaap"/>
    <n v="6"/>
    <x v="5"/>
    <s v="Austin Seibert"/>
    <x v="63"/>
    <n v="2024"/>
  </r>
  <r>
    <x v="5"/>
    <s v="Burnett/Jasjaap"/>
    <n v="6"/>
    <x v="4"/>
    <s v="Pittsburgh"/>
    <x v="100"/>
    <n v="2024"/>
  </r>
  <r>
    <x v="5"/>
    <s v="Burnett/Jasjaap"/>
    <n v="6"/>
    <x v="7"/>
    <s v="Rico Dowdle"/>
    <x v="32"/>
    <n v="2024"/>
  </r>
  <r>
    <x v="0"/>
    <s v="Brenton"/>
    <n v="7"/>
    <x v="0"/>
    <s v="Baker Mayfield"/>
    <x v="131"/>
    <n v="2024"/>
  </r>
  <r>
    <x v="0"/>
    <s v="Brenton"/>
    <n v="7"/>
    <x v="1"/>
    <s v="Zay Flowers"/>
    <x v="58"/>
    <n v="2024"/>
  </r>
  <r>
    <x v="0"/>
    <s v="Brenton"/>
    <n v="7"/>
    <x v="1"/>
    <s v="DeMario Douglas"/>
    <x v="61"/>
    <n v="2024"/>
  </r>
  <r>
    <x v="0"/>
    <s v="Brenton"/>
    <n v="7"/>
    <x v="1"/>
    <s v="Jayden Reed"/>
    <x v="139"/>
    <n v="2024"/>
  </r>
  <r>
    <x v="0"/>
    <s v="Brenton"/>
    <n v="7"/>
    <x v="2"/>
    <s v="Tank Bigsby"/>
    <x v="286"/>
    <n v="2024"/>
  </r>
  <r>
    <x v="0"/>
    <s v="Brenton"/>
    <n v="7"/>
    <x v="2"/>
    <s v="Tyrone Tracy"/>
    <x v="15"/>
    <n v="2024"/>
  </r>
  <r>
    <x v="0"/>
    <s v="Brenton"/>
    <n v="7"/>
    <x v="3"/>
    <s v="Trey McBride"/>
    <x v="287"/>
    <n v="2024"/>
  </r>
  <r>
    <x v="0"/>
    <s v="Brenton"/>
    <n v="7"/>
    <x v="5"/>
    <s v="Jake Elliott"/>
    <x v="16"/>
    <n v="2024"/>
  </r>
  <r>
    <x v="0"/>
    <s v="Brenton"/>
    <n v="7"/>
    <x v="4"/>
    <s v="Cincinnati"/>
    <x v="100"/>
    <n v="2024"/>
  </r>
  <r>
    <x v="0"/>
    <s v="Brenton"/>
    <n v="7"/>
    <x v="6"/>
    <s v="Tyreek Hill"/>
    <x v="213"/>
    <n v="2024"/>
  </r>
  <r>
    <x v="9"/>
    <s v="Tommy"/>
    <n v="7"/>
    <x v="0"/>
    <s v="Josh Allen"/>
    <x v="288"/>
    <n v="2024"/>
  </r>
  <r>
    <x v="9"/>
    <s v="Tommy"/>
    <n v="7"/>
    <x v="1"/>
    <s v="DK Metcalf"/>
    <x v="81"/>
    <n v="2024"/>
  </r>
  <r>
    <x v="9"/>
    <s v="Tommy"/>
    <n v="7"/>
    <x v="1"/>
    <s v="Allen Lazard"/>
    <x v="280"/>
    <n v="2024"/>
  </r>
  <r>
    <x v="9"/>
    <s v="Tommy"/>
    <n v="7"/>
    <x v="1"/>
    <s v="Malik Nabers"/>
    <x v="289"/>
    <n v="2024"/>
  </r>
  <r>
    <x v="9"/>
    <s v="Tommy"/>
    <n v="7"/>
    <x v="2"/>
    <s v="Saquon Barkley"/>
    <x v="290"/>
    <n v="2024"/>
  </r>
  <r>
    <x v="9"/>
    <s v="Tommy"/>
    <n v="7"/>
    <x v="2"/>
    <s v="Kyren Williams"/>
    <x v="150"/>
    <n v="2024"/>
  </r>
  <r>
    <x v="9"/>
    <s v="Tommy"/>
    <n v="7"/>
    <x v="3"/>
    <s v="Mark Andrews"/>
    <x v="291"/>
    <n v="2024"/>
  </r>
  <r>
    <x v="9"/>
    <s v="Tommy"/>
    <n v="7"/>
    <x v="5"/>
    <s v="Harrison Butker"/>
    <x v="16"/>
    <n v="2024"/>
  </r>
  <r>
    <x v="9"/>
    <s v="Tommy"/>
    <n v="7"/>
    <x v="4"/>
    <s v="Minnesota"/>
    <x v="8"/>
    <n v="2024"/>
  </r>
  <r>
    <x v="9"/>
    <s v="Tommy"/>
    <n v="7"/>
    <x v="6"/>
    <s v="Xavier Worthy"/>
    <x v="132"/>
    <n v="2024"/>
  </r>
  <r>
    <x v="2"/>
    <s v="Mike"/>
    <n v="7"/>
    <x v="0"/>
    <s v="Patrick Mahomes"/>
    <x v="292"/>
    <n v="2024"/>
  </r>
  <r>
    <x v="2"/>
    <s v="Mike"/>
    <n v="7"/>
    <x v="1"/>
    <s v="Mike Evans"/>
    <x v="24"/>
    <n v="2024"/>
  </r>
  <r>
    <x v="2"/>
    <s v="Mike"/>
    <n v="7"/>
    <x v="1"/>
    <s v="Khalil Shakir"/>
    <x v="8"/>
    <n v="2024"/>
  </r>
  <r>
    <x v="2"/>
    <s v="Mike"/>
    <n v="7"/>
    <x v="1"/>
    <s v="Davante Adams"/>
    <x v="254"/>
    <n v="2024"/>
  </r>
  <r>
    <x v="2"/>
    <s v="Mike"/>
    <n v="7"/>
    <x v="2"/>
    <s v="Derrick Henry"/>
    <x v="293"/>
    <n v="2024"/>
  </r>
  <r>
    <x v="2"/>
    <s v="Mike"/>
    <n v="7"/>
    <x v="2"/>
    <s v="Kareem Hunt"/>
    <x v="111"/>
    <n v="2024"/>
  </r>
  <r>
    <x v="2"/>
    <s v="Mike"/>
    <n v="7"/>
    <x v="3"/>
    <s v="Sam LaPorta"/>
    <x v="7"/>
    <n v="2024"/>
  </r>
  <r>
    <x v="2"/>
    <s v="Mike"/>
    <n v="7"/>
    <x v="5"/>
    <s v="Younghoe Koo"/>
    <x v="139"/>
    <n v="2024"/>
  </r>
  <r>
    <x v="2"/>
    <s v="Mike"/>
    <n v="7"/>
    <x v="4"/>
    <s v="Buffalo"/>
    <x v="122"/>
    <n v="2024"/>
  </r>
  <r>
    <x v="2"/>
    <s v="Mike"/>
    <n v="7"/>
    <x v="6"/>
    <s v="Tank Dell"/>
    <x v="146"/>
    <n v="2024"/>
  </r>
  <r>
    <x v="8"/>
    <s v="Schulwolf"/>
    <n v="7"/>
    <x v="0"/>
    <s v="Jayden Daniels"/>
    <x v="231"/>
    <n v="2024"/>
  </r>
  <r>
    <x v="8"/>
    <s v="Schulwolf"/>
    <n v="7"/>
    <x v="1"/>
    <s v="Terry McLaurin"/>
    <x v="233"/>
    <n v="2024"/>
  </r>
  <r>
    <x v="8"/>
    <s v="Schulwolf"/>
    <n v="7"/>
    <x v="1"/>
    <s v="Chris Godwin"/>
    <x v="8"/>
    <n v="2024"/>
  </r>
  <r>
    <x v="8"/>
    <s v="Schulwolf"/>
    <n v="7"/>
    <x v="1"/>
    <s v="Tyler Lockett"/>
    <x v="23"/>
    <n v="2024"/>
  </r>
  <r>
    <x v="8"/>
    <s v="Schulwolf"/>
    <n v="7"/>
    <x v="2"/>
    <s v="Jahmyr Gibbs"/>
    <x v="273"/>
    <n v="2024"/>
  </r>
  <r>
    <x v="8"/>
    <s v="Schulwolf"/>
    <n v="7"/>
    <x v="2"/>
    <s v="James Cook"/>
    <x v="84"/>
    <n v="2024"/>
  </r>
  <r>
    <x v="8"/>
    <s v="Schulwolf"/>
    <n v="7"/>
    <x v="3"/>
    <s v="Dalton Kincaid"/>
    <x v="184"/>
    <n v="2024"/>
  </r>
  <r>
    <x v="8"/>
    <s v="Schulwolf"/>
    <n v="7"/>
    <x v="5"/>
    <s v="Brandon McManus"/>
    <x v="76"/>
    <n v="2024"/>
  </r>
  <r>
    <x v="8"/>
    <s v="Schulwolf"/>
    <n v="7"/>
    <x v="4"/>
    <s v="Denver"/>
    <x v="71"/>
    <n v="2024"/>
  </r>
  <r>
    <x v="8"/>
    <s v="Schulwolf"/>
    <n v="7"/>
    <x v="6"/>
    <s v="DeVonta Smith"/>
    <x v="294"/>
    <n v="2024"/>
  </r>
  <r>
    <x v="1"/>
    <s v="Todd"/>
    <n v="7"/>
    <x v="0"/>
    <s v="Sam Darnold"/>
    <x v="295"/>
    <n v="2024"/>
  </r>
  <r>
    <x v="1"/>
    <s v="Todd"/>
    <n v="7"/>
    <x v="1"/>
    <s v="AJ Brown"/>
    <x v="117"/>
    <n v="2024"/>
  </r>
  <r>
    <x v="1"/>
    <s v="Todd"/>
    <n v="7"/>
    <x v="1"/>
    <s v="Brian Thomas Jr"/>
    <x v="150"/>
    <n v="2024"/>
  </r>
  <r>
    <x v="1"/>
    <s v="Todd"/>
    <n v="7"/>
    <x v="1"/>
    <s v="Diontae Johnson"/>
    <x v="37"/>
    <n v="2024"/>
  </r>
  <r>
    <x v="1"/>
    <s v="Todd"/>
    <n v="7"/>
    <x v="2"/>
    <s v="James Conner"/>
    <x v="11"/>
    <n v="2024"/>
  </r>
  <r>
    <x v="1"/>
    <s v="Todd"/>
    <n v="7"/>
    <x v="2"/>
    <s v="De'Von Achane"/>
    <x v="239"/>
    <n v="2024"/>
  </r>
  <r>
    <x v="1"/>
    <s v="Todd"/>
    <n v="7"/>
    <x v="3"/>
    <s v="Tucker Kraft"/>
    <x v="60"/>
    <n v="2024"/>
  </r>
  <r>
    <x v="1"/>
    <s v="Todd"/>
    <n v="7"/>
    <x v="5"/>
    <s v="Chris Boswell"/>
    <x v="100"/>
    <n v="2024"/>
  </r>
  <r>
    <x v="1"/>
    <s v="Todd"/>
    <n v="7"/>
    <x v="4"/>
    <s v="LA Chargers"/>
    <x v="139"/>
    <n v="2024"/>
  </r>
  <r>
    <x v="1"/>
    <s v="Todd"/>
    <n v="7"/>
    <x v="6"/>
    <s v="Deebo Samuel"/>
    <x v="146"/>
    <n v="2024"/>
  </r>
  <r>
    <x v="10"/>
    <s v="Brand"/>
    <n v="7"/>
    <x v="0"/>
    <s v="Anthony Richardson"/>
    <x v="296"/>
    <n v="2024"/>
  </r>
  <r>
    <x v="10"/>
    <s v="Brand"/>
    <n v="7"/>
    <x v="1"/>
    <s v="Garrett Wilson"/>
    <x v="21"/>
    <n v="2024"/>
  </r>
  <r>
    <x v="10"/>
    <s v="Brand"/>
    <n v="7"/>
    <x v="1"/>
    <s v="Michael Pittman"/>
    <x v="280"/>
    <n v="2024"/>
  </r>
  <r>
    <x v="10"/>
    <s v="Brand"/>
    <n v="7"/>
    <x v="1"/>
    <s v="Jameson Williams"/>
    <x v="297"/>
    <n v="2024"/>
  </r>
  <r>
    <x v="10"/>
    <s v="Brand"/>
    <n v="7"/>
    <x v="2"/>
    <s v="Breece Hall"/>
    <x v="169"/>
    <n v="2024"/>
  </r>
  <r>
    <x v="10"/>
    <s v="Brand"/>
    <n v="7"/>
    <x v="2"/>
    <s v="Kenneth Walker"/>
    <x v="298"/>
    <n v="2024"/>
  </r>
  <r>
    <x v="10"/>
    <s v="Brand"/>
    <n v="7"/>
    <x v="3"/>
    <s v="Colby Parkinson"/>
    <x v="91"/>
    <n v="2024"/>
  </r>
  <r>
    <x v="10"/>
    <s v="Brand"/>
    <n v="7"/>
    <x v="5"/>
    <s v="Cameron Dicker"/>
    <x v="71"/>
    <n v="2024"/>
  </r>
  <r>
    <x v="10"/>
    <s v="Brand"/>
    <n v="7"/>
    <x v="4"/>
    <s v="Indianapolis"/>
    <x v="24"/>
    <n v="2024"/>
  </r>
  <r>
    <x v="10"/>
    <s v="Brand"/>
    <n v="7"/>
    <x v="7"/>
    <s v="Bucky Irving"/>
    <x v="228"/>
    <n v="2024"/>
  </r>
  <r>
    <x v="4"/>
    <s v="Eli"/>
    <n v="7"/>
    <x v="0"/>
    <s v="Jalen Hurts"/>
    <x v="299"/>
    <n v="2024"/>
  </r>
  <r>
    <x v="4"/>
    <s v="Eli"/>
    <n v="7"/>
    <x v="1"/>
    <s v="Justin Jefferson"/>
    <x v="81"/>
    <n v="2024"/>
  </r>
  <r>
    <x v="4"/>
    <s v="Eli"/>
    <n v="7"/>
    <x v="1"/>
    <s v="Tre Tucker"/>
    <x v="45"/>
    <n v="2024"/>
  </r>
  <r>
    <x v="4"/>
    <s v="Eli"/>
    <n v="7"/>
    <x v="1"/>
    <s v="Xavier Legette"/>
    <x v="160"/>
    <n v="2024"/>
  </r>
  <r>
    <x v="4"/>
    <s v="Eli"/>
    <n v="7"/>
    <x v="2"/>
    <s v="Bijan Robinson"/>
    <x v="300"/>
    <n v="2024"/>
  </r>
  <r>
    <x v="4"/>
    <s v="Eli"/>
    <n v="7"/>
    <x v="2"/>
    <s v="Jordan Mason"/>
    <x v="133"/>
    <n v="2024"/>
  </r>
  <r>
    <x v="4"/>
    <s v="Eli"/>
    <n v="7"/>
    <x v="3"/>
    <s v="David Njoku"/>
    <x v="89"/>
    <n v="2024"/>
  </r>
  <r>
    <x v="4"/>
    <s v="Eli"/>
    <n v="7"/>
    <x v="5"/>
    <s v="Tyler Bass"/>
    <x v="8"/>
    <n v="2024"/>
  </r>
  <r>
    <x v="4"/>
    <s v="Eli"/>
    <n v="7"/>
    <x v="4"/>
    <s v="NYJ"/>
    <x v="301"/>
    <n v="2024"/>
  </r>
  <r>
    <x v="4"/>
    <s v="Eli"/>
    <n v="7"/>
    <x v="8"/>
    <s v="Kyle Pitts"/>
    <x v="8"/>
    <n v="2024"/>
  </r>
  <r>
    <x v="3"/>
    <s v="Kevin"/>
    <n v="7"/>
    <x v="0"/>
    <s v="CJ Stroud"/>
    <x v="302"/>
    <n v="2024"/>
  </r>
  <r>
    <x v="3"/>
    <s v="Kevin"/>
    <n v="7"/>
    <x v="1"/>
    <s v="George Pickens"/>
    <x v="150"/>
    <n v="2024"/>
  </r>
  <r>
    <x v="3"/>
    <s v="Kevin"/>
    <n v="7"/>
    <x v="1"/>
    <s v="Jordan Addison"/>
    <x v="3"/>
    <n v="2024"/>
  </r>
  <r>
    <x v="3"/>
    <s v="Kevin"/>
    <n v="7"/>
    <x v="1"/>
    <s v="Marvin Harrison Jr"/>
    <x v="54"/>
    <n v="2024"/>
  </r>
  <r>
    <x v="3"/>
    <s v="Kevin"/>
    <n v="7"/>
    <x v="2"/>
    <s v="Joe Mixon"/>
    <x v="303"/>
    <n v="2024"/>
  </r>
  <r>
    <x v="3"/>
    <s v="Kevin"/>
    <n v="7"/>
    <x v="2"/>
    <s v="Najee Harris"/>
    <x v="11"/>
    <n v="2024"/>
  </r>
  <r>
    <x v="3"/>
    <s v="Kevin"/>
    <n v="7"/>
    <x v="3"/>
    <s v="Hunter Henry"/>
    <x v="145"/>
    <n v="2024"/>
  </r>
  <r>
    <x v="3"/>
    <s v="Kevin"/>
    <n v="7"/>
    <x v="5"/>
    <s v="Justin Tucker"/>
    <x v="49"/>
    <n v="2024"/>
  </r>
  <r>
    <x v="3"/>
    <s v="Kevin"/>
    <n v="7"/>
    <x v="4"/>
    <s v="LA Rams"/>
    <x v="101"/>
    <n v="2024"/>
  </r>
  <r>
    <x v="3"/>
    <s v="Kevin"/>
    <n v="7"/>
    <x v="7"/>
    <s v="Chuba Hubbard"/>
    <x v="174"/>
    <n v="2024"/>
  </r>
  <r>
    <x v="6"/>
    <s v="Will"/>
    <n v="7"/>
    <x v="0"/>
    <s v="Geno Smith"/>
    <x v="227"/>
    <n v="2024"/>
  </r>
  <r>
    <x v="6"/>
    <s v="Will"/>
    <n v="7"/>
    <x v="1"/>
    <s v="Drake London"/>
    <x v="259"/>
    <n v="2024"/>
  </r>
  <r>
    <x v="6"/>
    <s v="Will"/>
    <n v="7"/>
    <x v="1"/>
    <s v="Amon-Ra St. Brown"/>
    <x v="124"/>
    <n v="2024"/>
  </r>
  <r>
    <x v="6"/>
    <s v="Will"/>
    <n v="7"/>
    <x v="1"/>
    <s v="Ladd McConkey"/>
    <x v="108"/>
    <n v="2024"/>
  </r>
  <r>
    <x v="6"/>
    <s v="Will"/>
    <n v="7"/>
    <x v="2"/>
    <s v="Austin Ekeler"/>
    <x v="7"/>
    <n v="2024"/>
  </r>
  <r>
    <x v="6"/>
    <s v="Will"/>
    <n v="7"/>
    <x v="2"/>
    <s v="Zach Charbonet"/>
    <x v="171"/>
    <n v="2024"/>
  </r>
  <r>
    <x v="6"/>
    <s v="Will"/>
    <n v="7"/>
    <x v="3"/>
    <s v="Travis Kelce"/>
    <x v="206"/>
    <n v="2024"/>
  </r>
  <r>
    <x v="6"/>
    <s v="Will"/>
    <n v="7"/>
    <x v="5"/>
    <s v="Jason Myers"/>
    <x v="122"/>
    <n v="2024"/>
  </r>
  <r>
    <x v="6"/>
    <s v="Will"/>
    <n v="7"/>
    <x v="4"/>
    <s v="Houston"/>
    <x v="8"/>
    <n v="2024"/>
  </r>
  <r>
    <x v="6"/>
    <s v="Will"/>
    <n v="7"/>
    <x v="6"/>
    <s v="Jaxon Smith-Njigba"/>
    <x v="154"/>
    <n v="2024"/>
  </r>
  <r>
    <x v="5"/>
    <s v="Burnett/Jasjaap"/>
    <n v="7"/>
    <x v="0"/>
    <s v="Brock Purdy"/>
    <x v="304"/>
    <n v="2024"/>
  </r>
  <r>
    <x v="5"/>
    <s v="Burnett/Jasjaap"/>
    <n v="7"/>
    <x v="1"/>
    <s v="Bub Means"/>
    <x v="22"/>
    <n v="2024"/>
  </r>
  <r>
    <x v="5"/>
    <s v="Burnett/Jasjaap"/>
    <n v="7"/>
    <x v="1"/>
    <s v="Alec Pierce"/>
    <x v="52"/>
    <n v="2024"/>
  </r>
  <r>
    <x v="5"/>
    <s v="Burnett/Jasjaap"/>
    <n v="7"/>
    <x v="1"/>
    <s v="Jaylen Waddle"/>
    <x v="70"/>
    <n v="2024"/>
  </r>
  <r>
    <x v="5"/>
    <s v="Burnett/Jasjaap"/>
    <n v="7"/>
    <x v="2"/>
    <s v="Josh Jacobs"/>
    <x v="119"/>
    <n v="2024"/>
  </r>
  <r>
    <x v="5"/>
    <s v="Burnett/Jasjaap"/>
    <n v="7"/>
    <x v="2"/>
    <s v="David Montgomery"/>
    <x v="23"/>
    <n v="2024"/>
  </r>
  <r>
    <x v="5"/>
    <s v="Burnett/Jasjaap"/>
    <n v="7"/>
    <x v="3"/>
    <s v="Brock Bowers"/>
    <x v="130"/>
    <n v="2024"/>
  </r>
  <r>
    <x v="5"/>
    <s v="Burnett/Jasjaap"/>
    <n v="7"/>
    <x v="5"/>
    <s v="Austin Seibert"/>
    <x v="62"/>
    <n v="2024"/>
  </r>
  <r>
    <x v="5"/>
    <s v="Burnett/Jasjaap"/>
    <n v="7"/>
    <x v="4"/>
    <s v="Philadelphia"/>
    <x v="72"/>
    <n v="2024"/>
  </r>
  <r>
    <x v="5"/>
    <s v="Burnett/Jasjaap"/>
    <n v="7"/>
    <x v="6"/>
    <s v="Jordan Whittington"/>
    <x v="146"/>
    <n v="2024"/>
  </r>
  <r>
    <x v="7"/>
    <s v="Jay"/>
    <n v="7"/>
    <x v="0"/>
    <s v="Lamar Jackson"/>
    <x v="305"/>
    <n v="2024"/>
  </r>
  <r>
    <x v="7"/>
    <s v="Jay"/>
    <n v="7"/>
    <x v="1"/>
    <s v="Tee Higgins"/>
    <x v="11"/>
    <n v="2024"/>
  </r>
  <r>
    <x v="7"/>
    <s v="Jay"/>
    <n v="7"/>
    <x v="1"/>
    <s v="Amari Cooper"/>
    <x v="306"/>
    <n v="2024"/>
  </r>
  <r>
    <x v="7"/>
    <s v="Jay"/>
    <n v="7"/>
    <x v="1"/>
    <s v="Stefon Diggs"/>
    <x v="245"/>
    <n v="2024"/>
  </r>
  <r>
    <x v="7"/>
    <s v="Jay"/>
    <n v="7"/>
    <x v="2"/>
    <s v="Tony Pollard"/>
    <x v="36"/>
    <n v="2024"/>
  </r>
  <r>
    <x v="7"/>
    <s v="Jay"/>
    <n v="7"/>
    <x v="2"/>
    <s v="Alvin Kamara"/>
    <x v="167"/>
    <n v="2024"/>
  </r>
  <r>
    <x v="7"/>
    <s v="Jay"/>
    <n v="7"/>
    <x v="3"/>
    <s v="Evan Engram"/>
    <x v="25"/>
    <n v="2024"/>
  </r>
  <r>
    <x v="7"/>
    <s v="Jay"/>
    <n v="7"/>
    <x v="5"/>
    <s v="Ka'imi Fairbairn"/>
    <x v="122"/>
    <n v="2024"/>
  </r>
  <r>
    <x v="7"/>
    <s v="Jay"/>
    <n v="7"/>
    <x v="4"/>
    <s v="Jacksonville"/>
    <x v="8"/>
    <n v="2024"/>
  </r>
  <r>
    <x v="7"/>
    <s v="Jay"/>
    <n v="7"/>
    <x v="7"/>
    <s v="Trey Sermon"/>
    <x v="167"/>
    <n v="2024"/>
  </r>
  <r>
    <x v="11"/>
    <s v="Cam"/>
    <n v="7"/>
    <x v="0"/>
    <s v="Joe Burrow"/>
    <x v="307"/>
    <n v="2024"/>
  </r>
  <r>
    <x v="11"/>
    <s v="Cam"/>
    <n v="7"/>
    <x v="1"/>
    <s v="Ja'Marr Chase"/>
    <x v="308"/>
    <n v="2024"/>
  </r>
  <r>
    <x v="11"/>
    <s v="Cam"/>
    <n v="7"/>
    <x v="1"/>
    <s v="Wan'Dale Robinson"/>
    <x v="128"/>
    <n v="2024"/>
  </r>
  <r>
    <x v="11"/>
    <s v="Cam"/>
    <n v="7"/>
    <x v="1"/>
    <s v="Brandon Aiyuk"/>
    <x v="309"/>
    <n v="2024"/>
  </r>
  <r>
    <x v="11"/>
    <s v="Cam"/>
    <n v="7"/>
    <x v="2"/>
    <s v="Aaron Jones"/>
    <x v="310"/>
    <n v="2024"/>
  </r>
  <r>
    <x v="11"/>
    <s v="Cam"/>
    <n v="7"/>
    <x v="2"/>
    <s v="JK Dobbins"/>
    <x v="3"/>
    <n v="2024"/>
  </r>
  <r>
    <x v="11"/>
    <s v="Cam"/>
    <n v="7"/>
    <x v="3"/>
    <s v="George Kittle"/>
    <x v="175"/>
    <n v="2024"/>
  </r>
  <r>
    <x v="11"/>
    <s v="Cam"/>
    <n v="7"/>
    <x v="5"/>
    <s v="Evan McPherson"/>
    <x v="7"/>
    <n v="2024"/>
  </r>
  <r>
    <x v="11"/>
    <s v="Cam"/>
    <n v="7"/>
    <x v="4"/>
    <s v="New Orleans"/>
    <x v="78"/>
    <n v="2024"/>
  </r>
  <r>
    <x v="11"/>
    <s v="Cam"/>
    <n v="7"/>
    <x v="7"/>
    <s v="Rhamondre Stevenson"/>
    <x v="58"/>
    <n v="2024"/>
  </r>
  <r>
    <x v="0"/>
    <s v="Brenton"/>
    <n v="8"/>
    <x v="0"/>
    <s v="Baker Mayfield"/>
    <x v="298"/>
    <n v="2024"/>
  </r>
  <r>
    <x v="0"/>
    <s v="Brenton"/>
    <n v="8"/>
    <x v="1"/>
    <s v="Zay Flowers"/>
    <x v="63"/>
    <n v="2024"/>
  </r>
  <r>
    <x v="0"/>
    <s v="Brenton"/>
    <n v="8"/>
    <x v="1"/>
    <s v="Courtland Sutton"/>
    <x v="311"/>
    <n v="2024"/>
  </r>
  <r>
    <x v="0"/>
    <s v="Brenton"/>
    <n v="8"/>
    <x v="1"/>
    <s v="Tyreek Hill"/>
    <x v="208"/>
    <n v="2024"/>
  </r>
  <r>
    <x v="0"/>
    <s v="Brenton"/>
    <n v="8"/>
    <x v="2"/>
    <s v="Tank Bigsby"/>
    <x v="260"/>
    <n v="2024"/>
  </r>
  <r>
    <x v="0"/>
    <s v="Brenton"/>
    <n v="8"/>
    <x v="2"/>
    <s v="Javonte Williams"/>
    <x v="210"/>
    <n v="2024"/>
  </r>
  <r>
    <x v="0"/>
    <s v="Brenton"/>
    <n v="8"/>
    <x v="3"/>
    <s v="Trey McBride"/>
    <x v="114"/>
    <n v="2024"/>
  </r>
  <r>
    <x v="0"/>
    <s v="Brenton"/>
    <n v="8"/>
    <x v="5"/>
    <s v="Will Reichard"/>
    <x v="32"/>
    <n v="2024"/>
  </r>
  <r>
    <x v="0"/>
    <s v="Brenton"/>
    <n v="8"/>
    <x v="4"/>
    <s v="Detroit"/>
    <x v="122"/>
    <n v="2024"/>
  </r>
  <r>
    <x v="0"/>
    <s v="Brenton"/>
    <n v="8"/>
    <x v="6"/>
    <s v="Jayden Reed"/>
    <x v="23"/>
    <n v="2024"/>
  </r>
  <r>
    <x v="8"/>
    <s v="Schulwolf"/>
    <n v="8"/>
    <x v="0"/>
    <s v="Jordan Love"/>
    <x v="312"/>
    <n v="2024"/>
  </r>
  <r>
    <x v="8"/>
    <s v="Schulwolf"/>
    <n v="8"/>
    <x v="1"/>
    <s v="Terry McLaurin"/>
    <x v="63"/>
    <n v="2024"/>
  </r>
  <r>
    <x v="8"/>
    <s v="Schulwolf"/>
    <n v="8"/>
    <x v="1"/>
    <s v="Devonta Smith"/>
    <x v="217"/>
    <n v="2024"/>
  </r>
  <r>
    <x v="8"/>
    <s v="Schulwolf"/>
    <n v="8"/>
    <x v="1"/>
    <s v="Cooper Kupp"/>
    <x v="38"/>
    <n v="2024"/>
  </r>
  <r>
    <x v="8"/>
    <s v="Schulwolf"/>
    <n v="8"/>
    <x v="2"/>
    <s v="Jahmyr Gibbs"/>
    <x v="209"/>
    <n v="2024"/>
  </r>
  <r>
    <x v="8"/>
    <s v="Schulwolf"/>
    <n v="8"/>
    <x v="2"/>
    <s v="James Cook"/>
    <x v="181"/>
    <n v="2024"/>
  </r>
  <r>
    <x v="8"/>
    <s v="Schulwolf"/>
    <n v="8"/>
    <x v="3"/>
    <s v="Dalton Kincaid"/>
    <x v="43"/>
    <n v="2024"/>
  </r>
  <r>
    <x v="8"/>
    <s v="Schulwolf"/>
    <n v="8"/>
    <x v="5"/>
    <s v="Brandon Aubrey"/>
    <x v="25"/>
    <n v="2024"/>
  </r>
  <r>
    <x v="8"/>
    <s v="Schulwolf"/>
    <n v="8"/>
    <x v="4"/>
    <s v="Denver"/>
    <x v="32"/>
    <n v="2024"/>
  </r>
  <r>
    <x v="8"/>
    <s v="Schulwolf"/>
    <n v="8"/>
    <x v="6"/>
    <s v="Tyler Lockett"/>
    <x v="171"/>
    <n v="2024"/>
  </r>
  <r>
    <x v="2"/>
    <s v="Mike"/>
    <n v="8"/>
    <x v="0"/>
    <s v="Tua Tagovailoa"/>
    <x v="313"/>
    <n v="2024"/>
  </r>
  <r>
    <x v="2"/>
    <s v="Mike"/>
    <n v="8"/>
    <x v="1"/>
    <s v="Khalil Shakir"/>
    <x v="68"/>
    <n v="2024"/>
  </r>
  <r>
    <x v="2"/>
    <s v="Mike"/>
    <n v="8"/>
    <x v="1"/>
    <s v="Tank Dell"/>
    <x v="253"/>
    <n v="2024"/>
  </r>
  <r>
    <x v="2"/>
    <s v="Mike"/>
    <n v="8"/>
    <x v="1"/>
    <s v="Davante Adams"/>
    <x v="223"/>
    <n v="2024"/>
  </r>
  <r>
    <x v="2"/>
    <s v="Mike"/>
    <n v="8"/>
    <x v="2"/>
    <s v="Derrick Henry"/>
    <x v="113"/>
    <n v="2024"/>
  </r>
  <r>
    <x v="2"/>
    <s v="Mike"/>
    <n v="8"/>
    <x v="2"/>
    <s v="Kareem Hunt"/>
    <x v="233"/>
    <n v="2024"/>
  </r>
  <r>
    <x v="2"/>
    <s v="Mike"/>
    <n v="8"/>
    <x v="3"/>
    <s v="Jake Ferguson"/>
    <x v="128"/>
    <n v="2024"/>
  </r>
  <r>
    <x v="2"/>
    <s v="Mike"/>
    <n v="8"/>
    <x v="5"/>
    <s v="Younghoe Koo"/>
    <x v="25"/>
    <n v="2024"/>
  </r>
  <r>
    <x v="2"/>
    <s v="Mike"/>
    <n v="8"/>
    <x v="4"/>
    <s v="Buffalo"/>
    <x v="8"/>
    <n v="2024"/>
  </r>
  <r>
    <x v="2"/>
    <s v="Mike"/>
    <n v="8"/>
    <x v="7"/>
    <s v="Nick Chubb"/>
    <x v="22"/>
    <n v="2024"/>
  </r>
  <r>
    <x v="10"/>
    <s v="Brand"/>
    <n v="8"/>
    <x v="0"/>
    <s v="Anthony Richardson"/>
    <x v="253"/>
    <n v="2024"/>
  </r>
  <r>
    <x v="10"/>
    <s v="Brand"/>
    <n v="8"/>
    <x v="1"/>
    <s v="Garrett Wilson"/>
    <x v="12"/>
    <n v="2024"/>
  </r>
  <r>
    <x v="10"/>
    <s v="Brand"/>
    <n v="8"/>
    <x v="1"/>
    <s v="Keenan Allen"/>
    <x v="219"/>
    <n v="2024"/>
  </r>
  <r>
    <x v="10"/>
    <s v="Brand"/>
    <n v="8"/>
    <x v="1"/>
    <s v="Michael Pittman"/>
    <x v="28"/>
    <n v="2024"/>
  </r>
  <r>
    <x v="10"/>
    <s v="Brand"/>
    <n v="8"/>
    <x v="2"/>
    <s v="Bucky Irving"/>
    <x v="66"/>
    <n v="2024"/>
  </r>
  <r>
    <x v="10"/>
    <s v="Brand"/>
    <n v="8"/>
    <x v="2"/>
    <s v="Breece Hall"/>
    <x v="156"/>
    <n v="2024"/>
  </r>
  <r>
    <x v="10"/>
    <s v="Brand"/>
    <n v="8"/>
    <x v="3"/>
    <s v="Taysom Hill"/>
    <x v="314"/>
    <n v="2024"/>
  </r>
  <r>
    <x v="10"/>
    <s v="Brand"/>
    <n v="8"/>
    <x v="5"/>
    <s v="Cameron Dicker"/>
    <x v="32"/>
    <n v="2024"/>
  </r>
  <r>
    <x v="10"/>
    <s v="Brand"/>
    <n v="8"/>
    <x v="4"/>
    <s v="San Francisco"/>
    <x v="76"/>
    <n v="2024"/>
  </r>
  <r>
    <x v="10"/>
    <s v="Brand"/>
    <n v="8"/>
    <x v="7"/>
    <s v="Kenneth Walker"/>
    <x v="23"/>
    <n v="2024"/>
  </r>
  <r>
    <x v="1"/>
    <s v="Todd"/>
    <n v="8"/>
    <x v="0"/>
    <s v="Sam Darnold"/>
    <x v="185"/>
    <n v="2024"/>
  </r>
  <r>
    <x v="1"/>
    <s v="Todd"/>
    <n v="8"/>
    <x v="1"/>
    <s v="Darnell Mooney"/>
    <x v="248"/>
    <n v="2024"/>
  </r>
  <r>
    <x v="1"/>
    <s v="Todd"/>
    <n v="8"/>
    <x v="1"/>
    <s v="Brian Thomas Jr"/>
    <x v="201"/>
    <n v="2024"/>
  </r>
  <r>
    <x v="1"/>
    <s v="Todd"/>
    <n v="8"/>
    <x v="1"/>
    <s v="AJ Brown"/>
    <x v="53"/>
    <n v="2024"/>
  </r>
  <r>
    <x v="1"/>
    <s v="Todd"/>
    <n v="8"/>
    <x v="2"/>
    <s v="De'Von Achane"/>
    <x v="142"/>
    <n v="2024"/>
  </r>
  <r>
    <x v="1"/>
    <s v="Todd"/>
    <n v="8"/>
    <x v="2"/>
    <s v="James Conner"/>
    <x v="35"/>
    <n v="2024"/>
  </r>
  <r>
    <x v="1"/>
    <s v="Todd"/>
    <n v="8"/>
    <x v="3"/>
    <s v="Tucker Kraft"/>
    <x v="259"/>
    <n v="2024"/>
  </r>
  <r>
    <x v="1"/>
    <s v="Todd"/>
    <n v="8"/>
    <x v="5"/>
    <s v="Chris Boswell"/>
    <x v="100"/>
    <n v="2024"/>
  </r>
  <r>
    <x v="1"/>
    <s v="Todd"/>
    <n v="8"/>
    <x v="4"/>
    <s v="LA Chargers"/>
    <x v="138"/>
    <n v="2024"/>
  </r>
  <r>
    <x v="1"/>
    <s v="Todd"/>
    <n v="8"/>
    <x v="6"/>
    <s v="Deebo Samuel"/>
    <x v="21"/>
    <n v="2024"/>
  </r>
  <r>
    <x v="5"/>
    <s v="Burnett/Jasjaap"/>
    <n v="8"/>
    <x v="0"/>
    <s v="Brock Purdy"/>
    <x v="40"/>
    <n v="2024"/>
  </r>
  <r>
    <x v="5"/>
    <s v="Burnett/Jasjaap"/>
    <n v="8"/>
    <x v="1"/>
    <s v="CeeDee Lamb"/>
    <x v="315"/>
    <n v="2024"/>
  </r>
  <r>
    <x v="5"/>
    <s v="Burnett/Jasjaap"/>
    <n v="8"/>
    <x v="1"/>
    <s v="Jerry Jeudy"/>
    <x v="316"/>
    <n v="2024"/>
  </r>
  <r>
    <x v="5"/>
    <s v="Burnett/Jasjaap"/>
    <n v="8"/>
    <x v="1"/>
    <s v="Ricky Pearsall"/>
    <x v="218"/>
    <n v="2024"/>
  </r>
  <r>
    <x v="5"/>
    <s v="Burnett/Jasjaap"/>
    <n v="8"/>
    <x v="2"/>
    <s v="Josh Jacobs"/>
    <x v="65"/>
    <n v="2024"/>
  </r>
  <r>
    <x v="5"/>
    <s v="Burnett/Jasjaap"/>
    <n v="8"/>
    <x v="2"/>
    <s v="David Montgomery"/>
    <x v="317"/>
    <n v="2024"/>
  </r>
  <r>
    <x v="5"/>
    <s v="Burnett/Jasjaap"/>
    <n v="8"/>
    <x v="3"/>
    <s v="Brock Bowers"/>
    <x v="112"/>
    <n v="2024"/>
  </r>
  <r>
    <x v="5"/>
    <s v="Burnett/Jasjaap"/>
    <n v="8"/>
    <x v="5"/>
    <s v="Austin Seibert"/>
    <x v="49"/>
    <n v="2024"/>
  </r>
  <r>
    <x v="5"/>
    <s v="Burnett/Jasjaap"/>
    <n v="8"/>
    <x v="4"/>
    <s v="Kansas City"/>
    <x v="24"/>
    <n v="2024"/>
  </r>
  <r>
    <x v="5"/>
    <s v="Burnett/Jasjaap"/>
    <n v="8"/>
    <x v="6"/>
    <s v="Jaylen Waddle"/>
    <x v="23"/>
    <n v="2024"/>
  </r>
  <r>
    <x v="4"/>
    <s v="Eli"/>
    <n v="8"/>
    <x v="0"/>
    <s v="Jalen Hurts"/>
    <x v="318"/>
    <n v="2024"/>
  </r>
  <r>
    <x v="4"/>
    <s v="Eli"/>
    <n v="8"/>
    <x v="1"/>
    <s v="Justin Jefferson"/>
    <x v="261"/>
    <n v="2024"/>
  </r>
  <r>
    <x v="4"/>
    <s v="Eli"/>
    <n v="8"/>
    <x v="1"/>
    <s v="Jalen McMillan"/>
    <x v="210"/>
    <n v="2024"/>
  </r>
  <r>
    <x v="4"/>
    <s v="Eli"/>
    <n v="8"/>
    <x v="1"/>
    <s v="DJ Moore"/>
    <x v="75"/>
    <n v="2024"/>
  </r>
  <r>
    <x v="4"/>
    <s v="Eli"/>
    <n v="8"/>
    <x v="2"/>
    <s v="Bijan Robinson"/>
    <x v="87"/>
    <n v="2024"/>
  </r>
  <r>
    <x v="4"/>
    <s v="Eli"/>
    <n v="8"/>
    <x v="2"/>
    <s v="Jordan Mason"/>
    <x v="213"/>
    <n v="2024"/>
  </r>
  <r>
    <x v="4"/>
    <s v="Eli"/>
    <n v="8"/>
    <x v="3"/>
    <s v="Kyle Pitts"/>
    <x v="169"/>
    <n v="2024"/>
  </r>
  <r>
    <x v="4"/>
    <s v="Eli"/>
    <n v="8"/>
    <x v="5"/>
    <s v="Tyler Bass"/>
    <x v="76"/>
    <n v="2024"/>
  </r>
  <r>
    <x v="4"/>
    <s v="Eli"/>
    <n v="8"/>
    <x v="4"/>
    <s v="NYJ"/>
    <x v="7"/>
    <n v="2024"/>
  </r>
  <r>
    <x v="4"/>
    <s v="Eli"/>
    <n v="8"/>
    <x v="8"/>
    <s v="David Njoku"/>
    <x v="306"/>
    <n v="2024"/>
  </r>
  <r>
    <x v="11"/>
    <s v="Cam"/>
    <n v="8"/>
    <x v="0"/>
    <s v="Joe Burrow"/>
    <x v="319"/>
    <n v="2024"/>
  </r>
  <r>
    <x v="11"/>
    <s v="Cam"/>
    <n v="8"/>
    <x v="1"/>
    <s v="Ja'Marr Chase"/>
    <x v="4"/>
    <n v="2024"/>
  </r>
  <r>
    <x v="11"/>
    <s v="Cam"/>
    <n v="8"/>
    <x v="1"/>
    <s v="Jakobi Meyers"/>
    <x v="113"/>
    <n v="2024"/>
  </r>
  <r>
    <x v="11"/>
    <s v="Cam"/>
    <n v="8"/>
    <x v="1"/>
    <s v="Wan'Dale Robinson"/>
    <x v="6"/>
    <n v="2024"/>
  </r>
  <r>
    <x v="11"/>
    <s v="Cam"/>
    <n v="8"/>
    <x v="2"/>
    <s v="D'Andre Swift"/>
    <x v="57"/>
    <n v="2024"/>
  </r>
  <r>
    <x v="11"/>
    <s v="Cam"/>
    <n v="8"/>
    <x v="2"/>
    <s v="JK Dobbins"/>
    <x v="31"/>
    <n v="2024"/>
  </r>
  <r>
    <x v="11"/>
    <s v="Cam"/>
    <n v="8"/>
    <x v="3"/>
    <s v="George Kittle"/>
    <x v="300"/>
    <n v="2024"/>
  </r>
  <r>
    <x v="11"/>
    <s v="Cam"/>
    <n v="8"/>
    <x v="5"/>
    <s v="Evan McPherson"/>
    <x v="103"/>
    <n v="2024"/>
  </r>
  <r>
    <x v="11"/>
    <s v="Cam"/>
    <n v="8"/>
    <x v="4"/>
    <s v="Green Bay"/>
    <x v="16"/>
    <n v="2024"/>
  </r>
  <r>
    <x v="11"/>
    <s v="Cam"/>
    <n v="8"/>
    <x v="7"/>
    <s v="Aaron Jones"/>
    <x v="27"/>
    <n v="2024"/>
  </r>
  <r>
    <x v="6"/>
    <s v="Will"/>
    <n v="8"/>
    <x v="0"/>
    <s v="Caleb Williams"/>
    <x v="320"/>
    <n v="2024"/>
  </r>
  <r>
    <x v="6"/>
    <s v="Will"/>
    <n v="8"/>
    <x v="1"/>
    <s v="Ladd McConkey"/>
    <x v="321"/>
    <n v="2024"/>
  </r>
  <r>
    <x v="6"/>
    <s v="Will"/>
    <n v="8"/>
    <x v="1"/>
    <s v="Jaxon Smith-Njigba"/>
    <x v="191"/>
    <n v="2024"/>
  </r>
  <r>
    <x v="6"/>
    <s v="Will"/>
    <n v="8"/>
    <x v="1"/>
    <s v="Amon-Ra St. Brown"/>
    <x v="322"/>
    <n v="2024"/>
  </r>
  <r>
    <x v="6"/>
    <s v="Will"/>
    <n v="8"/>
    <x v="2"/>
    <s v="Austin Ekeler"/>
    <x v="283"/>
    <n v="2024"/>
  </r>
  <r>
    <x v="6"/>
    <s v="Will"/>
    <n v="8"/>
    <x v="2"/>
    <s v="D'Ernest Johnson"/>
    <x v="5"/>
    <n v="2024"/>
  </r>
  <r>
    <x v="6"/>
    <s v="Will"/>
    <n v="8"/>
    <x v="3"/>
    <s v="Travis Kelce"/>
    <x v="109"/>
    <n v="2024"/>
  </r>
  <r>
    <x v="6"/>
    <s v="Will"/>
    <n v="8"/>
    <x v="5"/>
    <s v="Jason Myers"/>
    <x v="16"/>
    <n v="2024"/>
  </r>
  <r>
    <x v="6"/>
    <s v="Will"/>
    <n v="8"/>
    <x v="4"/>
    <s v="Houston"/>
    <x v="24"/>
    <n v="2024"/>
  </r>
  <r>
    <x v="6"/>
    <s v="Will"/>
    <n v="8"/>
    <x v="6"/>
    <s v="Drake London"/>
    <x v="167"/>
    <n v="2024"/>
  </r>
  <r>
    <x v="3"/>
    <s v="Kevin"/>
    <n v="8"/>
    <x v="0"/>
    <s v="CJ Stroud"/>
    <x v="51"/>
    <n v="2024"/>
  </r>
  <r>
    <x v="3"/>
    <s v="Kevin"/>
    <n v="8"/>
    <x v="1"/>
    <s v="Marvin Harrison Jr"/>
    <x v="87"/>
    <n v="2024"/>
  </r>
  <r>
    <x v="3"/>
    <s v="Kevin"/>
    <n v="8"/>
    <x v="1"/>
    <s v="George Pickens"/>
    <x v="156"/>
    <n v="2024"/>
  </r>
  <r>
    <x v="3"/>
    <s v="Kevin"/>
    <n v="8"/>
    <x v="1"/>
    <s v="Jordan Addison"/>
    <x v="143"/>
    <n v="2024"/>
  </r>
  <r>
    <x v="3"/>
    <s v="Kevin"/>
    <n v="8"/>
    <x v="2"/>
    <s v="Joe Mixon"/>
    <x v="205"/>
    <n v="2024"/>
  </r>
  <r>
    <x v="3"/>
    <s v="Kevin"/>
    <n v="8"/>
    <x v="2"/>
    <s v="Najee Harris"/>
    <x v="306"/>
    <n v="2024"/>
  </r>
  <r>
    <x v="3"/>
    <s v="Kevin"/>
    <n v="8"/>
    <x v="3"/>
    <s v="Hunter Henry"/>
    <x v="76"/>
    <n v="2024"/>
  </r>
  <r>
    <x v="3"/>
    <s v="Kevin"/>
    <n v="8"/>
    <x v="5"/>
    <s v="Justin Tucker"/>
    <x v="76"/>
    <n v="2024"/>
  </r>
  <r>
    <x v="3"/>
    <s v="Kevin"/>
    <n v="8"/>
    <x v="4"/>
    <s v="NY Giants"/>
    <x v="139"/>
    <n v="2024"/>
  </r>
  <r>
    <x v="3"/>
    <s v="Kevin"/>
    <n v="8"/>
    <x v="7"/>
    <s v="Chuba Hubbard"/>
    <x v="3"/>
    <n v="2024"/>
  </r>
  <r>
    <x v="7"/>
    <s v="Jay"/>
    <n v="8"/>
    <x v="0"/>
    <s v="Lamar Jackson"/>
    <x v="323"/>
    <n v="2024"/>
  </r>
  <r>
    <x v="7"/>
    <s v="Jay"/>
    <n v="8"/>
    <x v="1"/>
    <s v="Stefon Diggs"/>
    <x v="208"/>
    <n v="2024"/>
  </r>
  <r>
    <x v="7"/>
    <s v="Jay"/>
    <n v="8"/>
    <x v="1"/>
    <s v="Christian Kirk"/>
    <x v="92"/>
    <n v="2024"/>
  </r>
  <r>
    <x v="7"/>
    <s v="Jay"/>
    <n v="8"/>
    <x v="1"/>
    <s v="Amari Cooper"/>
    <x v="271"/>
    <n v="2024"/>
  </r>
  <r>
    <x v="7"/>
    <s v="Jay"/>
    <n v="8"/>
    <x v="2"/>
    <s v="Jonathan Taylor"/>
    <x v="185"/>
    <n v="2024"/>
  </r>
  <r>
    <x v="7"/>
    <s v="Jay"/>
    <n v="8"/>
    <x v="2"/>
    <s v="Alvin Kamara"/>
    <x v="228"/>
    <n v="2024"/>
  </r>
  <r>
    <x v="7"/>
    <s v="Jay"/>
    <n v="8"/>
    <x v="3"/>
    <s v="Evan Engram"/>
    <x v="187"/>
    <n v="2024"/>
  </r>
  <r>
    <x v="7"/>
    <s v="Jay"/>
    <n v="8"/>
    <x v="5"/>
    <s v="Ka'imi Fairbairn"/>
    <x v="138"/>
    <n v="2024"/>
  </r>
  <r>
    <x v="7"/>
    <s v="Jay"/>
    <n v="8"/>
    <x v="4"/>
    <s v="Miami"/>
    <x v="284"/>
    <n v="2024"/>
  </r>
  <r>
    <x v="7"/>
    <s v="Jay"/>
    <n v="8"/>
    <x v="7"/>
    <s v="Brian Robinson"/>
    <x v="3"/>
    <n v="2024"/>
  </r>
  <r>
    <x v="9"/>
    <s v="Tommy"/>
    <n v="8"/>
    <x v="0"/>
    <s v="Josh Allen"/>
    <x v="262"/>
    <n v="2024"/>
  </r>
  <r>
    <x v="9"/>
    <s v="Tommy"/>
    <n v="8"/>
    <x v="1"/>
    <s v="Malik Nabers"/>
    <x v="21"/>
    <n v="2024"/>
  </r>
  <r>
    <x v="9"/>
    <s v="Tommy"/>
    <n v="8"/>
    <x v="1"/>
    <s v="Xavier Worthy"/>
    <x v="20"/>
    <n v="2024"/>
  </r>
  <r>
    <x v="9"/>
    <s v="Tommy"/>
    <n v="8"/>
    <x v="1"/>
    <s v="Romeo Doubs"/>
    <x v="161"/>
    <n v="2024"/>
  </r>
  <r>
    <x v="9"/>
    <s v="Tommy"/>
    <n v="8"/>
    <x v="2"/>
    <s v="Kyren Williams"/>
    <x v="87"/>
    <n v="2024"/>
  </r>
  <r>
    <x v="9"/>
    <s v="Tommy"/>
    <n v="8"/>
    <x v="2"/>
    <s v="Rachaad White"/>
    <x v="145"/>
    <n v="2024"/>
  </r>
  <r>
    <x v="9"/>
    <s v="Tommy"/>
    <n v="8"/>
    <x v="3"/>
    <s v="Mark Andrews"/>
    <x v="324"/>
    <n v="2024"/>
  </r>
  <r>
    <x v="9"/>
    <s v="Tommy"/>
    <n v="8"/>
    <x v="5"/>
    <s v="Harrison Butker"/>
    <x v="8"/>
    <n v="2024"/>
  </r>
  <r>
    <x v="9"/>
    <s v="Tommy"/>
    <n v="8"/>
    <x v="4"/>
    <s v="Minnesota"/>
    <x v="146"/>
    <n v="2024"/>
  </r>
  <r>
    <x v="9"/>
    <s v="Tommy"/>
    <n v="8"/>
    <x v="7"/>
    <s v="Saquon Barkley"/>
    <x v="187"/>
    <n v="2024"/>
  </r>
  <r>
    <x v="0"/>
    <s v="Brenton"/>
    <n v="9"/>
    <x v="0"/>
    <s v="Baker Mayfield"/>
    <x v="72"/>
    <n v="2024"/>
  </r>
  <r>
    <x v="0"/>
    <s v="Brenton"/>
    <n v="9"/>
    <x v="1"/>
    <s v="Courtland Sutton"/>
    <x v="325"/>
    <n v="2024"/>
  </r>
  <r>
    <x v="0"/>
    <s v="Brenton"/>
    <n v="9"/>
    <x v="1"/>
    <s v="Cedric Tillman"/>
    <x v="326"/>
    <n v="2024"/>
  </r>
  <r>
    <x v="0"/>
    <s v="Brenton"/>
    <n v="9"/>
    <x v="1"/>
    <s v="Jayden Reed"/>
    <x v="12"/>
    <n v="2024"/>
  </r>
  <r>
    <x v="0"/>
    <s v="Brenton"/>
    <n v="9"/>
    <x v="2"/>
    <s v="Javonte Williams"/>
    <x v="156"/>
    <n v="2024"/>
  </r>
  <r>
    <x v="0"/>
    <s v="Brenton"/>
    <n v="9"/>
    <x v="2"/>
    <s v="Tyrone Tracy"/>
    <x v="223"/>
    <n v="2024"/>
  </r>
  <r>
    <x v="0"/>
    <s v="Brenton"/>
    <n v="9"/>
    <x v="3"/>
    <s v="Trey McBride"/>
    <x v="174"/>
    <n v="2024"/>
  </r>
  <r>
    <x v="0"/>
    <s v="Brenton"/>
    <n v="9"/>
    <x v="5"/>
    <s v="Will Reichard"/>
    <x v="139"/>
    <n v="2024"/>
  </r>
  <r>
    <x v="0"/>
    <s v="Brenton"/>
    <n v="9"/>
    <x v="4"/>
    <s v="Baltimore"/>
    <x v="24"/>
    <n v="2024"/>
  </r>
  <r>
    <x v="0"/>
    <s v="Brenton"/>
    <n v="9"/>
    <x v="6"/>
    <s v="Tyreek Hill"/>
    <x v="8"/>
    <n v="2024"/>
  </r>
  <r>
    <x v="10"/>
    <s v="Brand"/>
    <n v="9"/>
    <x v="0"/>
    <s v="Kirk Cousins"/>
    <x v="227"/>
    <n v="2024"/>
  </r>
  <r>
    <x v="10"/>
    <s v="Brand"/>
    <n v="9"/>
    <x v="1"/>
    <s v="Garrett Wilson"/>
    <x v="327"/>
    <n v="2024"/>
  </r>
  <r>
    <x v="10"/>
    <s v="Brand"/>
    <n v="9"/>
    <x v="1"/>
    <s v="Keenan Allen"/>
    <x v="90"/>
    <n v="2024"/>
  </r>
  <r>
    <x v="10"/>
    <s v="Brand"/>
    <n v="9"/>
    <x v="1"/>
    <s v="Michael Pittman"/>
    <x v="160"/>
    <n v="2024"/>
  </r>
  <r>
    <x v="10"/>
    <s v="Brand"/>
    <n v="9"/>
    <x v="2"/>
    <s v="Kenneth Walker"/>
    <x v="175"/>
    <n v="2024"/>
  </r>
  <r>
    <x v="10"/>
    <s v="Brand"/>
    <n v="9"/>
    <x v="2"/>
    <s v="Breece Hall"/>
    <x v="239"/>
    <n v="2024"/>
  </r>
  <r>
    <x v="10"/>
    <s v="Brand"/>
    <n v="9"/>
    <x v="3"/>
    <s v="Taysom Hill"/>
    <x v="100"/>
    <n v="2024"/>
  </r>
  <r>
    <x v="10"/>
    <s v="Brand"/>
    <n v="9"/>
    <x v="5"/>
    <s v="Cameron Dicker"/>
    <x v="78"/>
    <n v="2024"/>
  </r>
  <r>
    <x v="10"/>
    <s v="Brand"/>
    <n v="9"/>
    <x v="4"/>
    <s v="LA Chargers"/>
    <x v="176"/>
    <n v="2024"/>
  </r>
  <r>
    <x v="10"/>
    <s v="Brand"/>
    <n v="9"/>
    <x v="7"/>
    <s v="Bucky Irving"/>
    <x v="219"/>
    <n v="2024"/>
  </r>
  <r>
    <x v="2"/>
    <s v="Mike"/>
    <n v="9"/>
    <x v="0"/>
    <s v="Patrick Mahomes"/>
    <x v="328"/>
    <n v="2024"/>
  </r>
  <r>
    <x v="2"/>
    <s v="Mike"/>
    <n v="9"/>
    <x v="1"/>
    <s v="Davante Adams"/>
    <x v="89"/>
    <n v="2024"/>
  </r>
  <r>
    <x v="2"/>
    <s v="Mike"/>
    <n v="9"/>
    <x v="1"/>
    <s v="Tank Dell"/>
    <x v="144"/>
    <n v="2024"/>
  </r>
  <r>
    <x v="2"/>
    <s v="Mike"/>
    <n v="9"/>
    <x v="1"/>
    <s v="Khalil Shakir"/>
    <x v="32"/>
    <n v="2024"/>
  </r>
  <r>
    <x v="2"/>
    <s v="Mike"/>
    <n v="9"/>
    <x v="2"/>
    <s v="Derrick Henry"/>
    <x v="329"/>
    <n v="2024"/>
  </r>
  <r>
    <x v="2"/>
    <s v="Mike"/>
    <n v="9"/>
    <x v="2"/>
    <s v="Kareem Hunt"/>
    <x v="185"/>
    <n v="2024"/>
  </r>
  <r>
    <x v="2"/>
    <s v="Mike"/>
    <n v="9"/>
    <x v="3"/>
    <s v="Sam LaPorta"/>
    <x v="154"/>
    <n v="2024"/>
  </r>
  <r>
    <x v="2"/>
    <s v="Mike"/>
    <n v="9"/>
    <x v="5"/>
    <s v="Younghoe Koo"/>
    <x v="7"/>
    <n v="2024"/>
  </r>
  <r>
    <x v="2"/>
    <s v="Mike"/>
    <n v="9"/>
    <x v="4"/>
    <s v="Buffalo"/>
    <x v="139"/>
    <n v="2024"/>
  </r>
  <r>
    <x v="2"/>
    <s v="Mike"/>
    <n v="9"/>
    <x v="7"/>
    <s v="Nick Chubb"/>
    <x v="16"/>
    <n v="2024"/>
  </r>
  <r>
    <x v="5"/>
    <s v="Burnett/Jasjaap"/>
    <n v="9"/>
    <x v="0"/>
    <s v="Bo Nix"/>
    <x v="330"/>
    <n v="2024"/>
  </r>
  <r>
    <x v="5"/>
    <s v="Burnett/Jasjaap"/>
    <n v="9"/>
    <x v="1"/>
    <s v="CeeDee Lamb"/>
    <x v="175"/>
    <n v="2024"/>
  </r>
  <r>
    <x v="5"/>
    <s v="Burnett/Jasjaap"/>
    <n v="9"/>
    <x v="1"/>
    <s v="Jaylen Waddle"/>
    <x v="249"/>
    <n v="2024"/>
  </r>
  <r>
    <x v="5"/>
    <s v="Burnett/Jasjaap"/>
    <n v="9"/>
    <x v="1"/>
    <s v="Jerry Jeudy"/>
    <x v="60"/>
    <n v="2024"/>
  </r>
  <r>
    <x v="5"/>
    <s v="Burnett/Jasjaap"/>
    <n v="9"/>
    <x v="2"/>
    <s v="Josh Jacobs"/>
    <x v="69"/>
    <n v="2024"/>
  </r>
  <r>
    <x v="5"/>
    <s v="Burnett/Jasjaap"/>
    <n v="9"/>
    <x v="2"/>
    <s v="David Montgomery"/>
    <x v="43"/>
    <n v="2024"/>
  </r>
  <r>
    <x v="5"/>
    <s v="Burnett/Jasjaap"/>
    <n v="9"/>
    <x v="3"/>
    <s v="Brock Bowers"/>
    <x v="49"/>
    <n v="2024"/>
  </r>
  <r>
    <x v="5"/>
    <s v="Burnett/Jasjaap"/>
    <n v="9"/>
    <x v="5"/>
    <s v="Austin Seibert"/>
    <x v="24"/>
    <n v="2024"/>
  </r>
  <r>
    <x v="5"/>
    <s v="Burnett/Jasjaap"/>
    <n v="9"/>
    <x v="4"/>
    <s v="Kansas City"/>
    <x v="7"/>
    <n v="2024"/>
  </r>
  <r>
    <x v="5"/>
    <s v="Burnett/Jasjaap"/>
    <n v="9"/>
    <x v="6"/>
    <s v="Puka Nacua"/>
    <x v="70"/>
    <n v="2024"/>
  </r>
  <r>
    <x v="1"/>
    <s v="Todd"/>
    <n v="9"/>
    <x v="0"/>
    <s v="Sam Darnold"/>
    <x v="176"/>
    <n v="2024"/>
  </r>
  <r>
    <x v="1"/>
    <s v="Todd"/>
    <n v="9"/>
    <x v="1"/>
    <s v="Darnell Mooney"/>
    <x v="331"/>
    <n v="2024"/>
  </r>
  <r>
    <x v="1"/>
    <s v="Todd"/>
    <n v="9"/>
    <x v="1"/>
    <s v="AJ Brown"/>
    <x v="163"/>
    <n v="2024"/>
  </r>
  <r>
    <x v="1"/>
    <s v="Todd"/>
    <n v="9"/>
    <x v="1"/>
    <s v="Brian Thomas Jr"/>
    <x v="22"/>
    <n v="2024"/>
  </r>
  <r>
    <x v="1"/>
    <s v="Todd"/>
    <n v="9"/>
    <x v="2"/>
    <s v="De'Von Achane"/>
    <x v="332"/>
    <n v="2024"/>
  </r>
  <r>
    <x v="1"/>
    <s v="Todd"/>
    <n v="9"/>
    <x v="2"/>
    <s v="James Conner"/>
    <x v="267"/>
    <n v="2024"/>
  </r>
  <r>
    <x v="1"/>
    <s v="Todd"/>
    <n v="9"/>
    <x v="3"/>
    <s v="Tucker Kraft"/>
    <x v="90"/>
    <n v="2024"/>
  </r>
  <r>
    <x v="1"/>
    <s v="Todd"/>
    <n v="9"/>
    <x v="5"/>
    <s v="Jake Elliott"/>
    <x v="103"/>
    <n v="2024"/>
  </r>
  <r>
    <x v="1"/>
    <s v="Todd"/>
    <n v="9"/>
    <x v="4"/>
    <s v="New Orleans"/>
    <x v="16"/>
    <n v="2024"/>
  </r>
  <r>
    <x v="1"/>
    <s v="Todd"/>
    <n v="9"/>
    <x v="6"/>
    <s v="Diontae Johnson"/>
    <x v="146"/>
    <n v="2024"/>
  </r>
  <r>
    <x v="6"/>
    <s v="Will"/>
    <n v="9"/>
    <x v="0"/>
    <s v="Caleb Williams"/>
    <x v="333"/>
    <n v="2024"/>
  </r>
  <r>
    <x v="6"/>
    <s v="Will"/>
    <n v="9"/>
    <x v="1"/>
    <s v="Drake London"/>
    <x v="218"/>
    <n v="2024"/>
  </r>
  <r>
    <x v="6"/>
    <s v="Will"/>
    <n v="9"/>
    <x v="1"/>
    <s v="Amon-Ra St. Brown"/>
    <x v="308"/>
    <n v="2024"/>
  </r>
  <r>
    <x v="6"/>
    <s v="Will"/>
    <n v="9"/>
    <x v="1"/>
    <s v="Josh Downs"/>
    <x v="24"/>
    <n v="2024"/>
  </r>
  <r>
    <x v="6"/>
    <s v="Will"/>
    <n v="9"/>
    <x v="2"/>
    <s v="Tony Pollard"/>
    <x v="114"/>
    <n v="2024"/>
  </r>
  <r>
    <x v="6"/>
    <s v="Will"/>
    <n v="9"/>
    <x v="2"/>
    <s v="Travis Etienne"/>
    <x v="16"/>
    <n v="2024"/>
  </r>
  <r>
    <x v="6"/>
    <s v="Will"/>
    <n v="9"/>
    <x v="3"/>
    <s v="Travis Kelce"/>
    <x v="63"/>
    <n v="2024"/>
  </r>
  <r>
    <x v="6"/>
    <s v="Will"/>
    <n v="9"/>
    <x v="5"/>
    <s v="Jason Myers"/>
    <x v="78"/>
    <n v="2024"/>
  </r>
  <r>
    <x v="6"/>
    <s v="Will"/>
    <n v="9"/>
    <x v="4"/>
    <s v="Houston"/>
    <x v="7"/>
    <n v="2024"/>
  </r>
  <r>
    <x v="6"/>
    <s v="Will"/>
    <n v="9"/>
    <x v="6"/>
    <s v="Ladd McConkey"/>
    <x v="155"/>
    <n v="2024"/>
  </r>
  <r>
    <x v="4"/>
    <s v="Eli"/>
    <n v="9"/>
    <x v="0"/>
    <s v="Jalen Hurts"/>
    <x v="162"/>
    <n v="2024"/>
  </r>
  <r>
    <x v="4"/>
    <s v="Eli"/>
    <n v="9"/>
    <x v="1"/>
    <s v="Justin Jefferson"/>
    <x v="334"/>
    <n v="2024"/>
  </r>
  <r>
    <x v="4"/>
    <s v="Eli"/>
    <n v="9"/>
    <x v="1"/>
    <s v="Xavier Legette"/>
    <x v="66"/>
    <n v="2024"/>
  </r>
  <r>
    <x v="4"/>
    <s v="Eli"/>
    <n v="9"/>
    <x v="1"/>
    <s v="DJ Moore"/>
    <x v="128"/>
    <n v="2024"/>
  </r>
  <r>
    <x v="4"/>
    <s v="Eli"/>
    <n v="9"/>
    <x v="2"/>
    <s v="Bijan Robinson"/>
    <x v="72"/>
    <n v="2024"/>
  </r>
  <r>
    <x v="4"/>
    <s v="Eli"/>
    <n v="9"/>
    <x v="2"/>
    <s v="Roschon Johnson"/>
    <x v="115"/>
    <n v="2024"/>
  </r>
  <r>
    <x v="4"/>
    <s v="Eli"/>
    <n v="9"/>
    <x v="3"/>
    <s v="David Njoku"/>
    <x v="167"/>
    <n v="2024"/>
  </r>
  <r>
    <x v="4"/>
    <s v="Eli"/>
    <n v="9"/>
    <x v="5"/>
    <s v="Tyler Bass"/>
    <x v="49"/>
    <n v="2024"/>
  </r>
  <r>
    <x v="4"/>
    <s v="Eli"/>
    <n v="9"/>
    <x v="4"/>
    <s v="NYJ"/>
    <x v="49"/>
    <n v="2024"/>
  </r>
  <r>
    <x v="4"/>
    <s v="Eli"/>
    <n v="9"/>
    <x v="8"/>
    <s v="Kyle Pitts"/>
    <x v="70"/>
    <n v="2024"/>
  </r>
  <r>
    <x v="9"/>
    <s v="Tommy"/>
    <n v="9"/>
    <x v="0"/>
    <s v="Josh Allen"/>
    <x v="335"/>
    <n v="2024"/>
  </r>
  <r>
    <x v="9"/>
    <s v="Tommy"/>
    <n v="9"/>
    <x v="1"/>
    <s v="Malik Nabers"/>
    <x v="316"/>
    <n v="2024"/>
  </r>
  <r>
    <x v="9"/>
    <s v="Tommy"/>
    <n v="9"/>
    <x v="1"/>
    <s v="Romeo Doubs"/>
    <x v="245"/>
    <n v="2024"/>
  </r>
  <r>
    <x v="9"/>
    <s v="Tommy"/>
    <n v="9"/>
    <x v="1"/>
    <s v="Xavier Worthy"/>
    <x v="284"/>
    <n v="2024"/>
  </r>
  <r>
    <x v="9"/>
    <s v="Tommy"/>
    <n v="9"/>
    <x v="2"/>
    <s v="Saquon Barkley"/>
    <x v="336"/>
    <n v="2024"/>
  </r>
  <r>
    <x v="9"/>
    <s v="Tommy"/>
    <n v="9"/>
    <x v="2"/>
    <s v="Kyren Williams"/>
    <x v="8"/>
    <n v="2024"/>
  </r>
  <r>
    <x v="9"/>
    <s v="Tommy"/>
    <n v="9"/>
    <x v="3"/>
    <s v="Mark Andrews"/>
    <x v="54"/>
    <n v="2024"/>
  </r>
  <r>
    <x v="9"/>
    <s v="Tommy"/>
    <n v="9"/>
    <x v="5"/>
    <s v="Harrison Butker"/>
    <x v="76"/>
    <n v="2024"/>
  </r>
  <r>
    <x v="9"/>
    <s v="Tommy"/>
    <n v="9"/>
    <x v="4"/>
    <s v="Minnesota"/>
    <x v="122"/>
    <n v="2024"/>
  </r>
  <r>
    <x v="9"/>
    <s v="Tommy"/>
    <n v="9"/>
    <x v="7"/>
    <s v="Alexander Mattison"/>
    <x v="54"/>
    <n v="2024"/>
  </r>
  <r>
    <x v="8"/>
    <s v="Schulwolf"/>
    <n v="9"/>
    <x v="0"/>
    <s v="Jayden Daniels"/>
    <x v="337"/>
    <n v="2024"/>
  </r>
  <r>
    <x v="8"/>
    <s v="Schulwolf"/>
    <n v="9"/>
    <x v="1"/>
    <s v="Devonta Smith"/>
    <x v="186"/>
    <n v="2024"/>
  </r>
  <r>
    <x v="8"/>
    <s v="Schulwolf"/>
    <n v="9"/>
    <x v="1"/>
    <s v="Cooper Kupp"/>
    <x v="4"/>
    <n v="2024"/>
  </r>
  <r>
    <x v="8"/>
    <s v="Schulwolf"/>
    <n v="9"/>
    <x v="1"/>
    <s v="Terry McLaurin"/>
    <x v="134"/>
    <n v="2024"/>
  </r>
  <r>
    <x v="8"/>
    <s v="Schulwolf"/>
    <n v="9"/>
    <x v="2"/>
    <s v="Jahmyr Gibbs"/>
    <x v="127"/>
    <n v="2024"/>
  </r>
  <r>
    <x v="8"/>
    <s v="Schulwolf"/>
    <n v="9"/>
    <x v="2"/>
    <s v="James Cook"/>
    <x v="156"/>
    <n v="2024"/>
  </r>
  <r>
    <x v="8"/>
    <s v="Schulwolf"/>
    <n v="9"/>
    <x v="3"/>
    <s v="Dalton Kincaid"/>
    <x v="22"/>
    <n v="2024"/>
  </r>
  <r>
    <x v="8"/>
    <s v="Schulwolf"/>
    <n v="9"/>
    <x v="5"/>
    <s v="Brandon Aubrey"/>
    <x v="24"/>
    <n v="2024"/>
  </r>
  <r>
    <x v="8"/>
    <s v="Schulwolf"/>
    <n v="9"/>
    <x v="4"/>
    <s v="Philadelphia"/>
    <x v="8"/>
    <n v="2024"/>
  </r>
  <r>
    <x v="8"/>
    <s v="Schulwolf"/>
    <n v="9"/>
    <x v="6"/>
    <s v="Tyler Lockett"/>
    <x v="12"/>
    <n v="2024"/>
  </r>
  <r>
    <x v="7"/>
    <s v="Jay"/>
    <n v="9"/>
    <x v="0"/>
    <s v="Lamar Jackson"/>
    <x v="200"/>
    <n v="2024"/>
  </r>
  <r>
    <x v="7"/>
    <s v="Jay"/>
    <n v="9"/>
    <x v="1"/>
    <s v="Quentin Johnston"/>
    <x v="109"/>
    <n v="2024"/>
  </r>
  <r>
    <x v="7"/>
    <s v="Jay"/>
    <n v="9"/>
    <x v="1"/>
    <s v="Parker Washington"/>
    <x v="90"/>
    <n v="2024"/>
  </r>
  <r>
    <x v="7"/>
    <s v="Jay"/>
    <n v="9"/>
    <x v="1"/>
    <s v="Keon Coleman"/>
    <x v="163"/>
    <n v="2024"/>
  </r>
  <r>
    <x v="7"/>
    <s v="Jay"/>
    <n v="9"/>
    <x v="2"/>
    <s v="Alvin Kamara"/>
    <x v="338"/>
    <n v="2024"/>
  </r>
  <r>
    <x v="7"/>
    <s v="Jay"/>
    <n v="9"/>
    <x v="2"/>
    <s v="Jonathan Taylor"/>
    <x v="223"/>
    <n v="2024"/>
  </r>
  <r>
    <x v="7"/>
    <s v="Jay"/>
    <n v="9"/>
    <x v="3"/>
    <s v="Evan Engram"/>
    <x v="24"/>
    <n v="2024"/>
  </r>
  <r>
    <x v="7"/>
    <s v="Jay"/>
    <n v="9"/>
    <x v="5"/>
    <s v="Ka'imi Fairbairn"/>
    <x v="32"/>
    <n v="2024"/>
  </r>
  <r>
    <x v="7"/>
    <s v="Jay"/>
    <n v="9"/>
    <x v="4"/>
    <s v="Tennessee"/>
    <x v="122"/>
    <n v="2024"/>
  </r>
  <r>
    <x v="7"/>
    <s v="Jay"/>
    <n v="9"/>
    <x v="7"/>
    <s v="Devin Singletary"/>
    <x v="309"/>
    <n v="2024"/>
  </r>
  <r>
    <x v="11"/>
    <s v="Cam"/>
    <n v="9"/>
    <x v="0"/>
    <s v="Joe Burrow"/>
    <x v="339"/>
    <n v="2024"/>
  </r>
  <r>
    <x v="11"/>
    <s v="Cam"/>
    <n v="9"/>
    <x v="1"/>
    <s v="Jakobi Meyers"/>
    <x v="107"/>
    <n v="2024"/>
  </r>
  <r>
    <x v="11"/>
    <s v="Cam"/>
    <n v="9"/>
    <x v="1"/>
    <s v="Ja'Marr Chase"/>
    <x v="280"/>
    <n v="2024"/>
  </r>
  <r>
    <x v="11"/>
    <s v="Cam"/>
    <n v="9"/>
    <x v="1"/>
    <s v="Wan'Dale Robinson"/>
    <x v="52"/>
    <n v="2024"/>
  </r>
  <r>
    <x v="11"/>
    <s v="Cam"/>
    <n v="9"/>
    <x v="2"/>
    <s v="JK Dobbins"/>
    <x v="148"/>
    <n v="2024"/>
  </r>
  <r>
    <x v="11"/>
    <s v="Cam"/>
    <n v="9"/>
    <x v="2"/>
    <s v="D'Andre Swift"/>
    <x v="174"/>
    <n v="2024"/>
  </r>
  <r>
    <x v="11"/>
    <s v="Cam"/>
    <n v="9"/>
    <x v="3"/>
    <s v="Zach Ertz"/>
    <x v="78"/>
    <n v="2024"/>
  </r>
  <r>
    <x v="11"/>
    <s v="Cam"/>
    <n v="9"/>
    <x v="5"/>
    <s v="Chase McLaughlin"/>
    <x v="76"/>
    <n v="2024"/>
  </r>
  <r>
    <x v="11"/>
    <s v="Cam"/>
    <n v="9"/>
    <x v="4"/>
    <s v="Chicago"/>
    <x v="25"/>
    <n v="2024"/>
  </r>
  <r>
    <x v="11"/>
    <s v="Cam"/>
    <n v="9"/>
    <x v="7"/>
    <s v="Aaron Jones"/>
    <x v="208"/>
    <n v="2024"/>
  </r>
  <r>
    <x v="3"/>
    <s v="Kevin"/>
    <n v="9"/>
    <x v="0"/>
    <s v="CJ Stroud"/>
    <x v="340"/>
    <n v="2024"/>
  </r>
  <r>
    <x v="3"/>
    <s v="Kevin"/>
    <n v="9"/>
    <x v="1"/>
    <s v="Jordan Addison"/>
    <x v="38"/>
    <n v="2024"/>
  </r>
  <r>
    <x v="3"/>
    <s v="Kevin"/>
    <n v="9"/>
    <x v="1"/>
    <s v="DeAndre Hopkins"/>
    <x v="341"/>
    <n v="2024"/>
  </r>
  <r>
    <x v="3"/>
    <s v="Kevin"/>
    <n v="9"/>
    <x v="1"/>
    <s v="Marvin Harrison Jr"/>
    <x v="61"/>
    <n v="2024"/>
  </r>
  <r>
    <x v="3"/>
    <s v="Kevin"/>
    <n v="9"/>
    <x v="2"/>
    <s v="Chuba Hubbard"/>
    <x v="342"/>
    <n v="2024"/>
  </r>
  <r>
    <x v="3"/>
    <s v="Kevin"/>
    <n v="9"/>
    <x v="2"/>
    <s v="Joe Mixon"/>
    <x v="248"/>
    <n v="2024"/>
  </r>
  <r>
    <x v="3"/>
    <s v="Kevin"/>
    <n v="9"/>
    <x v="3"/>
    <s v="Hunter Henry"/>
    <x v="74"/>
    <n v="2024"/>
  </r>
  <r>
    <x v="3"/>
    <s v="Kevin"/>
    <n v="9"/>
    <x v="5"/>
    <s v="Justin Tucker"/>
    <x v="138"/>
    <n v="2024"/>
  </r>
  <r>
    <x v="3"/>
    <s v="Kevin"/>
    <n v="9"/>
    <x v="4"/>
    <s v="Cincinnati"/>
    <x v="138"/>
    <n v="2024"/>
  </r>
  <r>
    <x v="3"/>
    <s v="Kevin"/>
    <n v="9"/>
    <x v="6"/>
    <s v="Chris Olave"/>
    <x v="213"/>
    <n v="2024"/>
  </r>
  <r>
    <x v="0"/>
    <s v="Brenton"/>
    <n v="10"/>
    <x v="0"/>
    <s v="Baker Mayfield"/>
    <x v="343"/>
    <n v="2024"/>
  </r>
  <r>
    <x v="0"/>
    <s v="Brenton"/>
    <n v="10"/>
    <x v="1"/>
    <s v="Courtland Sutton"/>
    <x v="101"/>
    <n v="2024"/>
  </r>
  <r>
    <x v="0"/>
    <s v="Brenton"/>
    <n v="10"/>
    <x v="1"/>
    <s v="Tyreek Hill"/>
    <x v="208"/>
    <n v="2024"/>
  </r>
  <r>
    <x v="0"/>
    <s v="Brenton"/>
    <n v="10"/>
    <x v="1"/>
    <s v="Zay Flowers"/>
    <x v="167"/>
    <n v="2024"/>
  </r>
  <r>
    <x v="0"/>
    <s v="Brenton"/>
    <n v="10"/>
    <x v="2"/>
    <s v="Tyrone Tracy"/>
    <x v="134"/>
    <n v="2024"/>
  </r>
  <r>
    <x v="0"/>
    <s v="Brenton"/>
    <n v="10"/>
    <x v="2"/>
    <s v="Christian McCaffrey"/>
    <x v="44"/>
    <n v="2024"/>
  </r>
  <r>
    <x v="0"/>
    <s v="Brenton"/>
    <n v="10"/>
    <x v="3"/>
    <s v="Trey McBride"/>
    <x v="74"/>
    <n v="2024"/>
  </r>
  <r>
    <x v="0"/>
    <s v="Brenton"/>
    <n v="10"/>
    <x v="5"/>
    <s v="Jake Elliott"/>
    <x v="8"/>
    <n v="2024"/>
  </r>
  <r>
    <x v="0"/>
    <s v="Brenton"/>
    <n v="10"/>
    <x v="4"/>
    <s v="NY Giants"/>
    <x v="7"/>
    <n v="2024"/>
  </r>
  <r>
    <x v="0"/>
    <s v="Brenton"/>
    <n v="10"/>
    <x v="7"/>
    <s v="Javonte Williams"/>
    <x v="344"/>
    <n v="2024"/>
  </r>
  <r>
    <x v="5"/>
    <s v="Burnett/Jasjaap"/>
    <n v="10"/>
    <x v="0"/>
    <s v="Brock Purdy"/>
    <x v="110"/>
    <n v="2024"/>
  </r>
  <r>
    <x v="5"/>
    <s v="Burnett/Jasjaap"/>
    <n v="10"/>
    <x v="1"/>
    <s v="Puka Nacua"/>
    <x v="130"/>
    <n v="2024"/>
  </r>
  <r>
    <x v="5"/>
    <s v="Burnett/Jasjaap"/>
    <n v="10"/>
    <x v="1"/>
    <s v="Jaylen Waddle"/>
    <x v="108"/>
    <n v="2024"/>
  </r>
  <r>
    <x v="5"/>
    <s v="Burnett/Jasjaap"/>
    <n v="10"/>
    <x v="1"/>
    <s v="Ricky Pearsall"/>
    <x v="259"/>
    <n v="2024"/>
  </r>
  <r>
    <x v="5"/>
    <s v="Burnett/Jasjaap"/>
    <n v="10"/>
    <x v="2"/>
    <s v="David Montgomery"/>
    <x v="324"/>
    <n v="2024"/>
  </r>
  <r>
    <x v="5"/>
    <s v="Burnett/Jasjaap"/>
    <n v="10"/>
    <x v="2"/>
    <s v="Rico Dowdle"/>
    <x v="108"/>
    <n v="2024"/>
  </r>
  <r>
    <x v="5"/>
    <s v="Burnett/Jasjaap"/>
    <n v="10"/>
    <x v="3"/>
    <s v="Cole Kmet"/>
    <x v="98"/>
    <n v="2024"/>
  </r>
  <r>
    <x v="5"/>
    <s v="Burnett/Jasjaap"/>
    <n v="10"/>
    <x v="5"/>
    <s v="Jake Bates"/>
    <x v="122"/>
    <n v="2024"/>
  </r>
  <r>
    <x v="5"/>
    <s v="Burnett/Jasjaap"/>
    <n v="10"/>
    <x v="4"/>
    <s v="Kansas City"/>
    <x v="25"/>
    <n v="2024"/>
  </r>
  <r>
    <x v="5"/>
    <s v="Burnett/Jasjaap"/>
    <n v="10"/>
    <x v="6"/>
    <s v="CeeDee Lamb"/>
    <x v="167"/>
    <n v="2024"/>
  </r>
  <r>
    <x v="2"/>
    <s v="Mike"/>
    <n v="10"/>
    <x v="0"/>
    <s v="Patrick Mahomes"/>
    <x v="345"/>
    <n v="2024"/>
  </r>
  <r>
    <x v="2"/>
    <s v="Mike"/>
    <n v="10"/>
    <x v="1"/>
    <s v="Khalil Shakir"/>
    <x v="48"/>
    <n v="2024"/>
  </r>
  <r>
    <x v="2"/>
    <s v="Mike"/>
    <n v="10"/>
    <x v="1"/>
    <s v="Davante Adams"/>
    <x v="289"/>
    <n v="2024"/>
  </r>
  <r>
    <x v="2"/>
    <s v="Mike"/>
    <n v="10"/>
    <x v="1"/>
    <s v="Tank Dell"/>
    <x v="225"/>
    <n v="2024"/>
  </r>
  <r>
    <x v="2"/>
    <s v="Mike"/>
    <n v="10"/>
    <x v="2"/>
    <s v="Chase Brown"/>
    <x v="81"/>
    <n v="2024"/>
  </r>
  <r>
    <x v="2"/>
    <s v="Mike"/>
    <n v="10"/>
    <x v="2"/>
    <s v="Derrick Henry"/>
    <x v="38"/>
    <n v="2024"/>
  </r>
  <r>
    <x v="2"/>
    <s v="Mike"/>
    <n v="10"/>
    <x v="3"/>
    <s v="Sam LaPorta"/>
    <x v="127"/>
    <n v="2024"/>
  </r>
  <r>
    <x v="2"/>
    <s v="Mike"/>
    <n v="10"/>
    <x v="5"/>
    <s v="Younghoe Koo"/>
    <x v="7"/>
    <n v="2024"/>
  </r>
  <r>
    <x v="2"/>
    <s v="Mike"/>
    <n v="10"/>
    <x v="4"/>
    <s v="Buffalo"/>
    <x v="72"/>
    <n v="2024"/>
  </r>
  <r>
    <x v="2"/>
    <s v="Mike"/>
    <n v="10"/>
    <x v="7"/>
    <s v="Kareem Hunt"/>
    <x v="201"/>
    <n v="2024"/>
  </r>
  <r>
    <x v="6"/>
    <s v="Will"/>
    <n v="10"/>
    <x v="0"/>
    <s v="Caleb Williams"/>
    <x v="149"/>
    <n v="2024"/>
  </r>
  <r>
    <x v="6"/>
    <s v="Will"/>
    <n v="10"/>
    <x v="1"/>
    <s v="Drake London"/>
    <x v="44"/>
    <n v="2024"/>
  </r>
  <r>
    <x v="6"/>
    <s v="Will"/>
    <n v="10"/>
    <x v="1"/>
    <s v="Amon-Ra St. Brown"/>
    <x v="63"/>
    <n v="2024"/>
  </r>
  <r>
    <x v="6"/>
    <s v="Will"/>
    <n v="10"/>
    <x v="1"/>
    <s v="Josh Downs"/>
    <x v="252"/>
    <n v="2024"/>
  </r>
  <r>
    <x v="6"/>
    <s v="Will"/>
    <n v="10"/>
    <x v="2"/>
    <s v="Austin Ekeler"/>
    <x v="159"/>
    <n v="2024"/>
  </r>
  <r>
    <x v="6"/>
    <s v="Will"/>
    <n v="10"/>
    <x v="2"/>
    <s v="Tony Pollard"/>
    <x v="112"/>
    <n v="2024"/>
  </r>
  <r>
    <x v="6"/>
    <s v="Will"/>
    <n v="10"/>
    <x v="3"/>
    <s v="Travis Kelce"/>
    <x v="64"/>
    <n v="2024"/>
  </r>
  <r>
    <x v="6"/>
    <s v="Will"/>
    <n v="10"/>
    <x v="5"/>
    <s v="Jake Moody"/>
    <x v="8"/>
    <n v="2024"/>
  </r>
  <r>
    <x v="6"/>
    <s v="Will"/>
    <n v="10"/>
    <x v="4"/>
    <s v="Houston"/>
    <x v="24"/>
    <n v="2024"/>
  </r>
  <r>
    <x v="6"/>
    <s v="Will"/>
    <n v="10"/>
    <x v="6"/>
    <s v="Ladd McConkey"/>
    <x v="45"/>
    <n v="2024"/>
  </r>
  <r>
    <x v="1"/>
    <s v="Todd"/>
    <n v="10"/>
    <x v="0"/>
    <s v="Sam Darnold"/>
    <x v="346"/>
    <n v="2024"/>
  </r>
  <r>
    <x v="1"/>
    <s v="Todd"/>
    <n v="10"/>
    <x v="1"/>
    <s v="AJ Brown"/>
    <x v="267"/>
    <n v="2024"/>
  </r>
  <r>
    <x v="1"/>
    <s v="Todd"/>
    <n v="10"/>
    <x v="1"/>
    <s v="Darnell Mooney"/>
    <x v="324"/>
    <n v="2024"/>
  </r>
  <r>
    <x v="1"/>
    <s v="Todd"/>
    <n v="10"/>
    <x v="1"/>
    <s v="Deebo Samuel"/>
    <x v="55"/>
    <n v="2024"/>
  </r>
  <r>
    <x v="1"/>
    <s v="Todd"/>
    <n v="10"/>
    <x v="2"/>
    <s v="James Conner"/>
    <x v="209"/>
    <n v="2024"/>
  </r>
  <r>
    <x v="1"/>
    <s v="Todd"/>
    <n v="10"/>
    <x v="2"/>
    <s v="De'Von Achane"/>
    <x v="322"/>
    <n v="2024"/>
  </r>
  <r>
    <x v="1"/>
    <s v="Todd"/>
    <n v="10"/>
    <x v="3"/>
    <s v="Mike Gesicki"/>
    <x v="103"/>
    <n v="2024"/>
  </r>
  <r>
    <x v="1"/>
    <s v="Todd"/>
    <n v="10"/>
    <x v="5"/>
    <s v="Chris Boswell"/>
    <x v="16"/>
    <n v="2024"/>
  </r>
  <r>
    <x v="1"/>
    <s v="Todd"/>
    <n v="10"/>
    <x v="4"/>
    <s v="Atlanta"/>
    <x v="146"/>
    <n v="2024"/>
  </r>
  <r>
    <x v="1"/>
    <s v="Todd"/>
    <n v="10"/>
    <x v="6"/>
    <s v="Brian Thomas Jr"/>
    <x v="37"/>
    <n v="2024"/>
  </r>
  <r>
    <x v="3"/>
    <s v="Kevin"/>
    <n v="10"/>
    <x v="0"/>
    <s v="CJ Stroud"/>
    <x v="347"/>
    <n v="2024"/>
  </r>
  <r>
    <x v="3"/>
    <s v="Kevin"/>
    <n v="10"/>
    <x v="1"/>
    <s v="Marvin Harrison Jr"/>
    <x v="35"/>
    <n v="2024"/>
  </r>
  <r>
    <x v="3"/>
    <s v="Kevin"/>
    <n v="10"/>
    <x v="1"/>
    <s v="George Pickens"/>
    <x v="72"/>
    <n v="2024"/>
  </r>
  <r>
    <x v="3"/>
    <s v="Kevin"/>
    <n v="10"/>
    <x v="1"/>
    <s v="DeAndre Hopkins"/>
    <x v="287"/>
    <n v="2024"/>
  </r>
  <r>
    <x v="3"/>
    <s v="Kevin"/>
    <n v="10"/>
    <x v="2"/>
    <s v="Chuba Hubbard"/>
    <x v="348"/>
    <n v="2024"/>
  </r>
  <r>
    <x v="3"/>
    <s v="Kevin"/>
    <n v="10"/>
    <x v="2"/>
    <s v="Joe Mixon"/>
    <x v="101"/>
    <n v="2024"/>
  </r>
  <r>
    <x v="3"/>
    <s v="Kevin"/>
    <n v="10"/>
    <x v="3"/>
    <s v="Hunter Henry"/>
    <x v="160"/>
    <n v="2024"/>
  </r>
  <r>
    <x v="3"/>
    <s v="Kevin"/>
    <n v="10"/>
    <x v="5"/>
    <s v="Justin Tucker"/>
    <x v="139"/>
    <n v="2024"/>
  </r>
  <r>
    <x v="3"/>
    <s v="Kevin"/>
    <n v="10"/>
    <x v="4"/>
    <s v="LA Rams"/>
    <x v="32"/>
    <n v="2024"/>
  </r>
  <r>
    <x v="3"/>
    <s v="Kevin"/>
    <n v="10"/>
    <x v="7"/>
    <s v="Najee Harris"/>
    <x v="349"/>
    <n v="2024"/>
  </r>
  <r>
    <x v="4"/>
    <s v="Eli"/>
    <n v="10"/>
    <x v="0"/>
    <s v="Jalen Hurts"/>
    <x v="350"/>
    <n v="2024"/>
  </r>
  <r>
    <x v="4"/>
    <s v="Eli"/>
    <n v="10"/>
    <x v="1"/>
    <s v="Justin Jefferson"/>
    <x v="170"/>
    <n v="2024"/>
  </r>
  <r>
    <x v="4"/>
    <s v="Eli"/>
    <n v="10"/>
    <x v="1"/>
    <s v="Xavier Legette"/>
    <x v="6"/>
    <n v="2024"/>
  </r>
  <r>
    <x v="4"/>
    <s v="Eli"/>
    <n v="10"/>
    <x v="1"/>
    <s v="DJ Moore"/>
    <x v="91"/>
    <n v="2024"/>
  </r>
  <r>
    <x v="4"/>
    <s v="Eli"/>
    <n v="10"/>
    <x v="2"/>
    <s v="Bijan Robinson"/>
    <x v="351"/>
    <n v="2024"/>
  </r>
  <r>
    <x v="4"/>
    <s v="Eli"/>
    <n v="10"/>
    <x v="2"/>
    <s v="Tyjae Spears"/>
    <x v="249"/>
    <n v="2024"/>
  </r>
  <r>
    <x v="4"/>
    <s v="Eli"/>
    <n v="10"/>
    <x v="3"/>
    <s v="Kyle Pitts"/>
    <x v="36"/>
    <n v="2024"/>
  </r>
  <r>
    <x v="4"/>
    <s v="Eli"/>
    <n v="10"/>
    <x v="5"/>
    <s v="Tyler Bass"/>
    <x v="49"/>
    <n v="2024"/>
  </r>
  <r>
    <x v="4"/>
    <s v="Eli"/>
    <n v="10"/>
    <x v="4"/>
    <s v="NYJ"/>
    <x v="246"/>
    <n v="2024"/>
  </r>
  <r>
    <x v="4"/>
    <s v="Eli"/>
    <n v="10"/>
    <x v="6"/>
    <s v="Rome Odunze"/>
    <x v="154"/>
    <n v="2024"/>
  </r>
  <r>
    <x v="8"/>
    <s v="Schulwolf"/>
    <n v="10"/>
    <x v="0"/>
    <s v="Jayden Daniels"/>
    <x v="352"/>
    <n v="2024"/>
  </r>
  <r>
    <x v="8"/>
    <s v="Schulwolf"/>
    <n v="10"/>
    <x v="1"/>
    <s v="Terry McLaurin"/>
    <x v="12"/>
    <n v="2024"/>
  </r>
  <r>
    <x v="8"/>
    <s v="Schulwolf"/>
    <n v="10"/>
    <x v="1"/>
    <s v="Cooper Kupp"/>
    <x v="253"/>
    <n v="2024"/>
  </r>
  <r>
    <x v="8"/>
    <s v="Schulwolf"/>
    <n v="10"/>
    <x v="1"/>
    <s v="Devonta Smith"/>
    <x v="61"/>
    <n v="2024"/>
  </r>
  <r>
    <x v="8"/>
    <s v="Schulwolf"/>
    <n v="10"/>
    <x v="2"/>
    <s v="James Cook"/>
    <x v="63"/>
    <n v="2024"/>
  </r>
  <r>
    <x v="8"/>
    <s v="Schulwolf"/>
    <n v="10"/>
    <x v="2"/>
    <s v="Jahmyr Gibbs"/>
    <x v="69"/>
    <n v="2024"/>
  </r>
  <r>
    <x v="8"/>
    <s v="Schulwolf"/>
    <n v="10"/>
    <x v="3"/>
    <s v="Dalton Kincaid"/>
    <x v="232"/>
    <n v="2024"/>
  </r>
  <r>
    <x v="8"/>
    <s v="Schulwolf"/>
    <n v="10"/>
    <x v="5"/>
    <s v="Brandon Aubrey"/>
    <x v="76"/>
    <n v="2024"/>
  </r>
  <r>
    <x v="8"/>
    <s v="Schulwolf"/>
    <n v="10"/>
    <x v="4"/>
    <s v="Philadelphia"/>
    <x v="33"/>
    <n v="2024"/>
  </r>
  <r>
    <x v="8"/>
    <s v="Schulwolf"/>
    <n v="10"/>
    <x v="7"/>
    <s v="Ray Davis"/>
    <x v="353"/>
    <n v="2024"/>
  </r>
  <r>
    <x v="10"/>
    <s v="Brand"/>
    <n v="10"/>
    <x v="0"/>
    <s v="Kirk Cousins"/>
    <x v="354"/>
    <n v="2024"/>
  </r>
  <r>
    <x v="10"/>
    <s v="Brand"/>
    <n v="10"/>
    <x v="1"/>
    <s v="Keenan Allen"/>
    <x v="92"/>
    <n v="2024"/>
  </r>
  <r>
    <x v="10"/>
    <s v="Brand"/>
    <n v="10"/>
    <x v="1"/>
    <s v="Garrett Wilson"/>
    <x v="249"/>
    <n v="2024"/>
  </r>
  <r>
    <x v="10"/>
    <s v="Brand"/>
    <n v="10"/>
    <x v="1"/>
    <s v="Jameson Williams"/>
    <x v="283"/>
    <n v="2024"/>
  </r>
  <r>
    <x v="10"/>
    <s v="Brand"/>
    <n v="10"/>
    <x v="2"/>
    <s v="Bucky Irving"/>
    <x v="11"/>
    <n v="2024"/>
  </r>
  <r>
    <x v="10"/>
    <s v="Brand"/>
    <n v="10"/>
    <x v="2"/>
    <s v="Breece Hall"/>
    <x v="204"/>
    <n v="2024"/>
  </r>
  <r>
    <x v="10"/>
    <s v="Brand"/>
    <n v="10"/>
    <x v="3"/>
    <s v="TJ Hockenson"/>
    <x v="174"/>
    <n v="2024"/>
  </r>
  <r>
    <x v="10"/>
    <s v="Brand"/>
    <n v="10"/>
    <x v="5"/>
    <s v="Cameron Dicker"/>
    <x v="24"/>
    <n v="2024"/>
  </r>
  <r>
    <x v="10"/>
    <s v="Brand"/>
    <n v="10"/>
    <x v="4"/>
    <s v="LA Chargers"/>
    <x v="24"/>
    <n v="2024"/>
  </r>
  <r>
    <x v="10"/>
    <s v="Brand"/>
    <n v="10"/>
    <x v="8"/>
    <s v="Taysom Hill"/>
    <x v="25"/>
    <n v="2024"/>
  </r>
  <r>
    <x v="7"/>
    <s v="Jay"/>
    <n v="10"/>
    <x v="0"/>
    <s v="Lamar Jackson"/>
    <x v="355"/>
    <n v="2024"/>
  </r>
  <r>
    <x v="7"/>
    <s v="Jay"/>
    <n v="10"/>
    <x v="1"/>
    <s v="Jauan Jennings"/>
    <x v="233"/>
    <n v="2024"/>
  </r>
  <r>
    <x v="7"/>
    <s v="Jay"/>
    <n v="10"/>
    <x v="1"/>
    <s v="Quentin Johnston"/>
    <x v="156"/>
    <n v="2024"/>
  </r>
  <r>
    <x v="7"/>
    <s v="Jay"/>
    <n v="10"/>
    <x v="1"/>
    <s v="Demarcus Robinson"/>
    <x v="5"/>
    <n v="2024"/>
  </r>
  <r>
    <x v="7"/>
    <s v="Jay"/>
    <n v="10"/>
    <x v="2"/>
    <s v="Alvin Kamara"/>
    <x v="267"/>
    <n v="2024"/>
  </r>
  <r>
    <x v="7"/>
    <s v="Jay"/>
    <n v="10"/>
    <x v="2"/>
    <s v="Jonathan Taylor"/>
    <x v="145"/>
    <n v="2024"/>
  </r>
  <r>
    <x v="7"/>
    <s v="Jay"/>
    <n v="10"/>
    <x v="3"/>
    <s v="Evan Engram"/>
    <x v="76"/>
    <n v="2024"/>
  </r>
  <r>
    <x v="7"/>
    <s v="Jay"/>
    <n v="10"/>
    <x v="5"/>
    <s v="Ka'imi Fairbairn"/>
    <x v="49"/>
    <n v="2024"/>
  </r>
  <r>
    <x v="7"/>
    <s v="Jay"/>
    <n v="10"/>
    <x v="4"/>
    <s v="New England"/>
    <x v="176"/>
    <n v="2024"/>
  </r>
  <r>
    <x v="7"/>
    <s v="Jay"/>
    <n v="10"/>
    <x v="6"/>
    <s v="Sterling Shepard"/>
    <x v="202"/>
    <n v="2024"/>
  </r>
  <r>
    <x v="11"/>
    <s v="Cam"/>
    <n v="10"/>
    <x v="0"/>
    <s v="Joe Burrow"/>
    <x v="356"/>
    <n v="2024"/>
  </r>
  <r>
    <x v="11"/>
    <s v="Cam"/>
    <n v="10"/>
    <x v="1"/>
    <s v="Ja'Marr Chase"/>
    <x v="357"/>
    <n v="2024"/>
  </r>
  <r>
    <x v="11"/>
    <s v="Cam"/>
    <n v="10"/>
    <x v="1"/>
    <s v="Wan'Dale Robinson"/>
    <x v="287"/>
    <n v="2024"/>
  </r>
  <r>
    <x v="11"/>
    <s v="Cam"/>
    <n v="10"/>
    <x v="1"/>
    <s v="Nico Collins"/>
    <x v="146"/>
    <n v="2024"/>
  </r>
  <r>
    <x v="11"/>
    <s v="Cam"/>
    <n v="10"/>
    <x v="2"/>
    <s v="Aaron Jones"/>
    <x v="43"/>
    <n v="2024"/>
  </r>
  <r>
    <x v="11"/>
    <s v="Cam"/>
    <n v="10"/>
    <x v="2"/>
    <s v="JK Dobbins"/>
    <x v="76"/>
    <n v="2024"/>
  </r>
  <r>
    <x v="11"/>
    <s v="Cam"/>
    <n v="10"/>
    <x v="3"/>
    <s v="George Kittle"/>
    <x v="145"/>
    <n v="2024"/>
  </r>
  <r>
    <x v="11"/>
    <s v="Cam"/>
    <n v="10"/>
    <x v="5"/>
    <s v="Evan McPherson"/>
    <x v="16"/>
    <n v="2024"/>
  </r>
  <r>
    <x v="11"/>
    <s v="Cam"/>
    <n v="10"/>
    <x v="4"/>
    <s v="Chicago"/>
    <x v="7"/>
    <n v="2024"/>
  </r>
  <r>
    <x v="11"/>
    <s v="Cam"/>
    <n v="10"/>
    <x v="7"/>
    <s v="D'Andre Swift"/>
    <x v="76"/>
    <n v="2024"/>
  </r>
  <r>
    <x v="9"/>
    <s v="Tommy"/>
    <n v="10"/>
    <x v="0"/>
    <s v="Josh Allen"/>
    <x v="185"/>
    <n v="2024"/>
  </r>
  <r>
    <x v="9"/>
    <s v="Tommy"/>
    <n v="10"/>
    <x v="1"/>
    <s v="Malik Nabers"/>
    <x v="280"/>
    <n v="2024"/>
  </r>
  <r>
    <x v="9"/>
    <s v="Tommy"/>
    <n v="10"/>
    <x v="1"/>
    <s v="Michael Wilson"/>
    <x v="132"/>
    <n v="2024"/>
  </r>
  <r>
    <x v="9"/>
    <s v="Tommy"/>
    <n v="10"/>
    <x v="1"/>
    <s v="Xavier Worthy"/>
    <x v="70"/>
    <n v="2024"/>
  </r>
  <r>
    <x v="9"/>
    <s v="Tommy"/>
    <n v="10"/>
    <x v="2"/>
    <s v="Saquon Barkley"/>
    <x v="112"/>
    <n v="2024"/>
  </r>
  <r>
    <x v="9"/>
    <s v="Tommy"/>
    <n v="10"/>
    <x v="2"/>
    <s v="Kyren Williams"/>
    <x v="161"/>
    <n v="2024"/>
  </r>
  <r>
    <x v="9"/>
    <s v="Tommy"/>
    <n v="10"/>
    <x v="3"/>
    <s v="Mark Andrews"/>
    <x v="47"/>
    <n v="2024"/>
  </r>
  <r>
    <x v="9"/>
    <s v="Tommy"/>
    <n v="10"/>
    <x v="5"/>
    <s v="Harrison Butker"/>
    <x v="8"/>
    <n v="2024"/>
  </r>
  <r>
    <x v="9"/>
    <s v="Tommy"/>
    <n v="10"/>
    <x v="4"/>
    <s v="Minnesota"/>
    <x v="101"/>
    <n v="2024"/>
  </r>
  <r>
    <x v="9"/>
    <s v="Tommy"/>
    <n v="10"/>
    <x v="8"/>
    <s v="Cade Otton"/>
    <x v="25"/>
    <n v="2024"/>
  </r>
  <r>
    <x v="0"/>
    <s v="Brenton"/>
    <n v="11"/>
    <x v="0"/>
    <s v="Tua Tagovailoa"/>
    <x v="358"/>
    <n v="2024"/>
  </r>
  <r>
    <x v="0"/>
    <s v="Brenton"/>
    <n v="11"/>
    <x v="1"/>
    <s v="Tyreek Hill"/>
    <x v="144"/>
    <n v="2024"/>
  </r>
  <r>
    <x v="0"/>
    <s v="Brenton"/>
    <n v="11"/>
    <x v="1"/>
    <s v="Courtland Sutton"/>
    <x v="349"/>
    <n v="2024"/>
  </r>
  <r>
    <x v="0"/>
    <s v="Brenton"/>
    <n v="11"/>
    <x v="1"/>
    <s v="Zay Flowers"/>
    <x v="53"/>
    <n v="2024"/>
  </r>
  <r>
    <x v="0"/>
    <s v="Brenton"/>
    <n v="11"/>
    <x v="2"/>
    <s v="Christian McCaffrey"/>
    <x v="229"/>
    <n v="2024"/>
  </r>
  <r>
    <x v="0"/>
    <s v="Brenton"/>
    <n v="11"/>
    <x v="2"/>
    <s v="Audric Estime"/>
    <x v="16"/>
    <n v="2024"/>
  </r>
  <r>
    <x v="0"/>
    <s v="Brenton"/>
    <n v="11"/>
    <x v="3"/>
    <s v="Jonnu Smith"/>
    <x v="359"/>
    <n v="2024"/>
  </r>
  <r>
    <x v="0"/>
    <s v="Brenton"/>
    <n v="11"/>
    <x v="5"/>
    <s v="Jake Elliott"/>
    <x v="25"/>
    <n v="2024"/>
  </r>
  <r>
    <x v="0"/>
    <s v="Brenton"/>
    <n v="11"/>
    <x v="4"/>
    <s v="Detroit"/>
    <x v="49"/>
    <n v="2024"/>
  </r>
  <r>
    <x v="0"/>
    <s v="Brenton"/>
    <n v="11"/>
    <x v="6"/>
    <s v="Cedric Tillman"/>
    <x v="45"/>
    <n v="2024"/>
  </r>
  <r>
    <x v="6"/>
    <s v="Will"/>
    <n v="11"/>
    <x v="0"/>
    <s v="Russell Wilson"/>
    <x v="149"/>
    <n v="2024"/>
  </r>
  <r>
    <x v="6"/>
    <s v="Will"/>
    <n v="11"/>
    <x v="1"/>
    <s v="Amon-Ra St. Brown"/>
    <x v="360"/>
    <n v="2024"/>
  </r>
  <r>
    <x v="6"/>
    <s v="Will"/>
    <n v="11"/>
    <x v="1"/>
    <s v="Josh Downs"/>
    <x v="114"/>
    <n v="2024"/>
  </r>
  <r>
    <x v="6"/>
    <s v="Will"/>
    <n v="11"/>
    <x v="1"/>
    <s v="Jaxon Smith-Njigba"/>
    <x v="361"/>
    <n v="2024"/>
  </r>
  <r>
    <x v="6"/>
    <s v="Will"/>
    <n v="11"/>
    <x v="2"/>
    <s v="Austin Ekeler"/>
    <x v="38"/>
    <n v="2024"/>
  </r>
  <r>
    <x v="6"/>
    <s v="Will"/>
    <n v="11"/>
    <x v="2"/>
    <s v="Tony Pollard"/>
    <x v="132"/>
    <n v="2024"/>
  </r>
  <r>
    <x v="6"/>
    <s v="Will"/>
    <n v="11"/>
    <x v="3"/>
    <s v="Travis Kelce"/>
    <x v="213"/>
    <n v="2024"/>
  </r>
  <r>
    <x v="6"/>
    <s v="Will"/>
    <n v="11"/>
    <x v="5"/>
    <s v="Jake Moody"/>
    <x v="103"/>
    <n v="2024"/>
  </r>
  <r>
    <x v="6"/>
    <s v="Will"/>
    <n v="11"/>
    <x v="4"/>
    <s v="Houston"/>
    <x v="72"/>
    <n v="2024"/>
  </r>
  <r>
    <x v="6"/>
    <s v="Will"/>
    <n v="11"/>
    <x v="6"/>
    <s v="Drake London"/>
    <x v="287"/>
    <n v="2024"/>
  </r>
  <r>
    <x v="2"/>
    <s v="Mike"/>
    <n v="11"/>
    <x v="0"/>
    <s v="Patrick Mahomes"/>
    <x v="362"/>
    <n v="2024"/>
  </r>
  <r>
    <x v="2"/>
    <s v="Mike"/>
    <n v="11"/>
    <x v="1"/>
    <s v="Khalil Shakir"/>
    <x v="138"/>
    <n v="2024"/>
  </r>
  <r>
    <x v="2"/>
    <s v="Mike"/>
    <n v="11"/>
    <x v="1"/>
    <s v="Davante Adams"/>
    <x v="208"/>
    <n v="2024"/>
  </r>
  <r>
    <x v="2"/>
    <s v="Mike"/>
    <n v="11"/>
    <x v="1"/>
    <s v="Tank Dell"/>
    <x v="280"/>
    <n v="2024"/>
  </r>
  <r>
    <x v="2"/>
    <s v="Mike"/>
    <n v="11"/>
    <x v="2"/>
    <s v="Chase Brown"/>
    <x v="361"/>
    <n v="2024"/>
  </r>
  <r>
    <x v="2"/>
    <s v="Mike"/>
    <n v="11"/>
    <x v="2"/>
    <s v="Derrick Henry"/>
    <x v="27"/>
    <n v="2024"/>
  </r>
  <r>
    <x v="2"/>
    <s v="Mike"/>
    <n v="11"/>
    <x v="3"/>
    <s v="Jake Ferguson"/>
    <x v="70"/>
    <n v="2024"/>
  </r>
  <r>
    <x v="2"/>
    <s v="Mike"/>
    <n v="11"/>
    <x v="5"/>
    <s v="Younghoe Koo"/>
    <x v="24"/>
    <n v="2024"/>
  </r>
  <r>
    <x v="2"/>
    <s v="Mike"/>
    <n v="11"/>
    <x v="4"/>
    <s v="Buffalo"/>
    <x v="76"/>
    <n v="2024"/>
  </r>
  <r>
    <x v="2"/>
    <s v="Mike"/>
    <n v="11"/>
    <x v="7"/>
    <s v="Kareem Hunt"/>
    <x v="25"/>
    <n v="2024"/>
  </r>
  <r>
    <x v="1"/>
    <s v="Todd"/>
    <n v="11"/>
    <x v="0"/>
    <s v="Sam Darnold"/>
    <x v="203"/>
    <n v="2024"/>
  </r>
  <r>
    <x v="1"/>
    <s v="Todd"/>
    <n v="11"/>
    <x v="1"/>
    <s v="AJ Brown"/>
    <x v="24"/>
    <n v="2024"/>
  </r>
  <r>
    <x v="1"/>
    <s v="Todd"/>
    <n v="11"/>
    <x v="1"/>
    <s v="Calvin Ridley"/>
    <x v="280"/>
    <n v="2024"/>
  </r>
  <r>
    <x v="1"/>
    <s v="Todd"/>
    <n v="11"/>
    <x v="1"/>
    <s v="Deebo Samuel"/>
    <x v="86"/>
    <n v="2024"/>
  </r>
  <r>
    <x v="1"/>
    <s v="Todd"/>
    <n v="11"/>
    <x v="2"/>
    <s v="De'Von Achane"/>
    <x v="363"/>
    <n v="2024"/>
  </r>
  <r>
    <x v="1"/>
    <s v="Todd"/>
    <n v="11"/>
    <x v="2"/>
    <s v="Raheem Mostert"/>
    <x v="364"/>
    <n v="2024"/>
  </r>
  <r>
    <x v="1"/>
    <s v="Todd"/>
    <n v="11"/>
    <x v="3"/>
    <s v="Tucker Kraft"/>
    <x v="146"/>
    <n v="2024"/>
  </r>
  <r>
    <x v="1"/>
    <s v="Todd"/>
    <n v="11"/>
    <x v="5"/>
    <s v="Chris Boswell"/>
    <x v="275"/>
    <n v="2024"/>
  </r>
  <r>
    <x v="1"/>
    <s v="Todd"/>
    <n v="11"/>
    <x v="4"/>
    <s v="Green Bay"/>
    <x v="103"/>
    <n v="2024"/>
  </r>
  <r>
    <x v="1"/>
    <s v="Todd"/>
    <n v="11"/>
    <x v="6"/>
    <s v="Darnell Mooney"/>
    <x v="206"/>
    <n v="2024"/>
  </r>
  <r>
    <x v="4"/>
    <s v="Eli"/>
    <n v="11"/>
    <x v="0"/>
    <s v="Jalen Hurts"/>
    <x v="365"/>
    <n v="2024"/>
  </r>
  <r>
    <x v="4"/>
    <s v="Eli"/>
    <n v="11"/>
    <x v="1"/>
    <s v="Justin Jefferson"/>
    <x v="43"/>
    <n v="2024"/>
  </r>
  <r>
    <x v="4"/>
    <s v="Eli"/>
    <n v="11"/>
    <x v="1"/>
    <s v="DJ Moore"/>
    <x v="208"/>
    <n v="2024"/>
  </r>
  <r>
    <x v="4"/>
    <s v="Eli"/>
    <n v="11"/>
    <x v="1"/>
    <s v="Marquez Valdes-Scantling"/>
    <x v="93"/>
    <n v="2024"/>
  </r>
  <r>
    <x v="4"/>
    <s v="Eli"/>
    <n v="11"/>
    <x v="2"/>
    <s v="Bijan Robinson"/>
    <x v="112"/>
    <n v="2024"/>
  </r>
  <r>
    <x v="4"/>
    <s v="Eli"/>
    <n v="11"/>
    <x v="2"/>
    <s v="Tyjae Spears"/>
    <x v="213"/>
    <n v="2024"/>
  </r>
  <r>
    <x v="4"/>
    <s v="Eli"/>
    <n v="11"/>
    <x v="3"/>
    <s v="David Njoku"/>
    <x v="306"/>
    <n v="2024"/>
  </r>
  <r>
    <x v="4"/>
    <s v="Eli"/>
    <n v="11"/>
    <x v="5"/>
    <s v="Tyler Bass"/>
    <x v="103"/>
    <n v="2024"/>
  </r>
  <r>
    <x v="4"/>
    <s v="Eli"/>
    <n v="11"/>
    <x v="4"/>
    <s v="NYJ"/>
    <x v="139"/>
    <n v="2024"/>
  </r>
  <r>
    <x v="4"/>
    <s v="Eli"/>
    <n v="11"/>
    <x v="6"/>
    <s v="Rome Odunze"/>
    <x v="239"/>
    <n v="2024"/>
  </r>
  <r>
    <x v="10"/>
    <s v="Brand"/>
    <n v="11"/>
    <x v="0"/>
    <s v="Kirk Cousins"/>
    <x v="366"/>
    <n v="2024"/>
  </r>
  <r>
    <x v="10"/>
    <s v="Brand"/>
    <n v="11"/>
    <x v="1"/>
    <s v="Jameson Williams"/>
    <x v="19"/>
    <n v="2024"/>
  </r>
  <r>
    <x v="10"/>
    <s v="Brand"/>
    <n v="11"/>
    <x v="1"/>
    <s v="Michael Pittman"/>
    <x v="108"/>
    <n v="2024"/>
  </r>
  <r>
    <x v="10"/>
    <s v="Brand"/>
    <n v="11"/>
    <x v="1"/>
    <s v="Keenan Allen"/>
    <x v="289"/>
    <n v="2024"/>
  </r>
  <r>
    <x v="10"/>
    <s v="Brand"/>
    <n v="11"/>
    <x v="2"/>
    <s v="Breece Hall"/>
    <x v="367"/>
    <n v="2024"/>
  </r>
  <r>
    <x v="10"/>
    <s v="Brand"/>
    <n v="11"/>
    <x v="2"/>
    <s v="Kenneth Walker"/>
    <x v="368"/>
    <n v="2024"/>
  </r>
  <r>
    <x v="10"/>
    <s v="Brand"/>
    <n v="11"/>
    <x v="3"/>
    <s v="TJ Hockenson"/>
    <x v="98"/>
    <n v="2024"/>
  </r>
  <r>
    <x v="10"/>
    <s v="Brand"/>
    <n v="11"/>
    <x v="5"/>
    <s v="Cameron Dicker"/>
    <x v="122"/>
    <n v="2024"/>
  </r>
  <r>
    <x v="10"/>
    <s v="Brand"/>
    <n v="11"/>
    <x v="4"/>
    <s v="Miami"/>
    <x v="103"/>
    <n v="2024"/>
  </r>
  <r>
    <x v="10"/>
    <s v="Brand"/>
    <n v="11"/>
    <x v="6"/>
    <s v="Garrett Wilson"/>
    <x v="154"/>
    <n v="2024"/>
  </r>
  <r>
    <x v="8"/>
    <s v="Schulwolf"/>
    <n v="11"/>
    <x v="0"/>
    <s v="Jayden Daniels"/>
    <x v="123"/>
    <n v="2024"/>
  </r>
  <r>
    <x v="8"/>
    <s v="Schulwolf"/>
    <n v="11"/>
    <x v="1"/>
    <s v="Cooper Kupp"/>
    <x v="369"/>
    <n v="2024"/>
  </r>
  <r>
    <x v="8"/>
    <s v="Schulwolf"/>
    <n v="11"/>
    <x v="1"/>
    <s v="Devonta Smith"/>
    <x v="219"/>
    <n v="2024"/>
  </r>
  <r>
    <x v="8"/>
    <s v="Schulwolf"/>
    <n v="11"/>
    <x v="1"/>
    <s v="Rashod Bateman"/>
    <x v="16"/>
    <n v="2024"/>
  </r>
  <r>
    <x v="8"/>
    <s v="Schulwolf"/>
    <n v="11"/>
    <x v="2"/>
    <s v="Jahmyr Gibbs"/>
    <x v="88"/>
    <n v="2024"/>
  </r>
  <r>
    <x v="8"/>
    <s v="Schulwolf"/>
    <n v="11"/>
    <x v="2"/>
    <s v="James Cook"/>
    <x v="264"/>
    <n v="2024"/>
  </r>
  <r>
    <x v="8"/>
    <s v="Schulwolf"/>
    <n v="11"/>
    <x v="3"/>
    <s v="Dawson Knox"/>
    <x v="25"/>
    <n v="2024"/>
  </r>
  <r>
    <x v="8"/>
    <s v="Schulwolf"/>
    <n v="11"/>
    <x v="5"/>
    <s v="Brandon Aubrey"/>
    <x v="103"/>
    <n v="2024"/>
  </r>
  <r>
    <x v="8"/>
    <s v="Schulwolf"/>
    <n v="11"/>
    <x v="4"/>
    <s v="Denver"/>
    <x v="100"/>
    <n v="2024"/>
  </r>
  <r>
    <x v="8"/>
    <s v="Schulwolf"/>
    <n v="11"/>
    <x v="6"/>
    <s v="Terry McLaurin"/>
    <x v="202"/>
    <n v="2024"/>
  </r>
  <r>
    <x v="11"/>
    <s v="Cam"/>
    <n v="11"/>
    <x v="0"/>
    <s v="Joe Burrow"/>
    <x v="370"/>
    <n v="2024"/>
  </r>
  <r>
    <x v="11"/>
    <s v="Cam"/>
    <n v="11"/>
    <x v="1"/>
    <s v="Ja'Marr Chase"/>
    <x v="33"/>
    <n v="2024"/>
  </r>
  <r>
    <x v="11"/>
    <s v="Cam"/>
    <n v="11"/>
    <x v="1"/>
    <s v="Nico Collins"/>
    <x v="223"/>
    <n v="2024"/>
  </r>
  <r>
    <x v="11"/>
    <s v="Cam"/>
    <n v="11"/>
    <x v="1"/>
    <s v="Jakobi Meyers"/>
    <x v="283"/>
    <n v="2024"/>
  </r>
  <r>
    <x v="11"/>
    <s v="Cam"/>
    <n v="11"/>
    <x v="2"/>
    <s v="JK Dobbins"/>
    <x v="194"/>
    <n v="2024"/>
  </r>
  <r>
    <x v="11"/>
    <s v="Cam"/>
    <n v="11"/>
    <x v="2"/>
    <s v="Rhamondre Stevenson"/>
    <x v="53"/>
    <n v="2024"/>
  </r>
  <r>
    <x v="11"/>
    <s v="Cam"/>
    <n v="11"/>
    <x v="3"/>
    <s v="Dalton Schultz"/>
    <x v="225"/>
    <n v="2024"/>
  </r>
  <r>
    <x v="11"/>
    <s v="Cam"/>
    <n v="11"/>
    <x v="5"/>
    <s v="Jason Sanders"/>
    <x v="138"/>
    <n v="2024"/>
  </r>
  <r>
    <x v="11"/>
    <s v="Cam"/>
    <n v="11"/>
    <x v="4"/>
    <s v="Washington"/>
    <x v="41"/>
    <n v="2024"/>
  </r>
  <r>
    <x v="11"/>
    <s v="Cam"/>
    <n v="11"/>
    <x v="7"/>
    <s v="Aaron Jones"/>
    <x v="245"/>
    <n v="2024"/>
  </r>
  <r>
    <x v="7"/>
    <s v="Jay"/>
    <n v="11"/>
    <x v="0"/>
    <s v="Lamar Jackson"/>
    <x v="371"/>
    <n v="2024"/>
  </r>
  <r>
    <x v="7"/>
    <s v="Jay"/>
    <n v="11"/>
    <x v="1"/>
    <s v="Tee Higgins"/>
    <x v="30"/>
    <n v="2024"/>
  </r>
  <r>
    <x v="7"/>
    <s v="Jay"/>
    <n v="11"/>
    <x v="1"/>
    <s v="Jauan Jennings"/>
    <x v="87"/>
    <n v="2024"/>
  </r>
  <r>
    <x v="7"/>
    <s v="Jay"/>
    <n v="11"/>
    <x v="1"/>
    <s v="Amari Cooper"/>
    <x v="23"/>
    <n v="2024"/>
  </r>
  <r>
    <x v="7"/>
    <s v="Jay"/>
    <n v="11"/>
    <x v="2"/>
    <s v="Brian Robinson"/>
    <x v="44"/>
    <n v="2024"/>
  </r>
  <r>
    <x v="7"/>
    <s v="Jay"/>
    <n v="11"/>
    <x v="2"/>
    <s v="Alvin Kamara"/>
    <x v="53"/>
    <n v="2024"/>
  </r>
  <r>
    <x v="7"/>
    <s v="Jay"/>
    <n v="11"/>
    <x v="3"/>
    <s v="Evan Engram"/>
    <x v="128"/>
    <n v="2024"/>
  </r>
  <r>
    <x v="7"/>
    <s v="Jay"/>
    <n v="11"/>
    <x v="5"/>
    <s v="Ka'imi Fairbairn"/>
    <x v="8"/>
    <n v="2024"/>
  </r>
  <r>
    <x v="7"/>
    <s v="Jay"/>
    <n v="11"/>
    <x v="4"/>
    <s v="New Orleans"/>
    <x v="146"/>
    <n v="2024"/>
  </r>
  <r>
    <x v="7"/>
    <s v="Jay"/>
    <n v="11"/>
    <x v="7"/>
    <s v="Jonathan Taylor"/>
    <x v="23"/>
    <n v="2024"/>
  </r>
  <r>
    <x v="5"/>
    <s v="Burnett/Jasjaap"/>
    <n v="11"/>
    <x v="0"/>
    <s v="Brock Purdy"/>
    <x v="372"/>
    <n v="2024"/>
  </r>
  <r>
    <x v="5"/>
    <s v="Burnett/Jasjaap"/>
    <n v="11"/>
    <x v="1"/>
    <s v="CeeDee Lamb"/>
    <x v="306"/>
    <n v="2024"/>
  </r>
  <r>
    <x v="5"/>
    <s v="Burnett/Jasjaap"/>
    <n v="11"/>
    <x v="1"/>
    <s v="Puka Nacua"/>
    <x v="300"/>
    <n v="2024"/>
  </r>
  <r>
    <x v="5"/>
    <s v="Burnett/Jasjaap"/>
    <n v="11"/>
    <x v="1"/>
    <s v="Jaylen Waddle"/>
    <x v="15"/>
    <n v="2024"/>
  </r>
  <r>
    <x v="5"/>
    <s v="Burnett/Jasjaap"/>
    <n v="11"/>
    <x v="2"/>
    <s v="David Montgomery"/>
    <x v="33"/>
    <n v="2024"/>
  </r>
  <r>
    <x v="5"/>
    <s v="Burnett/Jasjaap"/>
    <n v="11"/>
    <x v="2"/>
    <s v="Josh Jacobs"/>
    <x v="205"/>
    <n v="2024"/>
  </r>
  <r>
    <x v="5"/>
    <s v="Burnett/Jasjaap"/>
    <n v="11"/>
    <x v="3"/>
    <s v="Brock Bowers"/>
    <x v="373"/>
    <n v="2024"/>
  </r>
  <r>
    <x v="5"/>
    <s v="Burnett/Jasjaap"/>
    <n v="11"/>
    <x v="5"/>
    <s v="Jake Bates"/>
    <x v="122"/>
    <n v="2024"/>
  </r>
  <r>
    <x v="5"/>
    <s v="Burnett/Jasjaap"/>
    <n v="11"/>
    <x v="4"/>
    <s v="Kansas City"/>
    <x v="146"/>
    <n v="2024"/>
  </r>
  <r>
    <x v="5"/>
    <s v="Burnett/Jasjaap"/>
    <n v="11"/>
    <x v="7"/>
    <s v="Rico Dowdle"/>
    <x v="75"/>
    <n v="2024"/>
  </r>
  <r>
    <x v="3"/>
    <s v="Kevin"/>
    <n v="11"/>
    <x v="0"/>
    <s v="Justin Herbert"/>
    <x v="374"/>
    <n v="2024"/>
  </r>
  <r>
    <x v="3"/>
    <s v="Kevin"/>
    <n v="11"/>
    <x v="1"/>
    <s v="George Pickens"/>
    <x v="368"/>
    <n v="2024"/>
  </r>
  <r>
    <x v="3"/>
    <s v="Kevin"/>
    <n v="11"/>
    <x v="1"/>
    <s v="Jordan Addison"/>
    <x v="38"/>
    <n v="2024"/>
  </r>
  <r>
    <x v="3"/>
    <s v="Kevin"/>
    <n v="11"/>
    <x v="1"/>
    <s v="DeAndre Hopkins"/>
    <x v="75"/>
    <n v="2024"/>
  </r>
  <r>
    <x v="3"/>
    <s v="Kevin"/>
    <n v="11"/>
    <x v="2"/>
    <s v="Joe Mixon"/>
    <x v="375"/>
    <n v="2024"/>
  </r>
  <r>
    <x v="3"/>
    <s v="Kevin"/>
    <n v="11"/>
    <x v="2"/>
    <s v="Najee Harris"/>
    <x v="349"/>
    <n v="2024"/>
  </r>
  <r>
    <x v="3"/>
    <s v="Kevin"/>
    <n v="11"/>
    <x v="3"/>
    <s v="Hunter Henry"/>
    <x v="376"/>
    <n v="2024"/>
  </r>
  <r>
    <x v="3"/>
    <s v="Kevin"/>
    <n v="11"/>
    <x v="5"/>
    <s v="Justin Tucker"/>
    <x v="103"/>
    <n v="2024"/>
  </r>
  <r>
    <x v="3"/>
    <s v="Kevin"/>
    <n v="11"/>
    <x v="4"/>
    <s v="LA Rams"/>
    <x v="32"/>
    <n v="2024"/>
  </r>
  <r>
    <x v="3"/>
    <s v="Kevin"/>
    <n v="11"/>
    <x v="6"/>
    <s v="Gabe Davis"/>
    <x v="271"/>
    <n v="2024"/>
  </r>
  <r>
    <x v="9"/>
    <s v="Tommy"/>
    <n v="11"/>
    <x v="0"/>
    <s v="Josh Allen"/>
    <x v="377"/>
    <n v="2024"/>
  </r>
  <r>
    <x v="9"/>
    <s v="Tommy"/>
    <n v="11"/>
    <x v="1"/>
    <s v="Xavier Worthy"/>
    <x v="31"/>
    <n v="2024"/>
  </r>
  <r>
    <x v="9"/>
    <s v="Tommy"/>
    <n v="11"/>
    <x v="1"/>
    <s v="DK Metcalf"/>
    <x v="27"/>
    <n v="2024"/>
  </r>
  <r>
    <x v="9"/>
    <s v="Tommy"/>
    <n v="11"/>
    <x v="1"/>
    <s v="Romeo Doubs"/>
    <x v="37"/>
    <n v="2024"/>
  </r>
  <r>
    <x v="9"/>
    <s v="Tommy"/>
    <n v="11"/>
    <x v="2"/>
    <s v="Saquon Barkley"/>
    <x v="378"/>
    <n v="2024"/>
  </r>
  <r>
    <x v="9"/>
    <s v="Tommy"/>
    <n v="11"/>
    <x v="2"/>
    <s v="Kyren Williams"/>
    <x v="379"/>
    <n v="2024"/>
  </r>
  <r>
    <x v="9"/>
    <s v="Tommy"/>
    <n v="11"/>
    <x v="3"/>
    <s v="Mark Andrews"/>
    <x v="143"/>
    <n v="2024"/>
  </r>
  <r>
    <x v="9"/>
    <s v="Tommy"/>
    <n v="11"/>
    <x v="5"/>
    <s v="Brandon McManus"/>
    <x v="139"/>
    <n v="2024"/>
  </r>
  <r>
    <x v="9"/>
    <s v="Tommy"/>
    <n v="11"/>
    <x v="4"/>
    <s v="Minnesota"/>
    <x v="122"/>
    <n v="2024"/>
  </r>
  <r>
    <x v="9"/>
    <s v="Tommy"/>
    <n v="11"/>
    <x v="6"/>
    <s v="Noah Brown"/>
    <x v="29"/>
    <n v="2024"/>
  </r>
  <r>
    <x v="0"/>
    <s v="Brenton"/>
    <n v="12"/>
    <x v="0"/>
    <s v="Baker Mayfield"/>
    <x v="26"/>
    <n v="2024"/>
  </r>
  <r>
    <x v="0"/>
    <s v="Brenton"/>
    <n v="12"/>
    <x v="1"/>
    <s v="Courtland Sutton"/>
    <x v="290"/>
    <n v="2024"/>
  </r>
  <r>
    <x v="0"/>
    <s v="Brenton"/>
    <n v="12"/>
    <x v="1"/>
    <s v="Zay Flowers"/>
    <x v="161"/>
    <n v="2024"/>
  </r>
  <r>
    <x v="0"/>
    <s v="Brenton"/>
    <n v="12"/>
    <x v="1"/>
    <s v="Tyreek Hill"/>
    <x v="170"/>
    <n v="2024"/>
  </r>
  <r>
    <x v="0"/>
    <s v="Brenton"/>
    <n v="12"/>
    <x v="2"/>
    <s v="Tyrone Tracy"/>
    <x v="76"/>
    <n v="2024"/>
  </r>
  <r>
    <x v="0"/>
    <s v="Brenton"/>
    <n v="12"/>
    <x v="2"/>
    <s v="Christian McCaffrey"/>
    <x v="149"/>
    <n v="2024"/>
  </r>
  <r>
    <x v="0"/>
    <s v="Brenton"/>
    <n v="12"/>
    <x v="3"/>
    <s v="Jonnu Smith"/>
    <x v="270"/>
    <n v="2024"/>
  </r>
  <r>
    <x v="0"/>
    <s v="Brenton"/>
    <n v="12"/>
    <x v="5"/>
    <s v="Jake Elliott"/>
    <x v="49"/>
    <n v="2024"/>
  </r>
  <r>
    <x v="0"/>
    <s v="Brenton"/>
    <n v="12"/>
    <x v="4"/>
    <s v="Detroit"/>
    <x v="32"/>
    <n v="2024"/>
  </r>
  <r>
    <x v="0"/>
    <s v="Brenton"/>
    <n v="12"/>
    <x v="6"/>
    <s v="Jayden Reed"/>
    <x v="86"/>
    <n v="2024"/>
  </r>
  <r>
    <x v="1"/>
    <s v="Todd"/>
    <n v="12"/>
    <x v="0"/>
    <s v="Anthony Richardson"/>
    <x v="380"/>
    <n v="2024"/>
  </r>
  <r>
    <x v="1"/>
    <s v="Todd"/>
    <n v="12"/>
    <x v="1"/>
    <s v="AJ Brown"/>
    <x v="263"/>
    <n v="2024"/>
  </r>
  <r>
    <x v="1"/>
    <s v="Todd"/>
    <n v="12"/>
    <x v="1"/>
    <s v="Calvin Ridley"/>
    <x v="69"/>
    <n v="2024"/>
  </r>
  <r>
    <x v="1"/>
    <s v="Todd"/>
    <n v="12"/>
    <x v="1"/>
    <s v="Deebo Samuel"/>
    <x v="59"/>
    <n v="2024"/>
  </r>
  <r>
    <x v="1"/>
    <s v="Todd"/>
    <n v="12"/>
    <x v="2"/>
    <s v="De'Von Achane"/>
    <x v="310"/>
    <n v="2024"/>
  </r>
  <r>
    <x v="1"/>
    <s v="Todd"/>
    <n v="12"/>
    <x v="2"/>
    <s v="James Conner"/>
    <x v="223"/>
    <n v="2024"/>
  </r>
  <r>
    <x v="1"/>
    <s v="Todd"/>
    <n v="12"/>
    <x v="3"/>
    <s v="Tucker Kraft"/>
    <x v="260"/>
    <n v="2024"/>
  </r>
  <r>
    <x v="1"/>
    <s v="Todd"/>
    <n v="12"/>
    <x v="5"/>
    <s v="Chris Boswell"/>
    <x v="32"/>
    <n v="2024"/>
  </r>
  <r>
    <x v="1"/>
    <s v="Todd"/>
    <n v="12"/>
    <x v="4"/>
    <s v="Chicago"/>
    <x v="146"/>
    <n v="2024"/>
  </r>
  <r>
    <x v="1"/>
    <s v="Todd"/>
    <n v="12"/>
    <x v="6"/>
    <s v="Diontae Johnson"/>
    <x v="146"/>
    <n v="2024"/>
  </r>
  <r>
    <x v="2"/>
    <s v="Mike"/>
    <n v="12"/>
    <x v="0"/>
    <s v="Patrick Mahomes"/>
    <x v="381"/>
    <n v="2024"/>
  </r>
  <r>
    <x v="2"/>
    <s v="Mike"/>
    <n v="12"/>
    <x v="1"/>
    <s v="Devaughn Vele"/>
    <x v="138"/>
    <n v="2024"/>
  </r>
  <r>
    <x v="2"/>
    <s v="Mike"/>
    <n v="12"/>
    <x v="1"/>
    <s v="Mike Evans"/>
    <x v="376"/>
    <n v="2024"/>
  </r>
  <r>
    <x v="2"/>
    <s v="Mike"/>
    <n v="12"/>
    <x v="1"/>
    <s v="Tank Dell"/>
    <x v="161"/>
    <n v="2024"/>
  </r>
  <r>
    <x v="2"/>
    <s v="Mike"/>
    <n v="12"/>
    <x v="2"/>
    <s v="Nick Chubb"/>
    <x v="363"/>
    <n v="2024"/>
  </r>
  <r>
    <x v="2"/>
    <s v="Mike"/>
    <n v="12"/>
    <x v="2"/>
    <s v="Derrick Henry"/>
    <x v="100"/>
    <n v="2024"/>
  </r>
  <r>
    <x v="2"/>
    <s v="Mike"/>
    <n v="12"/>
    <x v="3"/>
    <s v="Sam LaPorta"/>
    <x v="232"/>
    <n v="2024"/>
  </r>
  <r>
    <x v="2"/>
    <s v="Mike"/>
    <n v="12"/>
    <x v="5"/>
    <s v="Chase McLaughlin"/>
    <x v="103"/>
    <n v="2024"/>
  </r>
  <r>
    <x v="2"/>
    <s v="Mike"/>
    <n v="12"/>
    <x v="4"/>
    <s v="Tampa Bay"/>
    <x v="138"/>
    <n v="2024"/>
  </r>
  <r>
    <x v="2"/>
    <s v="Mike"/>
    <n v="12"/>
    <x v="7"/>
    <s v="Kareem Hunt"/>
    <x v="208"/>
    <n v="2024"/>
  </r>
  <r>
    <x v="3"/>
    <s v="Kevin"/>
    <n v="12"/>
    <x v="0"/>
    <s v="CJ Stroud"/>
    <x v="382"/>
    <n v="2024"/>
  </r>
  <r>
    <x v="3"/>
    <s v="Kevin"/>
    <n v="12"/>
    <x v="1"/>
    <s v="DeAndre Hopkins"/>
    <x v="122"/>
    <n v="2024"/>
  </r>
  <r>
    <x v="3"/>
    <s v="Kevin"/>
    <n v="12"/>
    <x v="1"/>
    <s v="George Pickens"/>
    <x v="283"/>
    <n v="2024"/>
  </r>
  <r>
    <x v="3"/>
    <s v="Kevin"/>
    <n v="12"/>
    <x v="1"/>
    <s v="Marvin Harrison Jr"/>
    <x v="45"/>
    <n v="2024"/>
  </r>
  <r>
    <x v="3"/>
    <s v="Kevin"/>
    <n v="12"/>
    <x v="2"/>
    <s v="Chuba Hubbard"/>
    <x v="107"/>
    <n v="2024"/>
  </r>
  <r>
    <x v="3"/>
    <s v="Kevin"/>
    <n v="12"/>
    <x v="2"/>
    <s v="Joe Mixon"/>
    <x v="76"/>
    <n v="2024"/>
  </r>
  <r>
    <x v="3"/>
    <s v="Kevin"/>
    <n v="12"/>
    <x v="3"/>
    <s v="Hunter Henry"/>
    <x v="92"/>
    <n v="2024"/>
  </r>
  <r>
    <x v="3"/>
    <s v="Kevin"/>
    <n v="12"/>
    <x v="5"/>
    <s v="Justin Tucker"/>
    <x v="76"/>
    <n v="2024"/>
  </r>
  <r>
    <x v="3"/>
    <s v="Kevin"/>
    <n v="12"/>
    <x v="4"/>
    <s v="Philadelphia"/>
    <x v="24"/>
    <n v="2024"/>
  </r>
  <r>
    <x v="3"/>
    <s v="Kevin"/>
    <n v="12"/>
    <x v="7"/>
    <s v="Najee Harris"/>
    <x v="39"/>
    <n v="2024"/>
  </r>
  <r>
    <x v="4"/>
    <s v="Eli"/>
    <n v="12"/>
    <x v="0"/>
    <s v="Jalen Hurts"/>
    <x v="383"/>
    <n v="2024"/>
  </r>
  <r>
    <x v="4"/>
    <s v="Eli"/>
    <n v="12"/>
    <x v="1"/>
    <s v="DJ Moore"/>
    <x v="235"/>
    <n v="2024"/>
  </r>
  <r>
    <x v="4"/>
    <s v="Eli"/>
    <n v="12"/>
    <x v="1"/>
    <s v="Rome Odunze"/>
    <x v="39"/>
    <n v="2024"/>
  </r>
  <r>
    <x v="4"/>
    <s v="Eli"/>
    <n v="12"/>
    <x v="1"/>
    <s v="Xavier Legette"/>
    <x v="287"/>
    <n v="2024"/>
  </r>
  <r>
    <x v="4"/>
    <s v="Eli"/>
    <n v="12"/>
    <x v="2"/>
    <s v="Gus Edwards"/>
    <x v="108"/>
    <n v="2024"/>
  </r>
  <r>
    <x v="4"/>
    <s v="Eli"/>
    <n v="12"/>
    <x v="2"/>
    <s v="Tyjae Spears"/>
    <x v="146"/>
    <n v="2024"/>
  </r>
  <r>
    <x v="4"/>
    <s v="Eli"/>
    <n v="12"/>
    <x v="3"/>
    <s v="David Njoku"/>
    <x v="232"/>
    <n v="2024"/>
  </r>
  <r>
    <x v="4"/>
    <s v="Eli"/>
    <n v="12"/>
    <x v="5"/>
    <s v="Tyler Bass"/>
    <x v="146"/>
    <n v="2024"/>
  </r>
  <r>
    <x v="4"/>
    <s v="Eli"/>
    <n v="12"/>
    <x v="4"/>
    <s v="NYJ"/>
    <x v="146"/>
    <n v="2024"/>
  </r>
  <r>
    <x v="4"/>
    <s v="Eli"/>
    <n v="12"/>
    <x v="6"/>
    <s v="Justin Jefferson"/>
    <x v="206"/>
    <n v="2024"/>
  </r>
  <r>
    <x v="5"/>
    <s v="Burnett/Jasjaap"/>
    <n v="12"/>
    <x v="0"/>
    <s v="Bo Nix"/>
    <x v="384"/>
    <n v="2024"/>
  </r>
  <r>
    <x v="5"/>
    <s v="Burnett/Jasjaap"/>
    <n v="12"/>
    <x v="1"/>
    <s v="CeeDee Lamb"/>
    <x v="69"/>
    <n v="2024"/>
  </r>
  <r>
    <x v="5"/>
    <s v="Burnett/Jasjaap"/>
    <n v="12"/>
    <x v="1"/>
    <s v="Puka Nacua"/>
    <x v="11"/>
    <n v="2024"/>
  </r>
  <r>
    <x v="5"/>
    <s v="Burnett/Jasjaap"/>
    <n v="12"/>
    <x v="1"/>
    <s v="Jaylen Waddle"/>
    <x v="268"/>
    <n v="2024"/>
  </r>
  <r>
    <x v="5"/>
    <s v="Burnett/Jasjaap"/>
    <n v="12"/>
    <x v="2"/>
    <s v="Josh Jacobs"/>
    <x v="385"/>
    <n v="2024"/>
  </r>
  <r>
    <x v="5"/>
    <s v="Burnett/Jasjaap"/>
    <n v="12"/>
    <x v="2"/>
    <s v="David Montgomery"/>
    <x v="31"/>
    <n v="2024"/>
  </r>
  <r>
    <x v="5"/>
    <s v="Burnett/Jasjaap"/>
    <n v="12"/>
    <x v="3"/>
    <s v="Brock Bowers"/>
    <x v="225"/>
    <n v="2024"/>
  </r>
  <r>
    <x v="5"/>
    <s v="Burnett/Jasjaap"/>
    <n v="12"/>
    <x v="5"/>
    <s v="Austin Seibert"/>
    <x v="76"/>
    <n v="2024"/>
  </r>
  <r>
    <x v="5"/>
    <s v="Burnett/Jasjaap"/>
    <n v="12"/>
    <x v="4"/>
    <s v="Kansas City"/>
    <x v="78"/>
    <n v="2024"/>
  </r>
  <r>
    <x v="5"/>
    <s v="Burnett/Jasjaap"/>
    <n v="12"/>
    <x v="7"/>
    <s v="Rico Dowdle"/>
    <x v="376"/>
    <n v="2024"/>
  </r>
  <r>
    <x v="6"/>
    <s v="Will"/>
    <n v="12"/>
    <x v="0"/>
    <s v="Geno Smith"/>
    <x v="386"/>
    <n v="2024"/>
  </r>
  <r>
    <x v="6"/>
    <s v="Will"/>
    <n v="12"/>
    <x v="1"/>
    <s v="Jaxon Smith-Njigba"/>
    <x v="186"/>
    <n v="2024"/>
  </r>
  <r>
    <x v="6"/>
    <s v="Will"/>
    <n v="12"/>
    <x v="1"/>
    <s v="Amon-Ra St. Brown"/>
    <x v="84"/>
    <n v="2024"/>
  </r>
  <r>
    <x v="6"/>
    <s v="Will"/>
    <n v="12"/>
    <x v="1"/>
    <s v="Ladd McConkey"/>
    <x v="349"/>
    <n v="2024"/>
  </r>
  <r>
    <x v="6"/>
    <s v="Will"/>
    <n v="12"/>
    <x v="2"/>
    <s v="Tony Pollard"/>
    <x v="10"/>
    <n v="2024"/>
  </r>
  <r>
    <x v="6"/>
    <s v="Will"/>
    <n v="12"/>
    <x v="2"/>
    <s v="Austin Ekeler"/>
    <x v="232"/>
    <n v="2024"/>
  </r>
  <r>
    <x v="6"/>
    <s v="Will"/>
    <n v="12"/>
    <x v="3"/>
    <s v="Travis Kelce"/>
    <x v="84"/>
    <n v="2024"/>
  </r>
  <r>
    <x v="6"/>
    <s v="Will"/>
    <n v="12"/>
    <x v="5"/>
    <s v="Jake Moody"/>
    <x v="103"/>
    <n v="2024"/>
  </r>
  <r>
    <x v="6"/>
    <s v="Will"/>
    <n v="12"/>
    <x v="4"/>
    <s v="Houston"/>
    <x v="72"/>
    <n v="2024"/>
  </r>
  <r>
    <x v="6"/>
    <s v="Will"/>
    <n v="12"/>
    <x v="6"/>
    <s v="Josh Downs"/>
    <x v="91"/>
    <n v="2024"/>
  </r>
  <r>
    <x v="7"/>
    <s v="Jay"/>
    <n v="12"/>
    <x v="0"/>
    <s v="Lamar Jackson"/>
    <x v="387"/>
    <n v="2024"/>
  </r>
  <r>
    <x v="7"/>
    <s v="Jay"/>
    <n v="12"/>
    <x v="1"/>
    <s v="Jauan Jennings"/>
    <x v="23"/>
    <n v="2024"/>
  </r>
  <r>
    <x v="7"/>
    <s v="Jay"/>
    <n v="12"/>
    <x v="1"/>
    <s v="Kayshon Boutte"/>
    <x v="121"/>
    <n v="2024"/>
  </r>
  <r>
    <x v="7"/>
    <s v="Jay"/>
    <n v="12"/>
    <x v="1"/>
    <s v="Elijah Moore"/>
    <x v="54"/>
    <n v="2024"/>
  </r>
  <r>
    <x v="7"/>
    <s v="Jay"/>
    <n v="12"/>
    <x v="2"/>
    <s v="Brian Robinson"/>
    <x v="278"/>
    <n v="2024"/>
  </r>
  <r>
    <x v="7"/>
    <s v="Jay"/>
    <n v="12"/>
    <x v="2"/>
    <s v="Jonathan Taylor"/>
    <x v="58"/>
    <n v="2024"/>
  </r>
  <r>
    <x v="7"/>
    <s v="Jay"/>
    <n v="12"/>
    <x v="3"/>
    <s v="Zach Ertz"/>
    <x v="233"/>
    <n v="2024"/>
  </r>
  <r>
    <x v="7"/>
    <s v="Jay"/>
    <n v="12"/>
    <x v="5"/>
    <s v="Ka'imi Fairbairn"/>
    <x v="8"/>
    <n v="2024"/>
  </r>
  <r>
    <x v="7"/>
    <s v="Jay"/>
    <n v="12"/>
    <x v="4"/>
    <s v="Cleveland"/>
    <x v="25"/>
    <n v="2024"/>
  </r>
  <r>
    <x v="7"/>
    <s v="Jay"/>
    <n v="12"/>
    <x v="6"/>
    <s v="Quentin Johnston"/>
    <x v="146"/>
    <n v="2024"/>
  </r>
  <r>
    <x v="8"/>
    <s v="Schulwolf"/>
    <n v="12"/>
    <x v="0"/>
    <s v="Jayden Daniels"/>
    <x v="388"/>
    <n v="2024"/>
  </r>
  <r>
    <x v="8"/>
    <s v="Schulwolf"/>
    <n v="12"/>
    <x v="1"/>
    <s v="Terry McLaurin"/>
    <x v="242"/>
    <n v="2024"/>
  </r>
  <r>
    <x v="8"/>
    <s v="Schulwolf"/>
    <n v="12"/>
    <x v="1"/>
    <s v="Cooper Kupp"/>
    <x v="101"/>
    <n v="2024"/>
  </r>
  <r>
    <x v="8"/>
    <s v="Schulwolf"/>
    <n v="12"/>
    <x v="1"/>
    <s v="Rashod Bateman"/>
    <x v="349"/>
    <n v="2024"/>
  </r>
  <r>
    <x v="8"/>
    <s v="Schulwolf"/>
    <n v="12"/>
    <x v="2"/>
    <s v="Jahmyr Gibbs"/>
    <x v="235"/>
    <n v="2024"/>
  </r>
  <r>
    <x v="8"/>
    <s v="Schulwolf"/>
    <n v="12"/>
    <x v="2"/>
    <s v="Jaylen Warren"/>
    <x v="35"/>
    <n v="2024"/>
  </r>
  <r>
    <x v="8"/>
    <s v="Schulwolf"/>
    <n v="12"/>
    <x v="3"/>
    <s v="Will Dissly"/>
    <x v="184"/>
    <n v="2024"/>
  </r>
  <r>
    <x v="8"/>
    <s v="Schulwolf"/>
    <n v="12"/>
    <x v="5"/>
    <s v="Brandon Aubrey"/>
    <x v="8"/>
    <n v="2024"/>
  </r>
  <r>
    <x v="8"/>
    <s v="Schulwolf"/>
    <n v="12"/>
    <x v="4"/>
    <s v="Denver"/>
    <x v="24"/>
    <n v="2024"/>
  </r>
  <r>
    <x v="8"/>
    <s v="Schulwolf"/>
    <n v="12"/>
    <x v="6"/>
    <s v="DeMario Douglas"/>
    <x v="48"/>
    <n v="2024"/>
  </r>
  <r>
    <x v="9"/>
    <s v="Tommy"/>
    <n v="12"/>
    <x v="0"/>
    <s v="Jared Goff"/>
    <x v="389"/>
    <n v="2024"/>
  </r>
  <r>
    <x v="9"/>
    <s v="Tommy"/>
    <n v="12"/>
    <x v="1"/>
    <s v="Malik Nabers"/>
    <x v="156"/>
    <n v="2024"/>
  </r>
  <r>
    <x v="9"/>
    <s v="Tommy"/>
    <n v="12"/>
    <x v="1"/>
    <s v="DK Metcalf"/>
    <x v="133"/>
    <n v="2024"/>
  </r>
  <r>
    <x v="9"/>
    <s v="Tommy"/>
    <n v="12"/>
    <x v="1"/>
    <s v="Xavier Worthy"/>
    <x v="108"/>
    <n v="2024"/>
  </r>
  <r>
    <x v="9"/>
    <s v="Tommy"/>
    <n v="12"/>
    <x v="2"/>
    <s v="Saquon Barkley"/>
    <x v="390"/>
    <n v="2024"/>
  </r>
  <r>
    <x v="9"/>
    <s v="Tommy"/>
    <n v="12"/>
    <x v="2"/>
    <s v="Kyren Williams"/>
    <x v="174"/>
    <n v="2024"/>
  </r>
  <r>
    <x v="9"/>
    <s v="Tommy"/>
    <n v="12"/>
    <x v="3"/>
    <s v="Mark Andrews"/>
    <x v="152"/>
    <n v="2024"/>
  </r>
  <r>
    <x v="9"/>
    <s v="Tommy"/>
    <n v="12"/>
    <x v="5"/>
    <s v="Jason Myers"/>
    <x v="103"/>
    <n v="2024"/>
  </r>
  <r>
    <x v="9"/>
    <s v="Tommy"/>
    <n v="12"/>
    <x v="4"/>
    <s v="Minnesota"/>
    <x v="25"/>
    <n v="2024"/>
  </r>
  <r>
    <x v="9"/>
    <s v="Tommy"/>
    <n v="12"/>
    <x v="7"/>
    <s v="Rachaad White"/>
    <x v="174"/>
    <n v="2024"/>
  </r>
  <r>
    <x v="10"/>
    <s v="Brand"/>
    <n v="12"/>
    <x v="0"/>
    <s v="Tommy DeVito"/>
    <x v="389"/>
    <n v="2024"/>
  </r>
  <r>
    <x v="10"/>
    <s v="Brand"/>
    <n v="12"/>
    <x v="1"/>
    <s v="Keenan Allen"/>
    <x v="310"/>
    <n v="2024"/>
  </r>
  <r>
    <x v="10"/>
    <s v="Brand"/>
    <n v="12"/>
    <x v="1"/>
    <s v="Michael Pittman"/>
    <x v="229"/>
    <n v="2024"/>
  </r>
  <r>
    <x v="10"/>
    <s v="Brand"/>
    <n v="12"/>
    <x v="1"/>
    <s v="Jameson Williams"/>
    <x v="376"/>
    <n v="2024"/>
  </r>
  <r>
    <x v="10"/>
    <s v="Brand"/>
    <n v="12"/>
    <x v="2"/>
    <s v="Bucky Irving"/>
    <x v="179"/>
    <n v="2024"/>
  </r>
  <r>
    <x v="10"/>
    <s v="Brand"/>
    <n v="12"/>
    <x v="2"/>
    <s v="Kenneth Walker"/>
    <x v="349"/>
    <n v="2024"/>
  </r>
  <r>
    <x v="10"/>
    <s v="Brand"/>
    <n v="12"/>
    <x v="3"/>
    <s v="Dallas Goedert"/>
    <x v="132"/>
    <n v="2024"/>
  </r>
  <r>
    <x v="10"/>
    <s v="Brand"/>
    <n v="12"/>
    <x v="5"/>
    <s v="Cameron Dicker"/>
    <x v="101"/>
    <n v="2024"/>
  </r>
  <r>
    <x v="10"/>
    <s v="Brand"/>
    <n v="12"/>
    <x v="4"/>
    <s v="Miami"/>
    <x v="49"/>
    <n v="2024"/>
  </r>
  <r>
    <x v="10"/>
    <s v="Brand"/>
    <n v="12"/>
    <x v="6"/>
    <s v="Christian Watson"/>
    <x v="105"/>
    <n v="2024"/>
  </r>
  <r>
    <x v="11"/>
    <s v="Cam"/>
    <n v="12"/>
    <x v="0"/>
    <s v="Kyler Murray"/>
    <x v="204"/>
    <n v="2024"/>
  </r>
  <r>
    <x v="11"/>
    <s v="Cam"/>
    <n v="12"/>
    <x v="1"/>
    <s v="Jakobi Meyers"/>
    <x v="125"/>
    <n v="2024"/>
  </r>
  <r>
    <x v="11"/>
    <s v="Cam"/>
    <n v="12"/>
    <x v="1"/>
    <s v="Nico Collins"/>
    <x v="119"/>
    <n v="2024"/>
  </r>
  <r>
    <x v="11"/>
    <s v="Cam"/>
    <n v="12"/>
    <x v="1"/>
    <s v="Wan'Dale Robinson"/>
    <x v="210"/>
    <n v="2024"/>
  </r>
  <r>
    <x v="11"/>
    <s v="Cam"/>
    <n v="12"/>
    <x v="2"/>
    <s v="Aaron Jones"/>
    <x v="194"/>
    <n v="2024"/>
  </r>
  <r>
    <x v="11"/>
    <s v="Cam"/>
    <n v="12"/>
    <x v="2"/>
    <s v="JK Dobbins"/>
    <x v="223"/>
    <n v="2024"/>
  </r>
  <r>
    <x v="11"/>
    <s v="Cam"/>
    <n v="12"/>
    <x v="3"/>
    <s v="George Kittle"/>
    <x v="264"/>
    <n v="2024"/>
  </r>
  <r>
    <x v="11"/>
    <s v="Cam"/>
    <n v="12"/>
    <x v="5"/>
    <s v="Jason Sanders"/>
    <x v="122"/>
    <n v="2024"/>
  </r>
  <r>
    <x v="11"/>
    <s v="Cam"/>
    <n v="12"/>
    <x v="4"/>
    <s v="Washington"/>
    <x v="7"/>
    <n v="2024"/>
  </r>
  <r>
    <x v="11"/>
    <s v="Cam"/>
    <n v="12"/>
    <x v="7"/>
    <s v="Rhamondre Stevenson"/>
    <x v="309"/>
    <n v="2024"/>
  </r>
  <r>
    <x v="0"/>
    <s v="Brenton"/>
    <n v="13"/>
    <x v="0"/>
    <s v="Baker Mayfield"/>
    <x v="208"/>
    <n v="2024"/>
  </r>
  <r>
    <x v="0"/>
    <s v="Brenton"/>
    <n v="13"/>
    <x v="1"/>
    <s v="Tyreek Hill"/>
    <x v="331"/>
    <n v="2024"/>
  </r>
  <r>
    <x v="0"/>
    <s v="Brenton"/>
    <n v="13"/>
    <x v="1"/>
    <s v="Courtland Sutton"/>
    <x v="145"/>
    <n v="2024"/>
  </r>
  <r>
    <x v="0"/>
    <s v="Brenton"/>
    <n v="13"/>
    <x v="1"/>
    <s v="Zay Flowers"/>
    <x v="379"/>
    <n v="2024"/>
  </r>
  <r>
    <x v="0"/>
    <s v="Brenton"/>
    <n v="13"/>
    <x v="2"/>
    <s v="Tyrone Tracy"/>
    <x v="201"/>
    <n v="2024"/>
  </r>
  <r>
    <x v="0"/>
    <s v="Brenton"/>
    <n v="13"/>
    <x v="2"/>
    <s v="Christian McCaffrey"/>
    <x v="322"/>
    <n v="2024"/>
  </r>
  <r>
    <x v="0"/>
    <s v="Brenton"/>
    <n v="13"/>
    <x v="3"/>
    <s v="Jonnu Smith"/>
    <x v="190"/>
    <n v="2024"/>
  </r>
  <r>
    <x v="0"/>
    <s v="Brenton"/>
    <n v="13"/>
    <x v="5"/>
    <s v="Jake Elliott"/>
    <x v="25"/>
    <n v="2024"/>
  </r>
  <r>
    <x v="0"/>
    <s v="Brenton"/>
    <n v="13"/>
    <x v="4"/>
    <s v="Detroit"/>
    <x v="103"/>
    <n v="2024"/>
  </r>
  <r>
    <x v="0"/>
    <s v="Brenton"/>
    <n v="13"/>
    <x v="8"/>
    <s v="Trey McBride"/>
    <x v="144"/>
    <n v="2024"/>
  </r>
  <r>
    <x v="2"/>
    <s v="Mike"/>
    <n v="13"/>
    <x v="0"/>
    <s v="Patrick Mahomes"/>
    <x v="391"/>
    <n v="2024"/>
  </r>
  <r>
    <x v="2"/>
    <s v="Mike"/>
    <n v="13"/>
    <x v="1"/>
    <s v="Mike Evans"/>
    <x v="300"/>
    <n v="2024"/>
  </r>
  <r>
    <x v="2"/>
    <s v="Mike"/>
    <n v="13"/>
    <x v="1"/>
    <s v="Khalil Shakir"/>
    <x v="103"/>
    <n v="2024"/>
  </r>
  <r>
    <x v="2"/>
    <s v="Mike"/>
    <n v="13"/>
    <x v="1"/>
    <s v="Tank Dell"/>
    <x v="5"/>
    <n v="2024"/>
  </r>
  <r>
    <x v="2"/>
    <s v="Mike"/>
    <n v="13"/>
    <x v="2"/>
    <s v="Chase Brown"/>
    <x v="217"/>
    <n v="2024"/>
  </r>
  <r>
    <x v="2"/>
    <s v="Mike"/>
    <n v="13"/>
    <x v="2"/>
    <s v="Derrick Henry"/>
    <x v="229"/>
    <n v="2024"/>
  </r>
  <r>
    <x v="2"/>
    <s v="Mike"/>
    <n v="13"/>
    <x v="3"/>
    <s v="Sam LaPorta"/>
    <x v="127"/>
    <n v="2024"/>
  </r>
  <r>
    <x v="2"/>
    <s v="Mike"/>
    <n v="13"/>
    <x v="5"/>
    <s v="Chase McLaughlin"/>
    <x v="101"/>
    <n v="2024"/>
  </r>
  <r>
    <x v="2"/>
    <s v="Mike"/>
    <n v="13"/>
    <x v="4"/>
    <s v="Tampa Bay"/>
    <x v="139"/>
    <n v="2024"/>
  </r>
  <r>
    <x v="2"/>
    <s v="Mike"/>
    <n v="13"/>
    <x v="7"/>
    <s v="Nick Chubb"/>
    <x v="253"/>
    <n v="2024"/>
  </r>
  <r>
    <x v="1"/>
    <s v="Todd"/>
    <n v="13"/>
    <x v="0"/>
    <s v="Sam Darnold"/>
    <x v="150"/>
    <n v="2024"/>
  </r>
  <r>
    <x v="1"/>
    <s v="Todd"/>
    <n v="13"/>
    <x v="1"/>
    <s v="Brian Thomas Jr"/>
    <x v="186"/>
    <n v="2024"/>
  </r>
  <r>
    <x v="1"/>
    <s v="Todd"/>
    <n v="13"/>
    <x v="1"/>
    <s v="AJ Brown"/>
    <x v="74"/>
    <n v="2024"/>
  </r>
  <r>
    <x v="1"/>
    <s v="Todd"/>
    <n v="13"/>
    <x v="1"/>
    <s v="Darnell Mooney"/>
    <x v="58"/>
    <n v="2024"/>
  </r>
  <r>
    <x v="1"/>
    <s v="Todd"/>
    <n v="13"/>
    <x v="2"/>
    <s v="De'Von Achane"/>
    <x v="62"/>
    <n v="2024"/>
  </r>
  <r>
    <x v="1"/>
    <s v="Todd"/>
    <n v="13"/>
    <x v="2"/>
    <s v="James Conner"/>
    <x v="260"/>
    <n v="2024"/>
  </r>
  <r>
    <x v="1"/>
    <s v="Todd"/>
    <n v="13"/>
    <x v="3"/>
    <s v="Tucker Kraft"/>
    <x v="60"/>
    <n v="2024"/>
  </r>
  <r>
    <x v="1"/>
    <s v="Todd"/>
    <n v="13"/>
    <x v="5"/>
    <s v="Chris Boswell"/>
    <x v="63"/>
    <n v="2024"/>
  </r>
  <r>
    <x v="1"/>
    <s v="Todd"/>
    <n v="13"/>
    <x v="4"/>
    <s v="Dallas"/>
    <x v="72"/>
    <n v="2024"/>
  </r>
  <r>
    <x v="1"/>
    <s v="Todd"/>
    <n v="13"/>
    <x v="6"/>
    <s v="Deebo Samuel"/>
    <x v="139"/>
    <n v="2024"/>
  </r>
  <r>
    <x v="7"/>
    <s v="Jay"/>
    <n v="13"/>
    <x v="0"/>
    <s v="Lamar Jackson"/>
    <x v="392"/>
    <n v="2024"/>
  </r>
  <r>
    <x v="7"/>
    <s v="Jay"/>
    <n v="13"/>
    <x v="1"/>
    <s v="Tee Higgins"/>
    <x v="68"/>
    <n v="2024"/>
  </r>
  <r>
    <x v="7"/>
    <s v="Jay"/>
    <n v="13"/>
    <x v="1"/>
    <s v="Jauan Jennings"/>
    <x v="108"/>
    <n v="2024"/>
  </r>
  <r>
    <x v="7"/>
    <s v="Jay"/>
    <n v="13"/>
    <x v="1"/>
    <s v="Amari Cooper"/>
    <x v="276"/>
    <n v="2024"/>
  </r>
  <r>
    <x v="7"/>
    <s v="Jay"/>
    <n v="13"/>
    <x v="2"/>
    <s v="Jonathan Taylor"/>
    <x v="361"/>
    <n v="2024"/>
  </r>
  <r>
    <x v="7"/>
    <s v="Jay"/>
    <n v="13"/>
    <x v="2"/>
    <s v="Brian Robinson"/>
    <x v="117"/>
    <n v="2024"/>
  </r>
  <r>
    <x v="7"/>
    <s v="Jay"/>
    <n v="13"/>
    <x v="3"/>
    <s v="Zach Ertz"/>
    <x v="138"/>
    <n v="2024"/>
  </r>
  <r>
    <x v="7"/>
    <s v="Jay"/>
    <n v="13"/>
    <x v="5"/>
    <s v="Ka'imi Fairbairn"/>
    <x v="49"/>
    <n v="2024"/>
  </r>
  <r>
    <x v="7"/>
    <s v="Jay"/>
    <n v="13"/>
    <x v="4"/>
    <s v="Blank"/>
    <x v="146"/>
    <n v="2024"/>
  </r>
  <r>
    <x v="7"/>
    <s v="Jay"/>
    <n v="13"/>
    <x v="7"/>
    <s v="Alvin Kamara"/>
    <x v="35"/>
    <n v="2024"/>
  </r>
  <r>
    <x v="4"/>
    <s v="Eli"/>
    <n v="13"/>
    <x v="0"/>
    <s v="Jalen Hurts"/>
    <x v="393"/>
    <n v="2024"/>
  </r>
  <r>
    <x v="4"/>
    <s v="Eli"/>
    <n v="13"/>
    <x v="1"/>
    <s v="DJ Moore"/>
    <x v="198"/>
    <n v="2024"/>
  </r>
  <r>
    <x v="4"/>
    <s v="Eli"/>
    <n v="13"/>
    <x v="1"/>
    <s v="Justin Jefferson"/>
    <x v="267"/>
    <n v="2024"/>
  </r>
  <r>
    <x v="4"/>
    <s v="Eli"/>
    <n v="13"/>
    <x v="1"/>
    <s v="Xavier Legette"/>
    <x v="170"/>
    <n v="2024"/>
  </r>
  <r>
    <x v="4"/>
    <s v="Eli"/>
    <n v="13"/>
    <x v="2"/>
    <s v="Bijan Robinson"/>
    <x v="2"/>
    <n v="2024"/>
  </r>
  <r>
    <x v="4"/>
    <s v="Eli"/>
    <n v="13"/>
    <x v="2"/>
    <s v="Gus Edwards"/>
    <x v="154"/>
    <n v="2024"/>
  </r>
  <r>
    <x v="4"/>
    <s v="Eli"/>
    <n v="13"/>
    <x v="3"/>
    <s v="David Njoku"/>
    <x v="394"/>
    <n v="2024"/>
  </r>
  <r>
    <x v="4"/>
    <s v="Eli"/>
    <n v="13"/>
    <x v="5"/>
    <s v="Tyler Bass"/>
    <x v="16"/>
    <n v="2024"/>
  </r>
  <r>
    <x v="4"/>
    <s v="Eli"/>
    <n v="13"/>
    <x v="4"/>
    <s v="NYJ"/>
    <x v="62"/>
    <n v="2024"/>
  </r>
  <r>
    <x v="4"/>
    <s v="Eli"/>
    <n v="13"/>
    <x v="6"/>
    <s v="Rome Odunze"/>
    <x v="58"/>
    <n v="2024"/>
  </r>
  <r>
    <x v="6"/>
    <s v="Will"/>
    <n v="13"/>
    <x v="0"/>
    <s v="Caleb Williams"/>
    <x v="395"/>
    <n v="2024"/>
  </r>
  <r>
    <x v="6"/>
    <s v="Will"/>
    <n v="13"/>
    <x v="1"/>
    <s v="Ladd McConkey"/>
    <x v="11"/>
    <n v="2024"/>
  </r>
  <r>
    <x v="6"/>
    <s v="Will"/>
    <n v="13"/>
    <x v="1"/>
    <s v="Drake London"/>
    <x v="233"/>
    <n v="2024"/>
  </r>
  <r>
    <x v="6"/>
    <s v="Will"/>
    <n v="13"/>
    <x v="1"/>
    <s v="Jaxon Smith-Njigba"/>
    <x v="191"/>
    <n v="2024"/>
  </r>
  <r>
    <x v="6"/>
    <s v="Will"/>
    <n v="13"/>
    <x v="2"/>
    <s v="Tony Pollard"/>
    <x v="283"/>
    <n v="2024"/>
  </r>
  <r>
    <x v="6"/>
    <s v="Will"/>
    <n v="13"/>
    <x v="2"/>
    <s v="Travis Etienne"/>
    <x v="170"/>
    <n v="2024"/>
  </r>
  <r>
    <x v="6"/>
    <s v="Will"/>
    <n v="13"/>
    <x v="3"/>
    <s v="Travis Kelce"/>
    <x v="204"/>
    <n v="2024"/>
  </r>
  <r>
    <x v="6"/>
    <s v="Will"/>
    <n v="13"/>
    <x v="5"/>
    <s v="Jake Moody"/>
    <x v="7"/>
    <n v="2024"/>
  </r>
  <r>
    <x v="6"/>
    <s v="Will"/>
    <n v="13"/>
    <x v="4"/>
    <s v="Houston"/>
    <x v="139"/>
    <n v="2024"/>
  </r>
  <r>
    <x v="6"/>
    <s v="Will"/>
    <n v="13"/>
    <x v="6"/>
    <s v="Amon-Ra St. Brown"/>
    <x v="158"/>
    <n v="2024"/>
  </r>
  <r>
    <x v="8"/>
    <s v="Schulwolf"/>
    <n v="13"/>
    <x v="0"/>
    <s v="Jayden Daniels"/>
    <x v="396"/>
    <n v="2024"/>
  </r>
  <r>
    <x v="8"/>
    <s v="Schulwolf"/>
    <n v="13"/>
    <x v="1"/>
    <s v="Terry McLaurin"/>
    <x v="182"/>
    <n v="2024"/>
  </r>
  <r>
    <x v="8"/>
    <s v="Schulwolf"/>
    <n v="13"/>
    <x v="1"/>
    <s v="Cooper Kupp"/>
    <x v="143"/>
    <n v="2024"/>
  </r>
  <r>
    <x v="8"/>
    <s v="Schulwolf"/>
    <n v="13"/>
    <x v="1"/>
    <s v="Rashod Bateman"/>
    <x v="146"/>
    <n v="2024"/>
  </r>
  <r>
    <x v="8"/>
    <s v="Schulwolf"/>
    <n v="13"/>
    <x v="2"/>
    <s v="James Cook"/>
    <x v="363"/>
    <n v="2024"/>
  </r>
  <r>
    <x v="8"/>
    <s v="Schulwolf"/>
    <n v="13"/>
    <x v="2"/>
    <s v="Jahmyr Gibbs"/>
    <x v="156"/>
    <n v="2024"/>
  </r>
  <r>
    <x v="8"/>
    <s v="Schulwolf"/>
    <n v="13"/>
    <x v="3"/>
    <s v="Will Dissly"/>
    <x v="146"/>
    <n v="2024"/>
  </r>
  <r>
    <x v="8"/>
    <s v="Schulwolf"/>
    <n v="13"/>
    <x v="5"/>
    <s v="Brandon Aubrey"/>
    <x v="24"/>
    <n v="2024"/>
  </r>
  <r>
    <x v="8"/>
    <s v="Schulwolf"/>
    <n v="13"/>
    <x v="4"/>
    <s v="Denver"/>
    <x v="100"/>
    <n v="2024"/>
  </r>
  <r>
    <x v="8"/>
    <s v="Schulwolf"/>
    <n v="13"/>
    <x v="7"/>
    <s v="Jaylen Warren"/>
    <x v="18"/>
    <n v="2024"/>
  </r>
  <r>
    <x v="3"/>
    <s v="Kevin"/>
    <n v="13"/>
    <x v="0"/>
    <s v="Justin Herbert"/>
    <x v="153"/>
    <n v="2024"/>
  </r>
  <r>
    <x v="3"/>
    <s v="Kevin"/>
    <n v="13"/>
    <x v="1"/>
    <s v="DeAndre Hopkins"/>
    <x v="138"/>
    <n v="2024"/>
  </r>
  <r>
    <x v="3"/>
    <s v="Kevin"/>
    <n v="13"/>
    <x v="1"/>
    <s v="George Pickens"/>
    <x v="134"/>
    <n v="2024"/>
  </r>
  <r>
    <x v="3"/>
    <s v="Kevin"/>
    <n v="13"/>
    <x v="1"/>
    <s v="Marvin Harrison Jr"/>
    <x v="107"/>
    <n v="2024"/>
  </r>
  <r>
    <x v="3"/>
    <s v="Kevin"/>
    <n v="13"/>
    <x v="2"/>
    <s v="Joe Mixon"/>
    <x v="263"/>
    <n v="2024"/>
  </r>
  <r>
    <x v="3"/>
    <s v="Kevin"/>
    <n v="13"/>
    <x v="2"/>
    <s v="Isiah Pacheco"/>
    <x v="167"/>
    <n v="2024"/>
  </r>
  <r>
    <x v="3"/>
    <s v="Kevin"/>
    <n v="13"/>
    <x v="3"/>
    <s v="Hunter Henry"/>
    <x v="138"/>
    <n v="2024"/>
  </r>
  <r>
    <x v="3"/>
    <s v="Kevin"/>
    <n v="13"/>
    <x v="5"/>
    <s v="Justin Tucker"/>
    <x v="76"/>
    <n v="2024"/>
  </r>
  <r>
    <x v="3"/>
    <s v="Kevin"/>
    <n v="13"/>
    <x v="4"/>
    <s v="Green Bay"/>
    <x v="76"/>
    <n v="2024"/>
  </r>
  <r>
    <x v="3"/>
    <s v="Kevin"/>
    <n v="13"/>
    <x v="7"/>
    <s v="Chuba Hubbard"/>
    <x v="98"/>
    <n v="2024"/>
  </r>
  <r>
    <x v="10"/>
    <s v="Brand"/>
    <n v="13"/>
    <x v="0"/>
    <s v="Kirk Cousins"/>
    <x v="28"/>
    <n v="2024"/>
  </r>
  <r>
    <x v="10"/>
    <s v="Brand"/>
    <n v="13"/>
    <x v="1"/>
    <s v="Jameson Williams"/>
    <x v="108"/>
    <n v="2024"/>
  </r>
  <r>
    <x v="10"/>
    <s v="Brand"/>
    <n v="13"/>
    <x v="1"/>
    <s v="Michael Pittman"/>
    <x v="184"/>
    <n v="2024"/>
  </r>
  <r>
    <x v="10"/>
    <s v="Brand"/>
    <n v="13"/>
    <x v="1"/>
    <s v="Garrett Wilson"/>
    <x v="249"/>
    <n v="2024"/>
  </r>
  <r>
    <x v="10"/>
    <s v="Brand"/>
    <n v="13"/>
    <x v="2"/>
    <s v="Bucky Irving"/>
    <x v="40"/>
    <n v="2024"/>
  </r>
  <r>
    <x v="10"/>
    <s v="Brand"/>
    <n v="13"/>
    <x v="2"/>
    <s v="Breece Hall"/>
    <x v="25"/>
    <n v="2024"/>
  </r>
  <r>
    <x v="10"/>
    <s v="Brand"/>
    <n v="13"/>
    <x v="3"/>
    <s v="Taysom Hill"/>
    <x v="210"/>
    <n v="2024"/>
  </r>
  <r>
    <x v="10"/>
    <s v="Brand"/>
    <n v="13"/>
    <x v="5"/>
    <s v="Cameron Dicker"/>
    <x v="122"/>
    <n v="2024"/>
  </r>
  <r>
    <x v="10"/>
    <s v="Brand"/>
    <n v="13"/>
    <x v="4"/>
    <s v="Indianapolis"/>
    <x v="139"/>
    <n v="2024"/>
  </r>
  <r>
    <x v="10"/>
    <s v="Brand"/>
    <n v="13"/>
    <x v="7"/>
    <s v="Kenneth Walker"/>
    <x v="90"/>
    <n v="2024"/>
  </r>
  <r>
    <x v="9"/>
    <s v="Tommy"/>
    <n v="13"/>
    <x v="0"/>
    <s v="Josh Allen"/>
    <x v="397"/>
    <n v="2024"/>
  </r>
  <r>
    <x v="9"/>
    <s v="Tommy"/>
    <n v="13"/>
    <x v="1"/>
    <s v="Xavier Worthy"/>
    <x v="133"/>
    <n v="2024"/>
  </r>
  <r>
    <x v="9"/>
    <s v="Tommy"/>
    <n v="13"/>
    <x v="1"/>
    <s v="DK Metcalf"/>
    <x v="379"/>
    <n v="2024"/>
  </r>
  <r>
    <x v="9"/>
    <s v="Tommy"/>
    <n v="13"/>
    <x v="1"/>
    <s v="Malik Nabers"/>
    <x v="349"/>
    <n v="2024"/>
  </r>
  <r>
    <x v="9"/>
    <s v="Tommy"/>
    <n v="13"/>
    <x v="2"/>
    <s v="Saquon Barkley"/>
    <x v="242"/>
    <n v="2024"/>
  </r>
  <r>
    <x v="9"/>
    <s v="Tommy"/>
    <n v="13"/>
    <x v="2"/>
    <s v="Kyren Williams"/>
    <x v="14"/>
    <n v="2024"/>
  </r>
  <r>
    <x v="9"/>
    <s v="Tommy"/>
    <n v="13"/>
    <x v="3"/>
    <s v="Mark Andrews"/>
    <x v="4"/>
    <n v="2024"/>
  </r>
  <r>
    <x v="9"/>
    <s v="Tommy"/>
    <n v="13"/>
    <x v="5"/>
    <s v="Jason Myers"/>
    <x v="8"/>
    <n v="2024"/>
  </r>
  <r>
    <x v="9"/>
    <s v="Tommy"/>
    <n v="13"/>
    <x v="4"/>
    <s v="Minnesota"/>
    <x v="78"/>
    <n v="2024"/>
  </r>
  <r>
    <x v="9"/>
    <s v="Tommy"/>
    <n v="13"/>
    <x v="7"/>
    <s v="Rachaad White"/>
    <x v="112"/>
    <n v="2024"/>
  </r>
  <r>
    <x v="11"/>
    <s v="Cam"/>
    <n v="13"/>
    <x v="0"/>
    <s v="Joe Burrow"/>
    <x v="398"/>
    <n v="2024"/>
  </r>
  <r>
    <x v="11"/>
    <s v="Cam"/>
    <n v="13"/>
    <x v="1"/>
    <s v="Jakobi Meyers"/>
    <x v="234"/>
    <n v="2024"/>
  </r>
  <r>
    <x v="11"/>
    <s v="Cam"/>
    <n v="13"/>
    <x v="1"/>
    <s v="Nico Collins"/>
    <x v="4"/>
    <n v="2024"/>
  </r>
  <r>
    <x v="11"/>
    <s v="Cam"/>
    <n v="13"/>
    <x v="1"/>
    <s v="Ja'Marr Chase"/>
    <x v="159"/>
    <n v="2024"/>
  </r>
  <r>
    <x v="11"/>
    <s v="Cam"/>
    <n v="13"/>
    <x v="2"/>
    <s v="Rhamondre Stevenson"/>
    <x v="53"/>
    <n v="2024"/>
  </r>
  <r>
    <x v="11"/>
    <s v="Cam"/>
    <n v="13"/>
    <x v="2"/>
    <s v="D'Andre Swift"/>
    <x v="18"/>
    <n v="2024"/>
  </r>
  <r>
    <x v="11"/>
    <s v="Cam"/>
    <n v="13"/>
    <x v="3"/>
    <s v="George Kittle"/>
    <x v="399"/>
    <n v="2024"/>
  </r>
  <r>
    <x v="11"/>
    <s v="Cam"/>
    <n v="13"/>
    <x v="5"/>
    <s v="Jake Bates"/>
    <x v="138"/>
    <n v="2024"/>
  </r>
  <r>
    <x v="11"/>
    <s v="Cam"/>
    <n v="13"/>
    <x v="4"/>
    <s v="Washington"/>
    <x v="32"/>
    <n v="2024"/>
  </r>
  <r>
    <x v="11"/>
    <s v="Cam"/>
    <n v="13"/>
    <x v="7"/>
    <s v="Aaron Jones"/>
    <x v="112"/>
    <n v="2024"/>
  </r>
  <r>
    <x v="5"/>
    <s v="Burnett/Jasjaap"/>
    <n v="13"/>
    <x v="0"/>
    <s v="Bo Nix"/>
    <x v="400"/>
    <n v="2024"/>
  </r>
  <r>
    <x v="5"/>
    <s v="Burnett/Jasjaap"/>
    <n v="13"/>
    <x v="1"/>
    <s v="Puka Nacua"/>
    <x v="31"/>
    <n v="2024"/>
  </r>
  <r>
    <x v="5"/>
    <s v="Burnett/Jasjaap"/>
    <n v="13"/>
    <x v="1"/>
    <s v="CeeDee Lamb"/>
    <x v="219"/>
    <n v="2024"/>
  </r>
  <r>
    <x v="5"/>
    <s v="Burnett/Jasjaap"/>
    <n v="13"/>
    <x v="1"/>
    <s v="Jaylen Waddle"/>
    <x v="376"/>
    <n v="2024"/>
  </r>
  <r>
    <x v="5"/>
    <s v="Burnett/Jasjaap"/>
    <n v="13"/>
    <x v="2"/>
    <s v="Rico Dowdle"/>
    <x v="209"/>
    <n v="2024"/>
  </r>
  <r>
    <x v="5"/>
    <s v="Burnett/Jasjaap"/>
    <n v="13"/>
    <x v="2"/>
    <s v="Josh Jacobs"/>
    <x v="198"/>
    <n v="2024"/>
  </r>
  <r>
    <x v="5"/>
    <s v="Burnett/Jasjaap"/>
    <n v="13"/>
    <x v="3"/>
    <s v="Brock Bowers"/>
    <x v="266"/>
    <n v="2024"/>
  </r>
  <r>
    <x v="5"/>
    <s v="Burnett/Jasjaap"/>
    <n v="13"/>
    <x v="5"/>
    <s v="John Parker Romo"/>
    <x v="49"/>
    <n v="2024"/>
  </r>
  <r>
    <x v="5"/>
    <s v="Burnett/Jasjaap"/>
    <n v="13"/>
    <x v="4"/>
    <s v="Kansas City"/>
    <x v="139"/>
    <n v="2024"/>
  </r>
  <r>
    <x v="5"/>
    <s v="Burnett/Jasjaap"/>
    <n v="13"/>
    <x v="7"/>
    <s v="David Montgomery"/>
    <x v="35"/>
    <n v="2024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count="1644">
  <r>
    <x v="0"/>
    <s v="Brenton"/>
    <n v="1"/>
    <x v="0"/>
    <s v="Trevor Lawrence"/>
    <n v="11.28"/>
    <n v="2024"/>
  </r>
  <r>
    <x v="0"/>
    <s v="Brenton"/>
    <n v="1"/>
    <x v="1"/>
    <s v="Jayden Reed"/>
    <n v="31.1"/>
    <n v="2024"/>
  </r>
  <r>
    <x v="0"/>
    <s v="Brenton"/>
    <n v="1"/>
    <x v="1"/>
    <s v="Tyreek Hill"/>
    <n v="22.5"/>
    <n v="2024"/>
  </r>
  <r>
    <x v="0"/>
    <s v="Brenton"/>
    <n v="1"/>
    <x v="1"/>
    <s v="Zay Flowers"/>
    <n v="8.1"/>
    <n v="2024"/>
  </r>
  <r>
    <x v="0"/>
    <s v="Brenton"/>
    <n v="1"/>
    <x v="2"/>
    <s v="Jerome Ford"/>
    <n v="15.9"/>
    <n v="2024"/>
  </r>
  <r>
    <x v="0"/>
    <s v="Brenton"/>
    <n v="1"/>
    <x v="2"/>
    <s v="Javonte Williams"/>
    <n v="2.8"/>
    <n v="2024"/>
  </r>
  <r>
    <x v="0"/>
    <s v="Brenton"/>
    <n v="1"/>
    <x v="3"/>
    <s v="Trey McBride"/>
    <n v="5.5"/>
    <n v="2024"/>
  </r>
  <r>
    <x v="0"/>
    <s v="Brenton"/>
    <n v="1"/>
    <x v="4"/>
    <s v="Cincinnati"/>
    <n v="3"/>
    <n v="2024"/>
  </r>
  <r>
    <x v="0"/>
    <s v="Brenton"/>
    <n v="1"/>
    <x v="5"/>
    <s v="Tyler Bass"/>
    <n v="10"/>
    <n v="2024"/>
  </r>
  <r>
    <x v="1"/>
    <s v="Todd"/>
    <n v="1"/>
    <x v="0"/>
    <s v="Dak Prescott"/>
    <n v="11.46"/>
    <n v="2024"/>
  </r>
  <r>
    <x v="1"/>
    <s v="Todd"/>
    <n v="1"/>
    <x v="1"/>
    <s v="AJ Brown"/>
    <n v="20.399999999999999"/>
    <n v="2024"/>
  </r>
  <r>
    <x v="1"/>
    <s v="Todd"/>
    <n v="1"/>
    <x v="1"/>
    <s v="Deebo Samuel"/>
    <n v="16.2"/>
    <n v="2024"/>
  </r>
  <r>
    <x v="1"/>
    <s v="Todd"/>
    <n v="1"/>
    <x v="1"/>
    <s v="Rashee Rice"/>
    <n v="13.8"/>
    <n v="2024"/>
  </r>
  <r>
    <x v="1"/>
    <s v="Todd"/>
    <n v="1"/>
    <x v="2"/>
    <s v="De'Von Achane"/>
    <n v="19.5"/>
    <n v="2024"/>
  </r>
  <r>
    <x v="1"/>
    <s v="Todd"/>
    <n v="1"/>
    <x v="2"/>
    <s v="James Conner"/>
    <n v="17.8"/>
    <n v="2024"/>
  </r>
  <r>
    <x v="1"/>
    <s v="Todd"/>
    <n v="1"/>
    <x v="3"/>
    <s v="Pat Freiermuth"/>
    <n v="4.7"/>
    <n v="2024"/>
  </r>
  <r>
    <x v="1"/>
    <s v="Todd"/>
    <n v="1"/>
    <x v="4"/>
    <s v="Seattle"/>
    <n v="10"/>
    <n v="2024"/>
  </r>
  <r>
    <x v="1"/>
    <s v="Todd"/>
    <n v="1"/>
    <x v="5"/>
    <s v="Younghoe Koo"/>
    <n v="4"/>
    <n v="2024"/>
  </r>
  <r>
    <x v="2"/>
    <s v="Mike"/>
    <n v="1"/>
    <x v="0"/>
    <s v="Patrick Mahomes"/>
    <n v="14.64"/>
    <n v="2024"/>
  </r>
  <r>
    <x v="2"/>
    <s v="Mike"/>
    <n v="1"/>
    <x v="1"/>
    <s v="Davante Adams"/>
    <n v="8.4"/>
    <n v="2024"/>
  </r>
  <r>
    <x v="2"/>
    <s v="Mike"/>
    <n v="1"/>
    <x v="1"/>
    <s v="Mike Evans"/>
    <n v="20.6"/>
    <n v="2024"/>
  </r>
  <r>
    <x v="2"/>
    <s v="Mike"/>
    <n v="1"/>
    <x v="1"/>
    <s v="Khalil Shakir"/>
    <n v="11.7"/>
    <n v="2024"/>
  </r>
  <r>
    <x v="2"/>
    <s v="Mike"/>
    <n v="1"/>
    <x v="2"/>
    <s v="Derrick Henry"/>
    <n v="10.6"/>
    <n v="2024"/>
  </r>
  <r>
    <x v="2"/>
    <s v="Mike"/>
    <n v="1"/>
    <x v="2"/>
    <s v="Tyjae Spears"/>
    <n v="5.2"/>
    <n v="2024"/>
  </r>
  <r>
    <x v="2"/>
    <s v="Mike"/>
    <n v="1"/>
    <x v="3"/>
    <s v="Sam LaPorta"/>
    <n v="6.5"/>
    <n v="2024"/>
  </r>
  <r>
    <x v="2"/>
    <s v="Mike"/>
    <n v="1"/>
    <x v="5"/>
    <s v="Jason Sanders"/>
    <n v="9"/>
    <n v="2024"/>
  </r>
  <r>
    <x v="2"/>
    <s v="Mike"/>
    <n v="1"/>
    <x v="4"/>
    <s v="Buffalo"/>
    <n v="6"/>
    <n v="2024"/>
  </r>
  <r>
    <x v="3"/>
    <s v="Kevin"/>
    <n v="1"/>
    <x v="0"/>
    <s v="CJ Stroud"/>
    <n v="18.66"/>
    <n v="2024"/>
  </r>
  <r>
    <x v="3"/>
    <s v="Kevin"/>
    <n v="1"/>
    <x v="1"/>
    <s v="George Pickens"/>
    <n v="10.5"/>
    <n v="2024"/>
  </r>
  <r>
    <x v="3"/>
    <s v="Kevin"/>
    <n v="1"/>
    <x v="1"/>
    <s v="Chris Olave"/>
    <n v="2.1"/>
    <n v="2024"/>
  </r>
  <r>
    <x v="3"/>
    <s v="Kevin"/>
    <n v="1"/>
    <x v="1"/>
    <s v="Marvin Harrison Jr"/>
    <n v="0.9"/>
    <n v="2024"/>
  </r>
  <r>
    <x v="3"/>
    <s v="Kevin"/>
    <n v="1"/>
    <x v="2"/>
    <s v="Joe Mixon"/>
    <n v="25.3"/>
    <n v="2024"/>
  </r>
  <r>
    <x v="3"/>
    <s v="Kevin"/>
    <n v="1"/>
    <x v="2"/>
    <s v="Isiah Pacheco"/>
    <n v="14.8"/>
    <n v="2024"/>
  </r>
  <r>
    <x v="3"/>
    <s v="Kevin"/>
    <n v="1"/>
    <x v="3"/>
    <s v="Hunter Henry"/>
    <n v="2.8"/>
    <n v="2024"/>
  </r>
  <r>
    <x v="3"/>
    <s v="Kevin"/>
    <n v="1"/>
    <x v="5"/>
    <s v="Justin Tucker"/>
    <n v="8"/>
    <n v="2024"/>
  </r>
  <r>
    <x v="3"/>
    <s v="Kevin"/>
    <n v="1"/>
    <x v="4"/>
    <s v="Minnesota"/>
    <n v="23"/>
    <n v="2024"/>
  </r>
  <r>
    <x v="4"/>
    <s v="Eli"/>
    <n v="1"/>
    <x v="0"/>
    <s v="Jalen Hurts"/>
    <n v="16.420000000000002"/>
    <n v="2024"/>
  </r>
  <r>
    <x v="4"/>
    <s v="Eli"/>
    <n v="1"/>
    <x v="1"/>
    <s v="Justin Jefferson"/>
    <n v="13.9"/>
    <n v="2024"/>
  </r>
  <r>
    <x v="4"/>
    <s v="Eli"/>
    <n v="1"/>
    <x v="1"/>
    <s v="DJ Moore"/>
    <n v="7.5"/>
    <n v="2024"/>
  </r>
  <r>
    <x v="4"/>
    <s v="Eli"/>
    <n v="1"/>
    <x v="1"/>
    <s v="DeMario Douglas"/>
    <n v="2.2000000000000002"/>
    <n v="2024"/>
  </r>
  <r>
    <x v="4"/>
    <s v="Eli"/>
    <n v="1"/>
    <x v="2"/>
    <s v="Bijan Robinson"/>
    <n v="13.6"/>
    <n v="2024"/>
  </r>
  <r>
    <x v="4"/>
    <s v="Eli"/>
    <n v="1"/>
    <x v="2"/>
    <s v="Jaylen Warren"/>
    <n v="3"/>
    <n v="2024"/>
  </r>
  <r>
    <x v="4"/>
    <s v="Eli"/>
    <n v="1"/>
    <x v="3"/>
    <s v="David Njoku"/>
    <n v="6.4"/>
    <n v="2024"/>
  </r>
  <r>
    <x v="4"/>
    <s v="Eli"/>
    <n v="1"/>
    <x v="5"/>
    <s v="Jake Moody"/>
    <n v="26"/>
    <n v="2024"/>
  </r>
  <r>
    <x v="4"/>
    <s v="Eli"/>
    <n v="1"/>
    <x v="4"/>
    <s v="NYJ"/>
    <n v="-2"/>
    <n v="2024"/>
  </r>
  <r>
    <x v="5"/>
    <s v="Burnett/Jasjaap"/>
    <n v="1"/>
    <x v="0"/>
    <s v="Brock Purdy"/>
    <n v="10.34"/>
    <n v="2024"/>
  </r>
  <r>
    <x v="5"/>
    <s v="Burnett/Jasjaap"/>
    <n v="1"/>
    <x v="1"/>
    <s v="CeeDee Lamb"/>
    <n v="11.1"/>
    <n v="2024"/>
  </r>
  <r>
    <x v="5"/>
    <s v="Burnett/Jasjaap"/>
    <n v="1"/>
    <x v="1"/>
    <s v="Jaylen Waddle"/>
    <n v="13.7"/>
    <n v="2024"/>
  </r>
  <r>
    <x v="5"/>
    <s v="Burnett/Jasjaap"/>
    <n v="1"/>
    <x v="1"/>
    <s v="Puka Nacua"/>
    <n v="6.2"/>
    <n v="2024"/>
  </r>
  <r>
    <x v="5"/>
    <s v="Burnett/Jasjaap"/>
    <n v="1"/>
    <x v="2"/>
    <s v="Josh Jacobs"/>
    <n v="11.4"/>
    <n v="2024"/>
  </r>
  <r>
    <x v="5"/>
    <s v="Burnett/Jasjaap"/>
    <n v="1"/>
    <x v="2"/>
    <s v="David Montgomery"/>
    <n v="15.8"/>
    <n v="2024"/>
  </r>
  <r>
    <x v="5"/>
    <s v="Burnett/Jasjaap"/>
    <n v="1"/>
    <x v="3"/>
    <s v="Brock Bowers"/>
    <n v="8.8000000000000007"/>
    <n v="2024"/>
  </r>
  <r>
    <x v="5"/>
    <s v="Burnett/Jasjaap"/>
    <n v="1"/>
    <x v="5"/>
    <s v="Jake Elliott"/>
    <n v="10"/>
    <n v="2024"/>
  </r>
  <r>
    <x v="5"/>
    <s v="Burnett/Jasjaap"/>
    <n v="1"/>
    <x v="4"/>
    <s v="Pittsburgh"/>
    <n v="13"/>
    <n v="2024"/>
  </r>
  <r>
    <x v="6"/>
    <s v="Will"/>
    <n v="1"/>
    <x v="0"/>
    <s v="Caleb Williams"/>
    <n v="7.22"/>
    <n v="2024"/>
  </r>
  <r>
    <x v="6"/>
    <s v="Will"/>
    <n v="1"/>
    <x v="1"/>
    <s v="Ladd McConkey"/>
    <n v="12.4"/>
    <n v="2024"/>
  </r>
  <r>
    <x v="6"/>
    <s v="Will"/>
    <n v="1"/>
    <x v="1"/>
    <s v="Amon-Ra St. Brown"/>
    <n v="2.8"/>
    <n v="2024"/>
  </r>
  <r>
    <x v="6"/>
    <s v="Will"/>
    <n v="1"/>
    <x v="1"/>
    <s v="Drake London"/>
    <n v="2.5"/>
    <n v="2024"/>
  </r>
  <r>
    <x v="6"/>
    <s v="Will"/>
    <n v="1"/>
    <x v="2"/>
    <s v="Travis Etienne"/>
    <n v="10.9"/>
    <n v="2024"/>
  </r>
  <r>
    <x v="6"/>
    <s v="Will"/>
    <n v="1"/>
    <x v="2"/>
    <s v="Zamir White"/>
    <n v="3.6"/>
    <n v="2024"/>
  </r>
  <r>
    <x v="6"/>
    <s v="Will"/>
    <n v="1"/>
    <x v="3"/>
    <s v="Kyle Pitts"/>
    <n v="10.1"/>
    <n v="2024"/>
  </r>
  <r>
    <x v="6"/>
    <s v="Will"/>
    <n v="1"/>
    <x v="5"/>
    <s v="Jason Myers"/>
    <n v="10"/>
    <n v="2024"/>
  </r>
  <r>
    <x v="6"/>
    <s v="Will"/>
    <n v="1"/>
    <x v="4"/>
    <s v="Houston"/>
    <n v="3"/>
    <n v="2024"/>
  </r>
  <r>
    <x v="7"/>
    <s v="Jay"/>
    <n v="1"/>
    <x v="0"/>
    <s v="Lamar Jackson"/>
    <n v="25.12"/>
    <n v="2024"/>
  </r>
  <r>
    <x v="7"/>
    <s v="Jay"/>
    <n v="1"/>
    <x v="1"/>
    <s v="Stefon Diggs"/>
    <n v="18.899999999999999"/>
    <n v="2024"/>
  </r>
  <r>
    <x v="7"/>
    <s v="Jay"/>
    <n v="1"/>
    <x v="1"/>
    <s v="Christian Kirk"/>
    <n v="3.5"/>
    <n v="2024"/>
  </r>
  <r>
    <x v="7"/>
    <s v="Jay"/>
    <n v="1"/>
    <x v="1"/>
    <s v="Amari Cooper"/>
    <n v="2.6"/>
    <n v="2024"/>
  </r>
  <r>
    <x v="7"/>
    <s v="Jay"/>
    <n v="1"/>
    <x v="2"/>
    <s v="Alvin Kamara"/>
    <n v="19.5"/>
    <n v="2024"/>
  </r>
  <r>
    <x v="7"/>
    <s v="Jay"/>
    <n v="1"/>
    <x v="2"/>
    <s v="Jonathan Taylor"/>
    <n v="10.8"/>
    <n v="2024"/>
  </r>
  <r>
    <x v="7"/>
    <s v="Jay"/>
    <n v="1"/>
    <x v="3"/>
    <s v="Mark Andrews"/>
    <n v="2.4"/>
    <n v="2024"/>
  </r>
  <r>
    <x v="7"/>
    <s v="Jay"/>
    <n v="1"/>
    <x v="5"/>
    <s v="Ka'imi Fairbairn"/>
    <n v="17"/>
    <n v="2024"/>
  </r>
  <r>
    <x v="7"/>
    <s v="Jay"/>
    <n v="1"/>
    <x v="4"/>
    <s v="LA Chargers"/>
    <n v="15"/>
    <n v="2024"/>
  </r>
  <r>
    <x v="8"/>
    <s v="Schulwolf"/>
    <n v="1"/>
    <x v="0"/>
    <s v="Jordan Love"/>
    <n v="16.399999999999999"/>
    <n v="2024"/>
  </r>
  <r>
    <x v="8"/>
    <s v="Schulwolf"/>
    <n v="1"/>
    <x v="1"/>
    <s v="Cooper Kupp"/>
    <n v="25"/>
    <n v="2024"/>
  </r>
  <r>
    <x v="8"/>
    <s v="Schulwolf"/>
    <n v="1"/>
    <x v="1"/>
    <s v="DeVonta Smith"/>
    <n v="11.9"/>
    <n v="2024"/>
  </r>
  <r>
    <x v="8"/>
    <s v="Schulwolf"/>
    <n v="1"/>
    <x v="1"/>
    <s v="Chris Godwin"/>
    <n v="18.3"/>
    <n v="2024"/>
  </r>
  <r>
    <x v="8"/>
    <s v="Schulwolf"/>
    <n v="1"/>
    <x v="2"/>
    <s v="Jahmyr Gibbs"/>
    <n v="15.4"/>
    <n v="2024"/>
  </r>
  <r>
    <x v="8"/>
    <s v="Schulwolf"/>
    <n v="1"/>
    <x v="2"/>
    <s v="James Cook"/>
    <n v="11.8"/>
    <n v="2024"/>
  </r>
  <r>
    <x v="8"/>
    <s v="Schulwolf"/>
    <n v="1"/>
    <x v="3"/>
    <s v="Dalton Kincaid"/>
    <n v="1.6"/>
    <n v="2024"/>
  </r>
  <r>
    <x v="8"/>
    <s v="Schulwolf"/>
    <n v="1"/>
    <x v="5"/>
    <s v="Brandon Aubrey"/>
    <n v="21"/>
    <n v="2024"/>
  </r>
  <r>
    <x v="8"/>
    <s v="Schulwolf"/>
    <n v="1"/>
    <x v="4"/>
    <s v="Dallas"/>
    <n v="18"/>
    <n v="2024"/>
  </r>
  <r>
    <x v="9"/>
    <s v="Tommy"/>
    <n v="1"/>
    <x v="0"/>
    <s v="Josh Allen"/>
    <n v="31.18"/>
    <n v="2024"/>
  </r>
  <r>
    <x v="9"/>
    <s v="Tommy"/>
    <n v="1"/>
    <x v="1"/>
    <s v="Malik Nabers"/>
    <n v="9.1"/>
    <n v="2024"/>
  </r>
  <r>
    <x v="9"/>
    <s v="Tommy"/>
    <n v="1"/>
    <x v="1"/>
    <s v="DK Metcalf"/>
    <n v="4.4000000000000004"/>
    <n v="2024"/>
  </r>
  <r>
    <x v="9"/>
    <s v="Tommy"/>
    <n v="1"/>
    <x v="1"/>
    <s v="Romeo Doubs"/>
    <n v="7"/>
    <n v="2024"/>
  </r>
  <r>
    <x v="9"/>
    <s v="Tommy"/>
    <n v="1"/>
    <x v="2"/>
    <s v="Saquon Barkley"/>
    <n v="32.200000000000003"/>
    <n v="2024"/>
  </r>
  <r>
    <x v="9"/>
    <s v="Tommy"/>
    <n v="1"/>
    <x v="2"/>
    <s v="Rachaad White"/>
    <n v="13.6"/>
    <n v="2024"/>
  </r>
  <r>
    <x v="9"/>
    <s v="Tommy"/>
    <n v="1"/>
    <x v="3"/>
    <s v="Evan Engram"/>
    <n v="1"/>
    <n v="2024"/>
  </r>
  <r>
    <x v="9"/>
    <s v="Tommy"/>
    <n v="1"/>
    <x v="5"/>
    <s v="Harrison Butker"/>
    <n v="9"/>
    <n v="2024"/>
  </r>
  <r>
    <x v="9"/>
    <s v="Tommy"/>
    <n v="1"/>
    <x v="4"/>
    <s v="San Francisco"/>
    <n v="7"/>
    <n v="2024"/>
  </r>
  <r>
    <x v="10"/>
    <s v="Brand"/>
    <n v="1"/>
    <x v="0"/>
    <s v="Anthony Richardson"/>
    <n v="26.08"/>
    <n v="2024"/>
  </r>
  <r>
    <x v="10"/>
    <s v="Brand"/>
    <n v="1"/>
    <x v="1"/>
    <s v="Jameson Williams"/>
    <n v="21.9"/>
    <n v="2024"/>
  </r>
  <r>
    <x v="10"/>
    <s v="Brand"/>
    <n v="1"/>
    <x v="1"/>
    <s v="Christian Watson"/>
    <n v="8.8000000000000007"/>
    <n v="2024"/>
  </r>
  <r>
    <x v="10"/>
    <s v="Brand"/>
    <n v="1"/>
    <x v="1"/>
    <s v="Garrett Wilson"/>
    <n v="9"/>
    <n v="2024"/>
  </r>
  <r>
    <x v="10"/>
    <s v="Brand"/>
    <n v="1"/>
    <x v="2"/>
    <s v="Kenneth Walker"/>
    <n v="17.899999999999999"/>
    <n v="2024"/>
  </r>
  <r>
    <x v="10"/>
    <s v="Brand"/>
    <n v="1"/>
    <x v="2"/>
    <s v="Breece Hall"/>
    <n v="15.8"/>
    <n v="2024"/>
  </r>
  <r>
    <x v="10"/>
    <s v="Brand"/>
    <n v="1"/>
    <x v="3"/>
    <s v="Dallas Goedert"/>
    <n v="5.0999999999999996"/>
    <n v="2024"/>
  </r>
  <r>
    <x v="10"/>
    <s v="Brand"/>
    <n v="1"/>
    <x v="5"/>
    <s v="Cairo Santos"/>
    <n v="13"/>
    <n v="2024"/>
  </r>
  <r>
    <x v="10"/>
    <s v="Brand"/>
    <n v="1"/>
    <x v="4"/>
    <s v="New Orleans"/>
    <n v="17"/>
    <n v="2024"/>
  </r>
  <r>
    <x v="11"/>
    <s v="Cam"/>
    <n v="1"/>
    <x v="0"/>
    <s v="Joe Burrow"/>
    <n v="8.06"/>
    <n v="2024"/>
  </r>
  <r>
    <x v="11"/>
    <s v="Cam"/>
    <n v="1"/>
    <x v="1"/>
    <s v="Ja'Marr Chase"/>
    <n v="9.1999999999999993"/>
    <n v="2024"/>
  </r>
  <r>
    <x v="11"/>
    <s v="Cam"/>
    <n v="1"/>
    <x v="1"/>
    <s v="Nico Collins"/>
    <n v="14.7"/>
    <n v="2024"/>
  </r>
  <r>
    <x v="11"/>
    <s v="Cam"/>
    <n v="1"/>
    <x v="1"/>
    <s v="Andrei Iosivas"/>
    <n v="4.0999999999999996"/>
    <n v="2024"/>
  </r>
  <r>
    <x v="11"/>
    <s v="Cam"/>
    <n v="1"/>
    <x v="2"/>
    <s v="Rhamondre Stevenson"/>
    <n v="20.100000000000001"/>
    <n v="2024"/>
  </r>
  <r>
    <x v="11"/>
    <s v="Cam"/>
    <n v="1"/>
    <x v="2"/>
    <s v="Aaron Jones"/>
    <n v="17.899999999999999"/>
    <n v="2024"/>
  </r>
  <r>
    <x v="11"/>
    <s v="Cam"/>
    <n v="1"/>
    <x v="3"/>
    <s v="George Kittle"/>
    <n v="6"/>
    <n v="2024"/>
  </r>
  <r>
    <x v="11"/>
    <s v="Cam"/>
    <n v="1"/>
    <x v="5"/>
    <s v="Evan McPherson"/>
    <n v="6"/>
    <n v="2024"/>
  </r>
  <r>
    <x v="11"/>
    <s v="Cam"/>
    <n v="1"/>
    <x v="4"/>
    <s v="Atlanta"/>
    <n v="4"/>
    <n v="2024"/>
  </r>
  <r>
    <x v="0"/>
    <s v="Brenton"/>
    <n v="2"/>
    <x v="0"/>
    <s v="Baker Mayfield"/>
    <n v="18.8"/>
    <n v="2024"/>
  </r>
  <r>
    <x v="0"/>
    <s v="Brenton"/>
    <n v="2"/>
    <x v="1"/>
    <s v="Tyreek Hill"/>
    <n v="5.0999999999999996"/>
    <n v="2024"/>
  </r>
  <r>
    <x v="0"/>
    <s v="Brenton"/>
    <n v="2"/>
    <x v="1"/>
    <s v="Zay Flowers"/>
    <n v="18.600000000000001"/>
    <n v="2024"/>
  </r>
  <r>
    <x v="0"/>
    <s v="Brenton"/>
    <n v="2"/>
    <x v="1"/>
    <s v="Jayden Reed"/>
    <n v="5.6"/>
    <n v="2024"/>
  </r>
  <r>
    <x v="0"/>
    <s v="Brenton"/>
    <n v="2"/>
    <x v="2"/>
    <s v="Ezekiel Elliott"/>
    <n v="4.2"/>
    <n v="2024"/>
  </r>
  <r>
    <x v="0"/>
    <s v="Brenton"/>
    <n v="2"/>
    <x v="2"/>
    <s v="Jerome Ford"/>
    <n v="6.9"/>
    <n v="2024"/>
  </r>
  <r>
    <x v="0"/>
    <s v="Brenton"/>
    <n v="2"/>
    <x v="3"/>
    <s v="Trey McBride"/>
    <n v="15.7"/>
    <n v="2024"/>
  </r>
  <r>
    <x v="0"/>
    <s v="Brenton"/>
    <n v="2"/>
    <x v="4"/>
    <s v="Tyler Bass"/>
    <n v="7"/>
    <n v="2024"/>
  </r>
  <r>
    <x v="0"/>
    <s v="Brenton"/>
    <n v="2"/>
    <x v="5"/>
    <s v="Jacksonville"/>
    <n v="4"/>
    <n v="2024"/>
  </r>
  <r>
    <x v="2"/>
    <s v="Mike"/>
    <n v="2"/>
    <x v="0"/>
    <s v="Patrick Mahomes"/>
    <n v="12.94"/>
    <n v="2024"/>
  </r>
  <r>
    <x v="2"/>
    <s v="Mike"/>
    <n v="2"/>
    <x v="1"/>
    <s v="Davante Adams"/>
    <n v="21.5"/>
    <n v="2024"/>
  </r>
  <r>
    <x v="2"/>
    <s v="Mike"/>
    <n v="2"/>
    <x v="1"/>
    <s v="Mike Evans"/>
    <n v="5.7"/>
    <n v="2024"/>
  </r>
  <r>
    <x v="2"/>
    <s v="Mike"/>
    <n v="2"/>
    <x v="1"/>
    <s v="Khalil Shakir"/>
    <n v="8.1"/>
    <n v="2024"/>
  </r>
  <r>
    <x v="2"/>
    <s v="Mike"/>
    <n v="2"/>
    <x v="2"/>
    <s v="Derrick Henry"/>
    <n v="16.100000000000001"/>
    <n v="2024"/>
  </r>
  <r>
    <x v="2"/>
    <s v="Mike"/>
    <n v="2"/>
    <x v="2"/>
    <s v="Tyjae Spears"/>
    <n v="4.0999999999999996"/>
    <n v="2024"/>
  </r>
  <r>
    <x v="2"/>
    <s v="Mike"/>
    <n v="2"/>
    <x v="3"/>
    <s v="Sam LaPorta"/>
    <n v="2.2999999999999998"/>
    <n v="2024"/>
  </r>
  <r>
    <x v="2"/>
    <s v="Mike"/>
    <n v="2"/>
    <x v="4"/>
    <s v="Buffalo"/>
    <n v="17"/>
    <n v="2024"/>
  </r>
  <r>
    <x v="2"/>
    <s v="Mike"/>
    <n v="2"/>
    <x v="5"/>
    <s v="Jason Sanders"/>
    <n v="4"/>
    <n v="2024"/>
  </r>
  <r>
    <x v="1"/>
    <s v="Todd"/>
    <n v="2"/>
    <x v="0"/>
    <s v="Dak Prescott"/>
    <n v="12.92"/>
    <n v="2024"/>
  </r>
  <r>
    <x v="1"/>
    <s v="Todd"/>
    <n v="2"/>
    <x v="1"/>
    <s v="Deebo Samuel"/>
    <n v="14"/>
    <n v="2024"/>
  </r>
  <r>
    <x v="1"/>
    <s v="Todd"/>
    <n v="2"/>
    <x v="1"/>
    <s v="Rashee Rice"/>
    <n v="16"/>
    <n v="2024"/>
  </r>
  <r>
    <x v="1"/>
    <s v="Todd"/>
    <n v="2"/>
    <x v="1"/>
    <s v="Calvin Ridley"/>
    <n v="22.7"/>
    <n v="2024"/>
  </r>
  <r>
    <x v="1"/>
    <s v="Todd"/>
    <n v="2"/>
    <x v="2"/>
    <s v="De'Von Achane"/>
    <n v="26"/>
    <n v="2024"/>
  </r>
  <r>
    <x v="1"/>
    <s v="Todd"/>
    <n v="2"/>
    <x v="2"/>
    <s v="James Conner"/>
    <n v="18.899999999999999"/>
    <n v="2024"/>
  </r>
  <r>
    <x v="1"/>
    <s v="Todd"/>
    <n v="2"/>
    <x v="3"/>
    <s v="Kyle Pitts"/>
    <n v="3.5"/>
    <n v="2024"/>
  </r>
  <r>
    <x v="1"/>
    <s v="Todd"/>
    <n v="2"/>
    <x v="4"/>
    <s v="Seattle"/>
    <n v="5"/>
    <n v="2024"/>
  </r>
  <r>
    <x v="1"/>
    <s v="Todd"/>
    <n v="2"/>
    <x v="5"/>
    <s v="Chris Boswell"/>
    <n v="9"/>
    <n v="2024"/>
  </r>
  <r>
    <x v="7"/>
    <s v="Jay"/>
    <n v="2"/>
    <x v="0"/>
    <s v="Lamar Jackson"/>
    <n v="16.38"/>
    <n v="2024"/>
  </r>
  <r>
    <x v="7"/>
    <s v="Jay"/>
    <n v="2"/>
    <x v="1"/>
    <s v="Stefon Diggs"/>
    <n v="5.7"/>
    <n v="2024"/>
  </r>
  <r>
    <x v="7"/>
    <s v="Jay"/>
    <n v="2"/>
    <x v="1"/>
    <s v="Amari Cooper"/>
    <n v="2.6"/>
    <n v="2024"/>
  </r>
  <r>
    <x v="7"/>
    <s v="Jay"/>
    <n v="2"/>
    <x v="1"/>
    <s v="Christian Kirk"/>
    <n v="0.4"/>
    <n v="2024"/>
  </r>
  <r>
    <x v="7"/>
    <s v="Jay"/>
    <n v="2"/>
    <x v="2"/>
    <s v="Alvin Kamara"/>
    <n v="43"/>
    <n v="2024"/>
  </r>
  <r>
    <x v="7"/>
    <s v="Jay"/>
    <n v="2"/>
    <x v="2"/>
    <s v="Jonathan Taylor"/>
    <n v="14.5"/>
    <n v="2024"/>
  </r>
  <r>
    <x v="7"/>
    <s v="Jay"/>
    <n v="2"/>
    <x v="3"/>
    <s v="Mark Andrews"/>
    <n v="7.1"/>
    <n v="2024"/>
  </r>
  <r>
    <x v="7"/>
    <s v="Jay"/>
    <n v="2"/>
    <x v="5"/>
    <s v="Ka'imi Fairbairn"/>
    <n v="20"/>
    <n v="2024"/>
  </r>
  <r>
    <x v="7"/>
    <s v="Jay"/>
    <n v="2"/>
    <x v="4"/>
    <s v="LA Chargers"/>
    <n v="14"/>
    <n v="2024"/>
  </r>
  <r>
    <x v="4"/>
    <s v="Eli"/>
    <n v="2"/>
    <x v="0"/>
    <s v="Jalen Hurts"/>
    <n v="23.82"/>
    <n v="2024"/>
  </r>
  <r>
    <x v="4"/>
    <s v="Eli"/>
    <n v="2"/>
    <x v="1"/>
    <s v="Justin Jefferson"/>
    <n v="21.3"/>
    <n v="2024"/>
  </r>
  <r>
    <x v="4"/>
    <s v="Eli"/>
    <n v="2"/>
    <x v="1"/>
    <s v="DJ Moore"/>
    <n v="8.3000000000000007"/>
    <n v="2024"/>
  </r>
  <r>
    <x v="4"/>
    <s v="Eli"/>
    <n v="2"/>
    <x v="1"/>
    <s v="Demarcus Robinson"/>
    <n v="6"/>
    <n v="2024"/>
  </r>
  <r>
    <x v="4"/>
    <s v="Eli"/>
    <n v="2"/>
    <x v="2"/>
    <s v="Bijan Robinson"/>
    <n v="14.2"/>
    <n v="2024"/>
  </r>
  <r>
    <x v="4"/>
    <s v="Eli"/>
    <n v="2"/>
    <x v="2"/>
    <s v="Jordan Mason"/>
    <n v="16.899999999999999"/>
    <n v="2024"/>
  </r>
  <r>
    <x v="4"/>
    <s v="Eli"/>
    <n v="2"/>
    <x v="3"/>
    <s v="Dalton Schultz"/>
    <n v="3.1"/>
    <n v="2024"/>
  </r>
  <r>
    <x v="4"/>
    <s v="Eli"/>
    <n v="2"/>
    <x v="5"/>
    <s v="Jake Moody"/>
    <n v="5"/>
    <n v="2024"/>
  </r>
  <r>
    <x v="4"/>
    <s v="Eli"/>
    <n v="2"/>
    <x v="4"/>
    <s v="NYJ"/>
    <n v="10"/>
    <n v="2024"/>
  </r>
  <r>
    <x v="6"/>
    <s v="Will"/>
    <n v="2"/>
    <x v="0"/>
    <s v="Geno Smith"/>
    <n v="17.88"/>
    <n v="2024"/>
  </r>
  <r>
    <x v="6"/>
    <s v="Will"/>
    <n v="2"/>
    <x v="1"/>
    <s v="Amon-Ra St. Brown"/>
    <n v="17.399999999999999"/>
    <n v="2024"/>
  </r>
  <r>
    <x v="6"/>
    <s v="Will"/>
    <n v="2"/>
    <x v="1"/>
    <s v="Drake London"/>
    <n v="14.4"/>
    <n v="2024"/>
  </r>
  <r>
    <x v="6"/>
    <s v="Will"/>
    <n v="2"/>
    <x v="1"/>
    <s v="Jaxon Smith-Njigba"/>
    <n v="17.7"/>
    <n v="2024"/>
  </r>
  <r>
    <x v="6"/>
    <s v="Will"/>
    <n v="2"/>
    <x v="2"/>
    <s v="Travis Etienne"/>
    <n v="13.3"/>
    <n v="2024"/>
  </r>
  <r>
    <x v="6"/>
    <s v="Will"/>
    <n v="2"/>
    <x v="2"/>
    <s v="Zach Charbonnet"/>
    <n v="15.4"/>
    <n v="2024"/>
  </r>
  <r>
    <x v="6"/>
    <s v="Will"/>
    <n v="2"/>
    <x v="3"/>
    <s v="Travis Kelce"/>
    <n v="1.1000000000000001"/>
    <n v="2024"/>
  </r>
  <r>
    <x v="6"/>
    <s v="Will"/>
    <n v="2"/>
    <x v="5"/>
    <s v="Jason Myers"/>
    <n v="12"/>
    <n v="2024"/>
  </r>
  <r>
    <x v="6"/>
    <s v="Will"/>
    <n v="2"/>
    <x v="4"/>
    <s v="Houston"/>
    <n v="16"/>
    <n v="2024"/>
  </r>
  <r>
    <x v="8"/>
    <s v="Schulwolf"/>
    <n v="2"/>
    <x v="0"/>
    <s v="Jayden Daniels"/>
    <n v="13.44"/>
    <n v="2024"/>
  </r>
  <r>
    <x v="8"/>
    <s v="Schulwolf"/>
    <n v="2"/>
    <x v="1"/>
    <s v="Chris Godwin"/>
    <n v="21.2"/>
    <n v="2024"/>
  </r>
  <r>
    <x v="8"/>
    <s v="Schulwolf"/>
    <n v="2"/>
    <x v="1"/>
    <s v="DeVonta Smith"/>
    <n v="17.100000000000001"/>
    <n v="2024"/>
  </r>
  <r>
    <x v="8"/>
    <s v="Schulwolf"/>
    <n v="2"/>
    <x v="1"/>
    <s v="Cooper Kupp"/>
    <n v="5.7"/>
    <n v="2024"/>
  </r>
  <r>
    <x v="8"/>
    <s v="Schulwolf"/>
    <n v="2"/>
    <x v="2"/>
    <s v="James Cook"/>
    <n v="28"/>
    <n v="2024"/>
  </r>
  <r>
    <x v="8"/>
    <s v="Schulwolf"/>
    <n v="2"/>
    <x v="2"/>
    <s v="Jahmyr Gibbs"/>
    <n v="14.1"/>
    <n v="2024"/>
  </r>
  <r>
    <x v="8"/>
    <s v="Schulwolf"/>
    <n v="2"/>
    <x v="3"/>
    <s v="Dalton Kincaid"/>
    <n v="5.3"/>
    <n v="2024"/>
  </r>
  <r>
    <x v="8"/>
    <s v="Schulwolf"/>
    <n v="2"/>
    <x v="5"/>
    <s v="Brandon Aubrey"/>
    <n v="17"/>
    <n v="2024"/>
  </r>
  <r>
    <x v="8"/>
    <s v="Schulwolf"/>
    <n v="2"/>
    <x v="4"/>
    <s v="Dallas"/>
    <n v="-3"/>
    <n v="2024"/>
  </r>
  <r>
    <x v="3"/>
    <s v="Kevin"/>
    <n v="2"/>
    <x v="0"/>
    <s v="CJ Stroud"/>
    <n v="14.3"/>
    <n v="2024"/>
  </r>
  <r>
    <x v="3"/>
    <s v="Kevin"/>
    <n v="2"/>
    <x v="1"/>
    <s v="Marvin Harrison Jr"/>
    <n v="27"/>
    <n v="2024"/>
  </r>
  <r>
    <x v="3"/>
    <s v="Kevin"/>
    <n v="2"/>
    <x v="1"/>
    <s v="Chris Olave"/>
    <n v="10.8"/>
    <n v="2024"/>
  </r>
  <r>
    <x v="3"/>
    <s v="Kevin"/>
    <n v="2"/>
    <x v="1"/>
    <s v="George Pickens"/>
    <n v="3.9"/>
    <n v="2024"/>
  </r>
  <r>
    <x v="3"/>
    <s v="Kevin"/>
    <n v="2"/>
    <x v="2"/>
    <s v="Isiah Pacheco"/>
    <n v="13.6"/>
    <n v="2024"/>
  </r>
  <r>
    <x v="3"/>
    <s v="Kevin"/>
    <n v="2"/>
    <x v="2"/>
    <s v="Najee Harris"/>
    <n v="7.9"/>
    <n v="2024"/>
  </r>
  <r>
    <x v="3"/>
    <s v="Kevin"/>
    <n v="2"/>
    <x v="3"/>
    <s v="Hunter Henry"/>
    <n v="14.9"/>
    <n v="2024"/>
  </r>
  <r>
    <x v="3"/>
    <s v="Kevin"/>
    <n v="2"/>
    <x v="5"/>
    <s v="Justin Tucker"/>
    <n v="13"/>
    <n v="2024"/>
  </r>
  <r>
    <x v="3"/>
    <s v="Kevin"/>
    <n v="2"/>
    <x v="4"/>
    <s v="Cleveland"/>
    <n v="9"/>
    <n v="2024"/>
  </r>
  <r>
    <x v="10"/>
    <s v="Brand"/>
    <n v="2"/>
    <x v="0"/>
    <s v="Anthony Richardson"/>
    <n v="9.86"/>
    <n v="2024"/>
  </r>
  <r>
    <x v="10"/>
    <s v="Brand"/>
    <n v="2"/>
    <x v="1"/>
    <s v="Jameson Williams"/>
    <n v="11.9"/>
    <n v="2024"/>
  </r>
  <r>
    <x v="10"/>
    <s v="Brand"/>
    <n v="2"/>
    <x v="1"/>
    <s v="Garrett Wilson"/>
    <n v="8.1999999999999993"/>
    <n v="2024"/>
  </r>
  <r>
    <x v="10"/>
    <s v="Brand"/>
    <n v="2"/>
    <x v="1"/>
    <s v="Michael Pittman"/>
    <n v="3.6"/>
    <n v="2024"/>
  </r>
  <r>
    <x v="10"/>
    <s v="Brand"/>
    <n v="2"/>
    <x v="2"/>
    <s v="Breece Hall"/>
    <n v="20.9"/>
    <n v="2024"/>
  </r>
  <r>
    <x v="10"/>
    <s v="Brand"/>
    <n v="2"/>
    <x v="2"/>
    <s v="Bucky Irving"/>
    <n v="2.2000000000000002"/>
    <n v="2024"/>
  </r>
  <r>
    <x v="10"/>
    <s v="Brand"/>
    <n v="2"/>
    <x v="3"/>
    <s v="Dallas Goedert"/>
    <n v="5.3"/>
    <n v="2024"/>
  </r>
  <r>
    <x v="10"/>
    <s v="Brand"/>
    <n v="2"/>
    <x v="5"/>
    <s v="Cairo Santos"/>
    <n v="11"/>
    <n v="2024"/>
  </r>
  <r>
    <x v="10"/>
    <s v="Brand"/>
    <n v="2"/>
    <x v="4"/>
    <s v="Indianapolis"/>
    <n v="2"/>
    <n v="2024"/>
  </r>
  <r>
    <x v="9"/>
    <s v="Tommy"/>
    <n v="2"/>
    <x v="0"/>
    <s v="Josh Allen"/>
    <n v="9.76"/>
    <n v="2024"/>
  </r>
  <r>
    <x v="9"/>
    <s v="Tommy"/>
    <n v="2"/>
    <x v="1"/>
    <s v="DK Metcalf"/>
    <n v="23.9"/>
    <n v="2024"/>
  </r>
  <r>
    <x v="9"/>
    <s v="Tommy"/>
    <n v="2"/>
    <x v="1"/>
    <s v="Malik Nabers"/>
    <n v="23.7"/>
    <n v="2024"/>
  </r>
  <r>
    <x v="9"/>
    <s v="Tommy"/>
    <n v="2"/>
    <x v="1"/>
    <s v="Xavier Worthy"/>
    <n v="3.2"/>
    <n v="2024"/>
  </r>
  <r>
    <x v="9"/>
    <s v="Tommy"/>
    <n v="2"/>
    <x v="2"/>
    <s v="Saquon Barkley"/>
    <n v="15.6"/>
    <n v="2024"/>
  </r>
  <r>
    <x v="9"/>
    <s v="Tommy"/>
    <n v="2"/>
    <x v="2"/>
    <s v="Kyren Williams"/>
    <n v="13.2"/>
    <n v="2024"/>
  </r>
  <r>
    <x v="9"/>
    <s v="Tommy"/>
    <n v="2"/>
    <x v="3"/>
    <s v="Evan Engram"/>
    <n v="0"/>
    <n v="2024"/>
  </r>
  <r>
    <x v="9"/>
    <s v="Tommy"/>
    <n v="2"/>
    <x v="5"/>
    <s v="Harrison Butker"/>
    <n v="10"/>
    <n v="2024"/>
  </r>
  <r>
    <x v="9"/>
    <s v="Tommy"/>
    <n v="2"/>
    <x v="4"/>
    <s v="San Francisco"/>
    <n v="4"/>
    <n v="2024"/>
  </r>
  <r>
    <x v="11"/>
    <s v="Cam"/>
    <n v="2"/>
    <x v="0"/>
    <s v="Kyler Murray"/>
    <n v="28.54"/>
    <n v="2024"/>
  </r>
  <r>
    <x v="11"/>
    <s v="Cam"/>
    <n v="2"/>
    <x v="1"/>
    <s v="Nico Collins"/>
    <n v="23.5"/>
    <n v="2024"/>
  </r>
  <r>
    <x v="11"/>
    <s v="Cam"/>
    <n v="2"/>
    <x v="1"/>
    <s v="Ja'Marr Chase"/>
    <n v="5.5"/>
    <n v="2024"/>
  </r>
  <r>
    <x v="11"/>
    <s v="Cam"/>
    <n v="2"/>
    <x v="1"/>
    <s v="Brandon Aiyuk"/>
    <n v="6.3"/>
    <n v="2024"/>
  </r>
  <r>
    <x v="11"/>
    <s v="Cam"/>
    <n v="2"/>
    <x v="2"/>
    <s v="Rhamondre Stevenson"/>
    <n v="16"/>
    <n v="2024"/>
  </r>
  <r>
    <x v="11"/>
    <s v="Cam"/>
    <n v="2"/>
    <x v="2"/>
    <s v="JK Dobbins"/>
    <n v="19.600000000000001"/>
    <n v="2024"/>
  </r>
  <r>
    <x v="11"/>
    <s v="Cam"/>
    <n v="2"/>
    <x v="3"/>
    <s v="George Kittle"/>
    <n v="17.100000000000001"/>
    <n v="2024"/>
  </r>
  <r>
    <x v="11"/>
    <s v="Cam"/>
    <n v="2"/>
    <x v="5"/>
    <s v="Evan McPherson"/>
    <n v="15"/>
    <n v="2024"/>
  </r>
  <r>
    <x v="11"/>
    <s v="Cam"/>
    <n v="2"/>
    <x v="4"/>
    <s v="Baltimore"/>
    <n v="8"/>
    <n v="2024"/>
  </r>
  <r>
    <x v="5"/>
    <s v="Burnett/Jasjaap"/>
    <n v="2"/>
    <x v="0"/>
    <s v="Brock Purdy"/>
    <n v="13.96"/>
    <n v="2024"/>
  </r>
  <r>
    <x v="5"/>
    <s v="Burnett/Jasjaap"/>
    <n v="2"/>
    <x v="1"/>
    <s v="CeeDee Lamb"/>
    <n v="17"/>
    <n v="2024"/>
  </r>
  <r>
    <x v="5"/>
    <s v="Burnett/Jasjaap"/>
    <n v="2"/>
    <x v="1"/>
    <s v="Jaylen Waddle"/>
    <n v="6.5"/>
    <n v="2024"/>
  </r>
  <r>
    <x v="5"/>
    <s v="Burnett/Jasjaap"/>
    <n v="2"/>
    <x v="1"/>
    <s v="Rashid Shaheed"/>
    <n v="18.899999999999999"/>
    <n v="2024"/>
  </r>
  <r>
    <x v="5"/>
    <s v="Burnett/Jasjaap"/>
    <n v="2"/>
    <x v="2"/>
    <s v="David Montgomery"/>
    <n v="15"/>
    <n v="2024"/>
  </r>
  <r>
    <x v="5"/>
    <s v="Burnett/Jasjaap"/>
    <n v="2"/>
    <x v="2"/>
    <s v="Josh Jacobs"/>
    <n v="13.1"/>
    <n v="2024"/>
  </r>
  <r>
    <x v="5"/>
    <s v="Burnett/Jasjaap"/>
    <n v="2"/>
    <x v="3"/>
    <s v="Brock Bowers"/>
    <n v="14.3"/>
    <n v="2024"/>
  </r>
  <r>
    <x v="5"/>
    <s v="Burnett/Jasjaap"/>
    <n v="2"/>
    <x v="5"/>
    <s v="Jake Elliott"/>
    <n v="7"/>
    <n v="2024"/>
  </r>
  <r>
    <x v="5"/>
    <s v="Burnett/Jasjaap"/>
    <n v="2"/>
    <x v="4"/>
    <s v="Pittsburgh"/>
    <n v="14"/>
    <n v="2024"/>
  </r>
  <r>
    <x v="0"/>
    <s v="Brenton"/>
    <n v="3"/>
    <x v="0"/>
    <s v="Derek Carr"/>
    <n v="7.98"/>
    <n v="2024"/>
  </r>
  <r>
    <x v="0"/>
    <s v="Brenton"/>
    <n v="3"/>
    <x v="1"/>
    <s v="Tyreek Hill"/>
    <n v="5.5"/>
    <n v="2024"/>
  </r>
  <r>
    <x v="0"/>
    <s v="Brenton"/>
    <n v="3"/>
    <x v="1"/>
    <s v="Zay Flowers"/>
    <n v="3.8"/>
    <n v="2024"/>
  </r>
  <r>
    <x v="0"/>
    <s v="Brenton"/>
    <n v="3"/>
    <x v="1"/>
    <s v="Jayden Reed"/>
    <n v="8.9"/>
    <n v="2024"/>
  </r>
  <r>
    <x v="0"/>
    <s v="Brenton"/>
    <n v="3"/>
    <x v="2"/>
    <s v="Cam Akers"/>
    <n v="9.4"/>
    <n v="2024"/>
  </r>
  <r>
    <x v="0"/>
    <s v="Brenton"/>
    <n v="3"/>
    <x v="2"/>
    <s v="Jerome Ford"/>
    <n v="8.5"/>
    <n v="2024"/>
  </r>
  <r>
    <x v="0"/>
    <s v="Brenton"/>
    <n v="3"/>
    <x v="3"/>
    <s v="Trey McBride"/>
    <n v="4"/>
    <n v="2024"/>
  </r>
  <r>
    <x v="0"/>
    <s v="Brenton"/>
    <n v="3"/>
    <x v="5"/>
    <s v="Tyler Bass"/>
    <n v="11"/>
    <n v="2024"/>
  </r>
  <r>
    <x v="0"/>
    <s v="Brenton"/>
    <n v="3"/>
    <x v="4"/>
    <s v="Tampa Bay"/>
    <n v="1"/>
    <n v="2024"/>
  </r>
  <r>
    <x v="3"/>
    <s v="Kevin"/>
    <n v="3"/>
    <x v="0"/>
    <s v="CJ Stroud"/>
    <n v="9.8000000000000007"/>
    <n v="2024"/>
  </r>
  <r>
    <x v="3"/>
    <s v="Kevin"/>
    <n v="3"/>
    <x v="1"/>
    <s v="Chris Olave"/>
    <n v="17.600000000000001"/>
    <n v="2024"/>
  </r>
  <r>
    <x v="3"/>
    <s v="Kevin"/>
    <n v="3"/>
    <x v="1"/>
    <s v="Marvin Harrison Jr"/>
    <n v="14.9"/>
    <n v="2024"/>
  </r>
  <r>
    <x v="3"/>
    <s v="Kevin"/>
    <n v="3"/>
    <x v="1"/>
    <s v="George Pickens"/>
    <n v="8.1999999999999993"/>
    <n v="2024"/>
  </r>
  <r>
    <x v="3"/>
    <s v="Kevin"/>
    <n v="3"/>
    <x v="2"/>
    <s v="Najee Harris"/>
    <n v="11.1"/>
    <n v="2024"/>
  </r>
  <r>
    <x v="3"/>
    <s v="Kevin"/>
    <n v="3"/>
    <x v="2"/>
    <s v="Joe Mixon"/>
    <n v="0"/>
    <n v="2024"/>
  </r>
  <r>
    <x v="3"/>
    <s v="Kevin"/>
    <n v="3"/>
    <x v="3"/>
    <s v="Hunter Henry"/>
    <n v="1.9"/>
    <n v="2024"/>
  </r>
  <r>
    <x v="3"/>
    <s v="Kevin"/>
    <n v="3"/>
    <x v="5"/>
    <s v="Justin Tucker"/>
    <n v="3"/>
    <n v="2024"/>
  </r>
  <r>
    <x v="3"/>
    <s v="Kevin"/>
    <n v="3"/>
    <x v="4"/>
    <s v="Cleveland"/>
    <n v="5"/>
    <n v="2024"/>
  </r>
  <r>
    <x v="2"/>
    <s v="Mike"/>
    <n v="3"/>
    <x v="0"/>
    <s v="Patrick Mahomes"/>
    <n v="16.38"/>
    <n v="2024"/>
  </r>
  <r>
    <x v="2"/>
    <s v="Mike"/>
    <n v="3"/>
    <x v="1"/>
    <s v="Tank Dell"/>
    <n v="8.6999999999999993"/>
    <n v="2024"/>
  </r>
  <r>
    <x v="2"/>
    <s v="Mike"/>
    <n v="3"/>
    <x v="1"/>
    <s v="Davante Adams"/>
    <n v="6"/>
    <n v="2024"/>
  </r>
  <r>
    <x v="2"/>
    <s v="Mike"/>
    <n v="3"/>
    <x v="1"/>
    <s v="Khalil Shakir"/>
    <n v="16.2"/>
    <n v="2024"/>
  </r>
  <r>
    <x v="2"/>
    <s v="Mike"/>
    <n v="3"/>
    <x v="2"/>
    <s v="Derrick Henry"/>
    <n v="29.9"/>
    <n v="2024"/>
  </r>
  <r>
    <x v="2"/>
    <s v="Mike"/>
    <n v="3"/>
    <x v="2"/>
    <s v="Carson Steele"/>
    <n v="7.9"/>
    <n v="2024"/>
  </r>
  <r>
    <x v="2"/>
    <s v="Mike"/>
    <n v="3"/>
    <x v="3"/>
    <s v="Sam LaPorta"/>
    <n v="4.5999999999999996"/>
    <n v="2024"/>
  </r>
  <r>
    <x v="2"/>
    <s v="Mike"/>
    <n v="3"/>
    <x v="5"/>
    <s v="Younghoe Koo"/>
    <n v="7"/>
    <n v="2024"/>
  </r>
  <r>
    <x v="2"/>
    <s v="Mike"/>
    <n v="3"/>
    <x v="4"/>
    <s v="Buffalo"/>
    <n v="14"/>
    <n v="2024"/>
  </r>
  <r>
    <x v="7"/>
    <s v="Jay"/>
    <n v="3"/>
    <x v="0"/>
    <s v="Lamar Jackson"/>
    <n v="25.98"/>
    <n v="2024"/>
  </r>
  <r>
    <x v="7"/>
    <s v="Jay"/>
    <n v="3"/>
    <x v="1"/>
    <s v="Amari Cooper"/>
    <n v="24.1"/>
    <n v="2024"/>
  </r>
  <r>
    <x v="7"/>
    <s v="Jay"/>
    <n v="3"/>
    <x v="1"/>
    <s v="Stefon Diggs"/>
    <n v="14.92"/>
    <n v="2024"/>
  </r>
  <r>
    <x v="7"/>
    <s v="Jay"/>
    <n v="3"/>
    <x v="1"/>
    <s v="Tee Higgins"/>
    <n v="5.4"/>
    <n v="2024"/>
  </r>
  <r>
    <x v="7"/>
    <s v="Jay"/>
    <n v="3"/>
    <x v="2"/>
    <s v="Jonathan Taylor"/>
    <n v="26"/>
    <n v="2024"/>
  </r>
  <r>
    <x v="7"/>
    <s v="Jay"/>
    <n v="3"/>
    <x v="2"/>
    <s v="Alvin Kamara"/>
    <n v="14.2"/>
    <n v="2024"/>
  </r>
  <r>
    <x v="7"/>
    <s v="Jay"/>
    <n v="3"/>
    <x v="3"/>
    <s v="Mark Andrews"/>
    <n v="0"/>
    <n v="2024"/>
  </r>
  <r>
    <x v="7"/>
    <s v="Jay"/>
    <n v="3"/>
    <x v="5"/>
    <s v="Ka'imi Fairbairn"/>
    <n v="1"/>
    <n v="2024"/>
  </r>
  <r>
    <x v="7"/>
    <s v="Jay"/>
    <n v="3"/>
    <x v="4"/>
    <s v="Cincinnati"/>
    <n v="-3"/>
    <n v="2024"/>
  </r>
  <r>
    <x v="1"/>
    <s v="Todd"/>
    <n v="3"/>
    <x v="0"/>
    <s v="Dak Prescott"/>
    <n v="29.86"/>
    <n v="2024"/>
  </r>
  <r>
    <x v="1"/>
    <s v="Todd"/>
    <n v="3"/>
    <x v="1"/>
    <s v="Rashee Rice"/>
    <n v="23.1"/>
    <n v="2024"/>
  </r>
  <r>
    <x v="1"/>
    <s v="Todd"/>
    <n v="3"/>
    <x v="1"/>
    <s v="Brian Thomas Jr"/>
    <n v="7.3"/>
    <n v="2024"/>
  </r>
  <r>
    <x v="1"/>
    <s v="Todd"/>
    <n v="3"/>
    <x v="1"/>
    <s v="Calvin Ridley"/>
    <n v="1.4"/>
    <n v="2024"/>
  </r>
  <r>
    <x v="1"/>
    <s v="Todd"/>
    <n v="3"/>
    <x v="2"/>
    <s v="De'Von Achane"/>
    <n v="7.3"/>
    <n v="2024"/>
  </r>
  <r>
    <x v="1"/>
    <s v="Todd"/>
    <n v="3"/>
    <x v="2"/>
    <s v="D'Andre Swift"/>
    <n v="5.2"/>
    <n v="2024"/>
  </r>
  <r>
    <x v="1"/>
    <s v="Todd"/>
    <n v="3"/>
    <x v="3"/>
    <s v="Kyle Pitts"/>
    <n v="6.9"/>
    <n v="2024"/>
  </r>
  <r>
    <x v="1"/>
    <s v="Todd"/>
    <n v="3"/>
    <x v="5"/>
    <s v="Chris Boswell"/>
    <n v="8"/>
    <n v="2024"/>
  </r>
  <r>
    <x v="1"/>
    <s v="Todd"/>
    <n v="3"/>
    <x v="4"/>
    <s v="Las Vegas"/>
    <n v="-6"/>
    <n v="2024"/>
  </r>
  <r>
    <x v="4"/>
    <s v="Eli"/>
    <n v="3"/>
    <x v="0"/>
    <s v="Jalen Hurts"/>
    <n v="10.94"/>
    <n v="2024"/>
  </r>
  <r>
    <x v="4"/>
    <s v="Eli"/>
    <n v="3"/>
    <x v="1"/>
    <s v="Justin Jefferson"/>
    <n v="17.100000000000001"/>
    <n v="2024"/>
  </r>
  <r>
    <x v="4"/>
    <s v="Eli"/>
    <n v="3"/>
    <x v="1"/>
    <s v="Rome Odunze"/>
    <n v="20.399999999999999"/>
    <n v="2024"/>
  </r>
  <r>
    <x v="4"/>
    <s v="Eli"/>
    <n v="3"/>
    <x v="1"/>
    <s v="DJ Moore"/>
    <n v="11.2"/>
    <n v="2024"/>
  </r>
  <r>
    <x v="4"/>
    <s v="Eli"/>
    <n v="3"/>
    <x v="2"/>
    <s v="Bijan Robinson"/>
    <n v="12.2"/>
    <n v="2024"/>
  </r>
  <r>
    <x v="4"/>
    <s v="Eli"/>
    <n v="3"/>
    <x v="2"/>
    <s v="Jordan Mason"/>
    <n v="9.8000000000000007"/>
    <n v="2024"/>
  </r>
  <r>
    <x v="4"/>
    <s v="Eli"/>
    <n v="3"/>
    <x v="3"/>
    <s v="Dalton Schultz"/>
    <n v="2.1"/>
    <n v="2024"/>
  </r>
  <r>
    <x v="4"/>
    <s v="Eli"/>
    <n v="3"/>
    <x v="5"/>
    <s v="Jake Moody"/>
    <n v="6"/>
    <n v="2024"/>
  </r>
  <r>
    <x v="4"/>
    <s v="Eli"/>
    <n v="3"/>
    <x v="4"/>
    <s v="NYJ"/>
    <n v="19"/>
    <n v="2024"/>
  </r>
  <r>
    <x v="6"/>
    <s v="Will"/>
    <n v="3"/>
    <x v="0"/>
    <s v="Geno Smith"/>
    <n v="11.36"/>
    <n v="2024"/>
  </r>
  <r>
    <x v="6"/>
    <s v="Will"/>
    <n v="3"/>
    <x v="1"/>
    <s v="Amon-Ra St. Brown"/>
    <n v="17"/>
    <n v="2024"/>
  </r>
  <r>
    <x v="6"/>
    <s v="Will"/>
    <n v="3"/>
    <x v="1"/>
    <s v="Drake London"/>
    <n v="15.7"/>
    <n v="2024"/>
  </r>
  <r>
    <x v="6"/>
    <s v="Will"/>
    <n v="3"/>
    <x v="1"/>
    <s v="Ladd McConkey"/>
    <n v="5.9"/>
    <n v="2024"/>
  </r>
  <r>
    <x v="6"/>
    <s v="Will"/>
    <n v="3"/>
    <x v="2"/>
    <s v="Zach Charbonnet"/>
    <n v="24.2"/>
    <n v="2024"/>
  </r>
  <r>
    <x v="6"/>
    <s v="Will"/>
    <n v="3"/>
    <x v="2"/>
    <s v="Travis Etienne"/>
    <n v="10.5"/>
    <n v="2024"/>
  </r>
  <r>
    <x v="6"/>
    <s v="Will"/>
    <n v="3"/>
    <x v="3"/>
    <s v="Travis Kelce"/>
    <n v="5"/>
    <n v="2024"/>
  </r>
  <r>
    <x v="6"/>
    <s v="Will"/>
    <n v="3"/>
    <x v="5"/>
    <s v="Jason Myers"/>
    <n v="8"/>
    <n v="2024"/>
  </r>
  <r>
    <x v="6"/>
    <s v="Will"/>
    <n v="3"/>
    <x v="4"/>
    <s v="Houston"/>
    <n v="4"/>
    <n v="2024"/>
  </r>
  <r>
    <x v="11"/>
    <s v="Cam"/>
    <n v="3"/>
    <x v="0"/>
    <s v="Joe Burrow"/>
    <n v="25.36"/>
    <n v="2024"/>
  </r>
  <r>
    <x v="11"/>
    <s v="Cam"/>
    <n v="3"/>
    <x v="1"/>
    <s v="Ja'Marr Chase"/>
    <n v="26.8"/>
    <n v="2024"/>
  </r>
  <r>
    <x v="11"/>
    <s v="Cam"/>
    <n v="3"/>
    <x v="1"/>
    <s v="Nico Collins"/>
    <n v="10.6"/>
    <n v="2024"/>
  </r>
  <r>
    <x v="11"/>
    <s v="Cam"/>
    <n v="3"/>
    <x v="1"/>
    <s v="Brandon Aiyuk"/>
    <n v="7.3"/>
    <n v="2024"/>
  </r>
  <r>
    <x v="11"/>
    <s v="Cam"/>
    <n v="3"/>
    <x v="2"/>
    <s v="Aaron Jones"/>
    <n v="23.3"/>
    <n v="2024"/>
  </r>
  <r>
    <x v="11"/>
    <s v="Cam"/>
    <n v="3"/>
    <x v="2"/>
    <s v="JK Dobbins"/>
    <n v="6.9"/>
    <n v="2024"/>
  </r>
  <r>
    <x v="11"/>
    <s v="Cam"/>
    <n v="3"/>
    <x v="3"/>
    <s v="Pat Freiermuth"/>
    <n v="5.3"/>
    <n v="2024"/>
  </r>
  <r>
    <x v="11"/>
    <s v="Cam"/>
    <n v="3"/>
    <x v="5"/>
    <s v="Evan McPherson"/>
    <n v="8"/>
    <n v="2024"/>
  </r>
  <r>
    <x v="11"/>
    <s v="Cam"/>
    <n v="3"/>
    <x v="4"/>
    <s v="Chicago"/>
    <n v="4"/>
    <n v="2024"/>
  </r>
  <r>
    <x v="8"/>
    <s v="Schulwolf"/>
    <n v="3"/>
    <x v="0"/>
    <s v="Jayden Daniels"/>
    <n v="28.06"/>
    <n v="2024"/>
  </r>
  <r>
    <x v="8"/>
    <s v="Schulwolf"/>
    <n v="3"/>
    <x v="1"/>
    <s v="Chris Godwin"/>
    <n v="14.3"/>
    <n v="2024"/>
  </r>
  <r>
    <x v="8"/>
    <s v="Schulwolf"/>
    <n v="3"/>
    <x v="1"/>
    <s v="DeVonta Smith"/>
    <n v="11.4"/>
    <n v="2024"/>
  </r>
  <r>
    <x v="8"/>
    <s v="Schulwolf"/>
    <n v="3"/>
    <x v="1"/>
    <s v="Jerry Jeudy"/>
    <n v="6.7"/>
    <n v="2024"/>
  </r>
  <r>
    <x v="8"/>
    <s v="Schulwolf"/>
    <n v="3"/>
    <x v="2"/>
    <s v="Zack Moss"/>
    <n v="18.2"/>
    <n v="2024"/>
  </r>
  <r>
    <x v="8"/>
    <s v="Schulwolf"/>
    <n v="3"/>
    <x v="2"/>
    <s v="James Cook"/>
    <n v="16.7"/>
    <n v="2024"/>
  </r>
  <r>
    <x v="8"/>
    <s v="Schulwolf"/>
    <n v="3"/>
    <x v="3"/>
    <s v="Dalton Kincaid"/>
    <n v="11.6"/>
    <n v="2024"/>
  </r>
  <r>
    <x v="8"/>
    <s v="Schulwolf"/>
    <n v="3"/>
    <x v="5"/>
    <s v="Brandon Aubrey"/>
    <n v="11"/>
    <n v="2024"/>
  </r>
  <r>
    <x v="8"/>
    <s v="Schulwolf"/>
    <n v="3"/>
    <x v="4"/>
    <s v="Dallas"/>
    <n v="-5"/>
    <n v="2024"/>
  </r>
  <r>
    <x v="10"/>
    <s v="Brand"/>
    <n v="3"/>
    <x v="0"/>
    <s v="Anthony Richardson"/>
    <n v="5.08"/>
    <n v="2024"/>
  </r>
  <r>
    <x v="10"/>
    <s v="Brand"/>
    <n v="3"/>
    <x v="1"/>
    <s v="Garrett Wilson"/>
    <n v="11.8"/>
    <n v="2024"/>
  </r>
  <r>
    <x v="10"/>
    <s v="Brand"/>
    <n v="3"/>
    <x v="1"/>
    <s v="Michael Pittman"/>
    <n v="5.6"/>
    <n v="2024"/>
  </r>
  <r>
    <x v="10"/>
    <s v="Brand"/>
    <n v="3"/>
    <x v="1"/>
    <s v="Brandin Cooks"/>
    <n v="2.6"/>
    <n v="2024"/>
  </r>
  <r>
    <x v="10"/>
    <s v="Brand"/>
    <n v="3"/>
    <x v="2"/>
    <s v="Breece Hall"/>
    <n v="16.3"/>
    <n v="2024"/>
  </r>
  <r>
    <x v="10"/>
    <s v="Brand"/>
    <n v="3"/>
    <x v="2"/>
    <s v="Bucky Irving"/>
    <n v="9.9"/>
    <n v="2024"/>
  </r>
  <r>
    <x v="10"/>
    <s v="Brand"/>
    <n v="3"/>
    <x v="3"/>
    <s v="Dallas Goedert"/>
    <n v="22"/>
    <n v="2024"/>
  </r>
  <r>
    <x v="10"/>
    <s v="Brand"/>
    <n v="3"/>
    <x v="5"/>
    <s v="Cairo Santos"/>
    <n v="6"/>
    <n v="2024"/>
  </r>
  <r>
    <x v="10"/>
    <s v="Brand"/>
    <n v="3"/>
    <x v="4"/>
    <s v="Indianapolis"/>
    <n v="10"/>
    <n v="2024"/>
  </r>
  <r>
    <x v="9"/>
    <s v="Tommy"/>
    <n v="3"/>
    <x v="0"/>
    <s v="Josh Allen"/>
    <n v="30.92"/>
    <n v="2024"/>
  </r>
  <r>
    <x v="9"/>
    <s v="Tommy"/>
    <n v="3"/>
    <x v="1"/>
    <s v="Malik Nabers"/>
    <n v="24.2"/>
    <n v="2024"/>
  </r>
  <r>
    <x v="9"/>
    <s v="Tommy"/>
    <n v="3"/>
    <x v="1"/>
    <s v="DK Metcalf"/>
    <n v="18.399999999999999"/>
    <n v="2024"/>
  </r>
  <r>
    <x v="9"/>
    <s v="Tommy"/>
    <n v="3"/>
    <x v="1"/>
    <s v="Xavier Worthy"/>
    <n v="4"/>
    <n v="2024"/>
  </r>
  <r>
    <x v="9"/>
    <s v="Tommy"/>
    <n v="3"/>
    <x v="2"/>
    <s v="Saquon Barkley"/>
    <n v="31.6"/>
    <n v="2024"/>
  </r>
  <r>
    <x v="9"/>
    <s v="Tommy"/>
    <n v="3"/>
    <x v="2"/>
    <s v="Kyren Williams"/>
    <n v="30.6"/>
    <n v="2024"/>
  </r>
  <r>
    <x v="9"/>
    <s v="Tommy"/>
    <n v="3"/>
    <x v="3"/>
    <s v="Mike Gesicki"/>
    <n v="6.7"/>
    <n v="2024"/>
  </r>
  <r>
    <x v="9"/>
    <s v="Tommy"/>
    <n v="3"/>
    <x v="5"/>
    <s v="Harrison Butker"/>
    <n v="12"/>
    <n v="2024"/>
  </r>
  <r>
    <x v="9"/>
    <s v="Tommy"/>
    <n v="3"/>
    <x v="4"/>
    <s v="San Francisco"/>
    <n v="4"/>
    <n v="2024"/>
  </r>
  <r>
    <x v="5"/>
    <s v="Burnett/Jasjaap"/>
    <n v="3"/>
    <x v="0"/>
    <s v="Brock Purdy"/>
    <n v="25.78"/>
    <n v="2024"/>
  </r>
  <r>
    <x v="5"/>
    <s v="Burnett/Jasjaap"/>
    <n v="3"/>
    <x v="1"/>
    <s v="CeeDee Lamb"/>
    <n v="6.7"/>
    <n v="2024"/>
  </r>
  <r>
    <x v="5"/>
    <s v="Burnett/Jasjaap"/>
    <n v="3"/>
    <x v="1"/>
    <s v="Jaylen Waddle"/>
    <n v="4.5999999999999996"/>
    <n v="2024"/>
  </r>
  <r>
    <x v="5"/>
    <s v="Burnett/Jasjaap"/>
    <n v="3"/>
    <x v="1"/>
    <s v="Rashid Shaheed"/>
    <n v="0"/>
    <n v="2024"/>
  </r>
  <r>
    <x v="5"/>
    <s v="Burnett/Jasjaap"/>
    <n v="3"/>
    <x v="2"/>
    <s v="David Montgomery"/>
    <n v="19.7"/>
    <n v="2024"/>
  </r>
  <r>
    <x v="5"/>
    <s v="Burnett/Jasjaap"/>
    <n v="3"/>
    <x v="2"/>
    <s v="Josh Jacobs"/>
    <n v="5.3"/>
    <n v="2024"/>
  </r>
  <r>
    <x v="5"/>
    <s v="Burnett/Jasjaap"/>
    <n v="3"/>
    <x v="3"/>
    <s v="Brock Bowers"/>
    <n v="5.6"/>
    <n v="2024"/>
  </r>
  <r>
    <x v="5"/>
    <s v="Burnett/Jasjaap"/>
    <n v="3"/>
    <x v="5"/>
    <s v="Jake Elliott"/>
    <n v="1"/>
    <n v="2024"/>
  </r>
  <r>
    <x v="5"/>
    <s v="Burnett/Jasjaap"/>
    <n v="3"/>
    <x v="4"/>
    <s v="Pittsburgh"/>
    <n v="12"/>
    <n v="2024"/>
  </r>
  <r>
    <x v="0"/>
    <s v="Brenton"/>
    <n v="4"/>
    <x v="0"/>
    <s v="Baker Mayfield"/>
    <n v="28.88"/>
    <n v="2024"/>
  </r>
  <r>
    <x v="0"/>
    <s v="Brenton"/>
    <n v="4"/>
    <x v="1"/>
    <s v="Jayden Reed"/>
    <n v="23.6"/>
    <n v="2024"/>
  </r>
  <r>
    <x v="0"/>
    <s v="Brenton"/>
    <n v="4"/>
    <x v="1"/>
    <s v="Courtland Sutton"/>
    <n v="13.5"/>
    <n v="2024"/>
  </r>
  <r>
    <x v="0"/>
    <s v="Brenton"/>
    <n v="4"/>
    <x v="1"/>
    <s v="Tyreek Hill"/>
    <n v="6.2"/>
    <n v="2024"/>
  </r>
  <r>
    <x v="0"/>
    <s v="Brenton"/>
    <n v="4"/>
    <x v="2"/>
    <s v="Jerome Ford"/>
    <n v="12"/>
    <n v="2024"/>
  </r>
  <r>
    <x v="0"/>
    <s v="Brenton"/>
    <n v="4"/>
    <x v="2"/>
    <s v="Cam Akers"/>
    <n v="5.3"/>
    <n v="2024"/>
  </r>
  <r>
    <x v="0"/>
    <s v="Brenton"/>
    <n v="4"/>
    <x v="3"/>
    <s v="Colby Parkinson"/>
    <n v="5.3"/>
    <n v="2024"/>
  </r>
  <r>
    <x v="0"/>
    <s v="Brenton"/>
    <n v="4"/>
    <x v="5"/>
    <s v="Tyler Bass"/>
    <n v="5"/>
    <n v="2024"/>
  </r>
  <r>
    <x v="0"/>
    <s v="Brenton"/>
    <n v="4"/>
    <x v="4"/>
    <s v="Kansas City"/>
    <n v="7"/>
    <n v="2024"/>
  </r>
  <r>
    <x v="0"/>
    <s v="Brenton"/>
    <n v="4"/>
    <x v="6"/>
    <s v="Zay Flowers"/>
    <n v="1.5"/>
    <n v="2024"/>
  </r>
  <r>
    <x v="7"/>
    <s v="Jay"/>
    <n v="4"/>
    <x v="0"/>
    <s v="Lamar Jackson"/>
    <n v="23.64"/>
    <n v="2024"/>
  </r>
  <r>
    <x v="7"/>
    <s v="Jay"/>
    <n v="4"/>
    <x v="1"/>
    <s v="Amari Cooper"/>
    <n v="5.5"/>
    <n v="2024"/>
  </r>
  <r>
    <x v="7"/>
    <s v="Jay"/>
    <n v="4"/>
    <x v="1"/>
    <s v="Stefon Diggs"/>
    <n v="16"/>
    <n v="2024"/>
  </r>
  <r>
    <x v="7"/>
    <s v="Jay"/>
    <n v="4"/>
    <x v="1"/>
    <s v="Jauan Jennings"/>
    <n v="10.3"/>
    <n v="2024"/>
  </r>
  <r>
    <x v="7"/>
    <s v="Jay"/>
    <n v="4"/>
    <x v="2"/>
    <s v="Brian Robinson"/>
    <n v="18.8"/>
    <n v="2024"/>
  </r>
  <r>
    <x v="7"/>
    <s v="Jay"/>
    <n v="4"/>
    <x v="2"/>
    <s v="Alvin Kamara"/>
    <n v="21.4"/>
    <n v="2024"/>
  </r>
  <r>
    <x v="7"/>
    <s v="Jay"/>
    <n v="4"/>
    <x v="3"/>
    <s v="Tyler Conklin"/>
    <n v="3.7"/>
    <n v="2024"/>
  </r>
  <r>
    <x v="7"/>
    <s v="Jay"/>
    <n v="4"/>
    <x v="5"/>
    <s v="Ka'imi Fairbairn"/>
    <n v="6"/>
    <n v="2024"/>
  </r>
  <r>
    <x v="7"/>
    <s v="Jay"/>
    <n v="4"/>
    <x v="4"/>
    <s v="Miami"/>
    <n v="3"/>
    <n v="2024"/>
  </r>
  <r>
    <x v="7"/>
    <s v="Jay"/>
    <n v="4"/>
    <x v="7"/>
    <s v="Jonathan Taylor"/>
    <n v="18.3"/>
    <n v="2024"/>
  </r>
  <r>
    <x v="8"/>
    <s v="Schulwolf"/>
    <n v="4"/>
    <x v="0"/>
    <s v="Jayden Daniels"/>
    <n v="24.02"/>
    <n v="2024"/>
  </r>
  <r>
    <x v="8"/>
    <s v="Schulwolf"/>
    <n v="4"/>
    <x v="1"/>
    <s v="Terry McLaurin"/>
    <n v="14.7"/>
    <n v="2024"/>
  </r>
  <r>
    <x v="8"/>
    <s v="Schulwolf"/>
    <n v="4"/>
    <x v="1"/>
    <s v="Jerry Jeudy"/>
    <n v="10.199999999999999"/>
    <n v="2024"/>
  </r>
  <r>
    <x v="8"/>
    <s v="Schulwolf"/>
    <n v="4"/>
    <x v="1"/>
    <s v="Chris Godwin"/>
    <n v="9.9"/>
    <n v="2024"/>
  </r>
  <r>
    <x v="8"/>
    <s v="Schulwolf"/>
    <n v="4"/>
    <x v="2"/>
    <s v="Jahmyr Gibbs"/>
    <n v="19.8"/>
    <n v="2024"/>
  </r>
  <r>
    <x v="8"/>
    <s v="Schulwolf"/>
    <n v="4"/>
    <x v="2"/>
    <s v="Zack Moss"/>
    <n v="15.8"/>
    <n v="2024"/>
  </r>
  <r>
    <x v="8"/>
    <s v="Schulwolf"/>
    <n v="4"/>
    <x v="3"/>
    <s v="Dalton Kincaid"/>
    <n v="7.2"/>
    <n v="2024"/>
  </r>
  <r>
    <x v="8"/>
    <s v="Schulwolf"/>
    <n v="4"/>
    <x v="5"/>
    <s v="Brandon Aubrey"/>
    <n v="11"/>
    <n v="2024"/>
  </r>
  <r>
    <x v="8"/>
    <s v="Schulwolf"/>
    <n v="4"/>
    <x v="4"/>
    <s v="Dallas"/>
    <n v="3"/>
    <n v="2024"/>
  </r>
  <r>
    <x v="8"/>
    <s v="Schulwolf"/>
    <n v="4"/>
    <x v="7"/>
    <s v="James Cook"/>
    <n v="5.3"/>
    <n v="2024"/>
  </r>
  <r>
    <x v="5"/>
    <s v="Burnett/Jasjaap"/>
    <n v="4"/>
    <x v="0"/>
    <s v="Brock Purdy"/>
    <n v="14.62"/>
    <n v="2024"/>
  </r>
  <r>
    <x v="5"/>
    <s v="Burnett/Jasjaap"/>
    <n v="4"/>
    <x v="1"/>
    <s v="CeeDee Lamb"/>
    <n v="20.100000000000001"/>
    <n v="2024"/>
  </r>
  <r>
    <x v="5"/>
    <s v="Burnett/Jasjaap"/>
    <n v="4"/>
    <x v="1"/>
    <s v="Jaylen Waddle"/>
    <n v="5.6"/>
    <n v="2024"/>
  </r>
  <r>
    <x v="5"/>
    <s v="Burnett/Jasjaap"/>
    <n v="4"/>
    <x v="1"/>
    <s v="Rashid Shaheed"/>
    <n v="11.7"/>
    <n v="2024"/>
  </r>
  <r>
    <x v="5"/>
    <s v="Burnett/Jasjaap"/>
    <n v="4"/>
    <x v="2"/>
    <s v="David Montgomery"/>
    <n v="14.5"/>
    <n v="2024"/>
  </r>
  <r>
    <x v="5"/>
    <s v="Burnett/Jasjaap"/>
    <n v="4"/>
    <x v="2"/>
    <s v="Josh Jacobs"/>
    <n v="9.8000000000000007"/>
    <n v="2024"/>
  </r>
  <r>
    <x v="5"/>
    <s v="Burnett/Jasjaap"/>
    <n v="4"/>
    <x v="3"/>
    <s v="Brock Bowers"/>
    <n v="4.0999999999999996"/>
    <n v="2024"/>
  </r>
  <r>
    <x v="5"/>
    <s v="Burnett/Jasjaap"/>
    <n v="4"/>
    <x v="5"/>
    <s v="Jake Elliott"/>
    <n v="2"/>
    <n v="2024"/>
  </r>
  <r>
    <x v="5"/>
    <s v="Burnett/Jasjaap"/>
    <n v="4"/>
    <x v="4"/>
    <s v="Pittsburgh"/>
    <n v="1"/>
    <n v="2024"/>
  </r>
  <r>
    <x v="5"/>
    <s v="Burnett/Jasjaap"/>
    <n v="4"/>
    <x v="7"/>
    <s v="Gus Edwards"/>
    <n v="1.9"/>
    <n v="2024"/>
  </r>
  <r>
    <x v="2"/>
    <s v="Mike"/>
    <n v="4"/>
    <x v="0"/>
    <s v="Patrick Mahomes"/>
    <n v="13"/>
    <n v="2024"/>
  </r>
  <r>
    <x v="2"/>
    <s v="Mike"/>
    <n v="4"/>
    <x v="1"/>
    <s v="Mike Evans"/>
    <n v="19.399999999999999"/>
    <n v="2024"/>
  </r>
  <r>
    <x v="2"/>
    <s v="Mike"/>
    <n v="4"/>
    <x v="1"/>
    <s v="Khalil Shakir"/>
    <n v="8.1999999999999993"/>
    <n v="2024"/>
  </r>
  <r>
    <x v="2"/>
    <s v="Mike"/>
    <n v="4"/>
    <x v="1"/>
    <s v="Quentin Johnston"/>
    <n v="1.8"/>
    <n v="2024"/>
  </r>
  <r>
    <x v="2"/>
    <s v="Mike"/>
    <n v="4"/>
    <x v="2"/>
    <s v="Derrick Henry"/>
    <n v="34.4"/>
    <n v="2024"/>
  </r>
  <r>
    <x v="2"/>
    <s v="Mike"/>
    <n v="4"/>
    <x v="2"/>
    <s v="Carson Steele"/>
    <n v="-0.9"/>
    <n v="2024"/>
  </r>
  <r>
    <x v="2"/>
    <s v="Mike"/>
    <n v="4"/>
    <x v="3"/>
    <s v="Jake Ferguson"/>
    <n v="8.4"/>
    <n v="2024"/>
  </r>
  <r>
    <x v="2"/>
    <s v="Mike"/>
    <n v="4"/>
    <x v="5"/>
    <s v="Younghoe Koo"/>
    <n v="20"/>
    <n v="2024"/>
  </r>
  <r>
    <x v="2"/>
    <s v="Mike"/>
    <n v="4"/>
    <x v="4"/>
    <s v="Buffalo"/>
    <n v="-5"/>
    <n v="2024"/>
  </r>
  <r>
    <x v="2"/>
    <s v="Mike"/>
    <n v="4"/>
    <x v="8"/>
    <s v="Sam LaPorta"/>
    <n v="7.3"/>
    <n v="2024"/>
  </r>
  <r>
    <x v="4"/>
    <s v="Eli"/>
    <n v="4"/>
    <x v="0"/>
    <s v="Jalen Hurts"/>
    <n v="16.32"/>
    <n v="2024"/>
  </r>
  <r>
    <x v="4"/>
    <s v="Eli"/>
    <n v="4"/>
    <x v="1"/>
    <s v="Justin Jefferson"/>
    <n v="17.5"/>
    <n v="2024"/>
  </r>
  <r>
    <x v="4"/>
    <s v="Eli"/>
    <n v="4"/>
    <x v="1"/>
    <s v="DJ Moore"/>
    <n v="9.6999999999999993"/>
    <n v="2024"/>
  </r>
  <r>
    <x v="4"/>
    <s v="Eli"/>
    <n v="4"/>
    <x v="1"/>
    <s v="Jalen Tolbert"/>
    <n v="3.9"/>
    <n v="2024"/>
  </r>
  <r>
    <x v="4"/>
    <s v="Eli"/>
    <n v="4"/>
    <x v="2"/>
    <s v="Jordan Mason"/>
    <n v="23"/>
    <n v="2024"/>
  </r>
  <r>
    <x v="4"/>
    <s v="Eli"/>
    <n v="4"/>
    <x v="2"/>
    <s v="Bijan Robinson"/>
    <n v="9.4"/>
    <n v="2024"/>
  </r>
  <r>
    <x v="4"/>
    <s v="Eli"/>
    <n v="4"/>
    <x v="3"/>
    <s v="Dalton Schultz"/>
    <n v="4.9000000000000004"/>
    <n v="2024"/>
  </r>
  <r>
    <x v="4"/>
    <s v="Eli"/>
    <n v="4"/>
    <x v="5"/>
    <s v="Jake Moody"/>
    <n v="13"/>
    <n v="2024"/>
  </r>
  <r>
    <x v="4"/>
    <s v="Eli"/>
    <n v="4"/>
    <x v="4"/>
    <s v="NYJ"/>
    <n v="9"/>
    <n v="2024"/>
  </r>
  <r>
    <x v="4"/>
    <s v="Eli"/>
    <n v="4"/>
    <x v="6"/>
    <s v="Rome Odunze"/>
    <n v="1.5"/>
    <n v="2024"/>
  </r>
  <r>
    <x v="1"/>
    <s v="Todd"/>
    <n v="4"/>
    <x v="0"/>
    <s v="Dak Prescott"/>
    <n v="16.739999999999998"/>
    <n v="2024"/>
  </r>
  <r>
    <x v="1"/>
    <s v="Todd"/>
    <n v="4"/>
    <x v="1"/>
    <s v="Brian Thomas Jr"/>
    <n v="18.899999999999999"/>
    <n v="2024"/>
  </r>
  <r>
    <x v="1"/>
    <s v="Todd"/>
    <n v="4"/>
    <x v="1"/>
    <s v="Diontae Johnson"/>
    <n v="17.8"/>
    <n v="2024"/>
  </r>
  <r>
    <x v="1"/>
    <s v="Todd"/>
    <n v="4"/>
    <x v="1"/>
    <s v="Deebo Samuel"/>
    <n v="8.6999999999999993"/>
    <n v="2024"/>
  </r>
  <r>
    <x v="1"/>
    <s v="Todd"/>
    <n v="4"/>
    <x v="2"/>
    <s v="James Conner"/>
    <n v="17.8"/>
    <n v="2024"/>
  </r>
  <r>
    <x v="1"/>
    <s v="Todd"/>
    <n v="4"/>
    <x v="2"/>
    <s v="De'Von Achane"/>
    <n v="4.4000000000000004"/>
    <n v="2024"/>
  </r>
  <r>
    <x v="1"/>
    <s v="Todd"/>
    <n v="4"/>
    <x v="3"/>
    <s v="Kyle Pitts"/>
    <n v="0"/>
    <n v="2024"/>
  </r>
  <r>
    <x v="1"/>
    <s v="Todd"/>
    <n v="4"/>
    <x v="5"/>
    <s v="Chris Boswell"/>
    <n v="8"/>
    <n v="2024"/>
  </r>
  <r>
    <x v="1"/>
    <s v="Todd"/>
    <n v="4"/>
    <x v="4"/>
    <s v="Tennessee"/>
    <n v="13"/>
    <n v="2024"/>
  </r>
  <r>
    <x v="1"/>
    <s v="Todd"/>
    <n v="4"/>
    <x v="6"/>
    <s v="Rashee Rice"/>
    <n v="0"/>
    <n v="2024"/>
  </r>
  <r>
    <x v="11"/>
    <s v="Cam"/>
    <n v="4"/>
    <x v="0"/>
    <s v="Kyler Murray"/>
    <n v="9.98"/>
    <n v="2024"/>
  </r>
  <r>
    <x v="11"/>
    <s v="Cam"/>
    <n v="4"/>
    <x v="1"/>
    <s v="Ja'Marr Chase"/>
    <n v="16"/>
    <n v="2024"/>
  </r>
  <r>
    <x v="11"/>
    <s v="Cam"/>
    <n v="4"/>
    <x v="1"/>
    <s v="Nico Collins"/>
    <n v="27.1"/>
    <n v="2024"/>
  </r>
  <r>
    <x v="11"/>
    <s v="Cam"/>
    <n v="4"/>
    <x v="1"/>
    <s v="Jakobi Meyers"/>
    <n v="7.4"/>
    <n v="2024"/>
  </r>
  <r>
    <x v="11"/>
    <s v="Cam"/>
    <n v="4"/>
    <x v="2"/>
    <s v="Aaron Jones"/>
    <n v="15.9"/>
    <n v="2024"/>
  </r>
  <r>
    <x v="11"/>
    <s v="Cam"/>
    <n v="4"/>
    <x v="2"/>
    <s v="Rhamondre Stevenson"/>
    <n v="6.2"/>
    <n v="2024"/>
  </r>
  <r>
    <x v="11"/>
    <s v="Cam"/>
    <n v="4"/>
    <x v="3"/>
    <s v="George Kittle"/>
    <n v="12.5"/>
    <n v="2024"/>
  </r>
  <r>
    <x v="11"/>
    <s v="Cam"/>
    <n v="4"/>
    <x v="5"/>
    <s v="Evan McPherson"/>
    <n v="13"/>
    <n v="2024"/>
  </r>
  <r>
    <x v="11"/>
    <s v="Cam"/>
    <n v="4"/>
    <x v="4"/>
    <s v="Chicago"/>
    <n v="7"/>
    <n v="2024"/>
  </r>
  <r>
    <x v="11"/>
    <s v="Cam"/>
    <n v="4"/>
    <x v="6"/>
    <s v="Brandon Aiyuk"/>
    <n v="5.8"/>
    <n v="2024"/>
  </r>
  <r>
    <x v="6"/>
    <s v="Will"/>
    <n v="4"/>
    <x v="0"/>
    <s v="Geno Smith"/>
    <n v="21.6"/>
    <n v="2024"/>
  </r>
  <r>
    <x v="6"/>
    <s v="Will"/>
    <n v="4"/>
    <x v="1"/>
    <s v="Amon-Ra St. Brown"/>
    <n v="17.78"/>
    <n v="2024"/>
  </r>
  <r>
    <x v="6"/>
    <s v="Will"/>
    <n v="4"/>
    <x v="1"/>
    <s v="Drake London"/>
    <n v="9.4"/>
    <n v="2024"/>
  </r>
  <r>
    <x v="6"/>
    <s v="Will"/>
    <n v="4"/>
    <x v="1"/>
    <s v="Ladd McConkey"/>
    <n v="15.2"/>
    <n v="2024"/>
  </r>
  <r>
    <x v="6"/>
    <s v="Will"/>
    <n v="4"/>
    <x v="2"/>
    <s v="Travis Etienne"/>
    <n v="6.5"/>
    <n v="2024"/>
  </r>
  <r>
    <x v="6"/>
    <s v="Will"/>
    <n v="4"/>
    <x v="2"/>
    <s v="Zach Charbonnet"/>
    <n v="7.9"/>
    <n v="2024"/>
  </r>
  <r>
    <x v="6"/>
    <s v="Will"/>
    <n v="4"/>
    <x v="3"/>
    <s v="Travis Kelce"/>
    <n v="12.4"/>
    <n v="2024"/>
  </r>
  <r>
    <x v="6"/>
    <s v="Will"/>
    <n v="4"/>
    <x v="5"/>
    <s v="Jason Myers"/>
    <n v="3"/>
    <n v="2024"/>
  </r>
  <r>
    <x v="6"/>
    <s v="Will"/>
    <n v="4"/>
    <x v="4"/>
    <s v="Houston"/>
    <n v="1"/>
    <n v="2024"/>
  </r>
  <r>
    <x v="6"/>
    <s v="Will"/>
    <n v="4"/>
    <x v="6"/>
    <s v="Jaxon Smith-Njigba"/>
    <n v="9.1"/>
    <n v="2024"/>
  </r>
  <r>
    <x v="9"/>
    <s v="Tommy"/>
    <n v="4"/>
    <x v="0"/>
    <s v="Josh Allen"/>
    <n v="7.3"/>
    <n v="2024"/>
  </r>
  <r>
    <x v="9"/>
    <s v="Tommy"/>
    <n v="4"/>
    <x v="1"/>
    <s v="Malik Nabers"/>
    <n v="17.100000000000001"/>
    <n v="2024"/>
  </r>
  <r>
    <x v="9"/>
    <s v="Tommy"/>
    <n v="4"/>
    <x v="1"/>
    <s v="Xavier Worthy"/>
    <n v="14.8"/>
    <n v="2024"/>
  </r>
  <r>
    <x v="9"/>
    <s v="Tommy"/>
    <n v="4"/>
    <x v="1"/>
    <s v="DK Metcalf"/>
    <n v="11.9"/>
    <n v="2024"/>
  </r>
  <r>
    <x v="9"/>
    <s v="Tommy"/>
    <n v="4"/>
    <x v="2"/>
    <s v="Kyren Williams"/>
    <n v="18.399999999999999"/>
    <n v="2024"/>
  </r>
  <r>
    <x v="9"/>
    <s v="Tommy"/>
    <n v="4"/>
    <x v="2"/>
    <s v="Saquon Barkley"/>
    <n v="12.6"/>
    <n v="2024"/>
  </r>
  <r>
    <x v="9"/>
    <s v="Tommy"/>
    <n v="4"/>
    <x v="3"/>
    <s v="Mike Gesicki"/>
    <n v="-0.4"/>
    <n v="2024"/>
  </r>
  <r>
    <x v="9"/>
    <s v="Tommy"/>
    <n v="4"/>
    <x v="5"/>
    <s v="Harrison Butker"/>
    <n v="5"/>
    <n v="2024"/>
  </r>
  <r>
    <x v="9"/>
    <s v="Tommy"/>
    <n v="4"/>
    <x v="4"/>
    <s v="San Francisco"/>
    <n v="23"/>
    <n v="2024"/>
  </r>
  <r>
    <x v="9"/>
    <s v="Tommy"/>
    <n v="4"/>
    <x v="7"/>
    <s v="Rachaad White"/>
    <n v="9.4"/>
    <n v="2024"/>
  </r>
  <r>
    <x v="10"/>
    <s v="Brand"/>
    <n v="4"/>
    <x v="0"/>
    <s v="Anthony Richardson"/>
    <n v="5.24"/>
    <n v="2024"/>
  </r>
  <r>
    <x v="10"/>
    <s v="Brand"/>
    <n v="4"/>
    <x v="1"/>
    <s v="Michael Pittman"/>
    <n v="14.3"/>
    <n v="2024"/>
  </r>
  <r>
    <x v="10"/>
    <s v="Brand"/>
    <n v="4"/>
    <x v="1"/>
    <s v="Garrett Wilson"/>
    <n v="4.5999999999999996"/>
    <n v="2024"/>
  </r>
  <r>
    <x v="10"/>
    <s v="Brand"/>
    <n v="4"/>
    <x v="1"/>
    <s v="Jameson Williams"/>
    <n v="15"/>
    <n v="2024"/>
  </r>
  <r>
    <x v="10"/>
    <s v="Brand"/>
    <n v="4"/>
    <x v="2"/>
    <s v="Kenneth Walker"/>
    <n v="31.6"/>
    <n v="2024"/>
  </r>
  <r>
    <x v="10"/>
    <s v="Brand"/>
    <n v="4"/>
    <x v="2"/>
    <s v="Breece Hall"/>
    <n v="2.8"/>
    <n v="2024"/>
  </r>
  <r>
    <x v="10"/>
    <s v="Brand"/>
    <n v="4"/>
    <x v="3"/>
    <s v="Dallas Goedert"/>
    <n v="9.6999999999999993"/>
    <n v="2024"/>
  </r>
  <r>
    <x v="10"/>
    <s v="Brand"/>
    <n v="4"/>
    <x v="5"/>
    <s v="Cairo Santos"/>
    <n v="7"/>
    <n v="2024"/>
  </r>
  <r>
    <x v="10"/>
    <s v="Brand"/>
    <n v="4"/>
    <x v="4"/>
    <s v="Las Vegas"/>
    <n v="10"/>
    <n v="2024"/>
  </r>
  <r>
    <x v="10"/>
    <s v="Brand"/>
    <n v="4"/>
    <x v="6"/>
    <s v="Keenan Allen"/>
    <n v="3.4"/>
    <n v="2024"/>
  </r>
  <r>
    <x v="3"/>
    <s v="Kevin"/>
    <n v="4"/>
    <x v="0"/>
    <s v="CJ Stroud"/>
    <n v="23.5"/>
    <n v="2024"/>
  </r>
  <r>
    <x v="3"/>
    <s v="Kevin"/>
    <n v="4"/>
    <x v="1"/>
    <s v="Jordan Addison"/>
    <n v="21.4"/>
    <n v="2024"/>
  </r>
  <r>
    <x v="3"/>
    <s v="Kevin"/>
    <n v="4"/>
    <x v="1"/>
    <s v="Marvin Harrison Jr"/>
    <n v="13"/>
    <n v="2024"/>
  </r>
  <r>
    <x v="3"/>
    <s v="Kevin"/>
    <n v="4"/>
    <x v="1"/>
    <s v="George Pickens"/>
    <n v="12.8"/>
    <n v="2024"/>
  </r>
  <r>
    <x v="3"/>
    <s v="Kevin"/>
    <n v="4"/>
    <x v="2"/>
    <s v="Chuba Hubbard"/>
    <n v="20.100000000000001"/>
    <n v="2024"/>
  </r>
  <r>
    <x v="3"/>
    <s v="Kevin"/>
    <n v="4"/>
    <x v="2"/>
    <s v="Najee Harris"/>
    <n v="8.8000000000000007"/>
    <n v="2024"/>
  </r>
  <r>
    <x v="3"/>
    <s v="Kevin"/>
    <n v="4"/>
    <x v="3"/>
    <s v="Hunter Henry"/>
    <n v="2.2000000000000002"/>
    <n v="2024"/>
  </r>
  <r>
    <x v="3"/>
    <s v="Kevin"/>
    <n v="4"/>
    <x v="5"/>
    <s v="Justin Tucker"/>
    <n v="5"/>
    <n v="2024"/>
  </r>
  <r>
    <x v="3"/>
    <s v="Kevin"/>
    <n v="4"/>
    <x v="4"/>
    <s v="Cleveland"/>
    <n v="12"/>
    <n v="2024"/>
  </r>
  <r>
    <x v="3"/>
    <s v="Kevin"/>
    <n v="4"/>
    <x v="6"/>
    <s v="Chris Olave"/>
    <n v="12.7"/>
    <n v="2024"/>
  </r>
  <r>
    <x v="0"/>
    <s v="Brenton"/>
    <n v="5"/>
    <x v="0"/>
    <s v="Baker Mayfield"/>
    <n v="23.4"/>
    <n v="2024"/>
  </r>
  <r>
    <x v="0"/>
    <s v="Brenton"/>
    <n v="5"/>
    <x v="1"/>
    <s v="Jayden Reed"/>
    <n v="11.7"/>
    <n v="2024"/>
  </r>
  <r>
    <x v="0"/>
    <s v="Brenton"/>
    <n v="5"/>
    <x v="1"/>
    <s v="Tyreek Hill"/>
    <n v="9.9"/>
    <n v="2024"/>
  </r>
  <r>
    <x v="0"/>
    <s v="Brenton"/>
    <n v="5"/>
    <x v="1"/>
    <s v="Courtland Sutton"/>
    <n v="4.2"/>
    <n v="2024"/>
  </r>
  <r>
    <x v="0"/>
    <s v="Brenton"/>
    <n v="5"/>
    <x v="2"/>
    <s v="Javonte Williams"/>
    <n v="13.6"/>
    <n v="2024"/>
  </r>
  <r>
    <x v="0"/>
    <s v="Brenton"/>
    <n v="5"/>
    <x v="2"/>
    <s v="Jerome Ford"/>
    <n v="6.4"/>
    <n v="2024"/>
  </r>
  <r>
    <x v="0"/>
    <s v="Brenton"/>
    <n v="5"/>
    <x v="3"/>
    <s v="Trey McBride"/>
    <n v="8.3000000000000007"/>
    <n v="2024"/>
  </r>
  <r>
    <x v="0"/>
    <s v="Brenton"/>
    <n v="5"/>
    <x v="5"/>
    <s v="Tyler Bass"/>
    <n v="8"/>
    <n v="2024"/>
  </r>
  <r>
    <x v="0"/>
    <s v="Brenton"/>
    <n v="5"/>
    <x v="4"/>
    <s v="New England"/>
    <n v="9"/>
    <n v="2024"/>
  </r>
  <r>
    <x v="0"/>
    <s v="Brenton"/>
    <n v="5"/>
    <x v="6"/>
    <s v="Dontayvion Wicks"/>
    <n v="3"/>
    <n v="2024"/>
  </r>
  <r>
    <x v="4"/>
    <s v="Eli"/>
    <n v="5"/>
    <x v="0"/>
    <s v="Deshaun Watson"/>
    <n v="8.4"/>
    <n v="2024"/>
  </r>
  <r>
    <x v="4"/>
    <s v="Eli"/>
    <n v="5"/>
    <x v="1"/>
    <s v="DJ Moore"/>
    <n v="25"/>
    <n v="2024"/>
  </r>
  <r>
    <x v="4"/>
    <s v="Eli"/>
    <n v="5"/>
    <x v="1"/>
    <s v="Justin Jefferson"/>
    <n v="12.2"/>
    <n v="2024"/>
  </r>
  <r>
    <x v="4"/>
    <s v="Eli"/>
    <n v="5"/>
    <x v="1"/>
    <s v="Rome Odunze"/>
    <n v="6.5"/>
    <n v="2024"/>
  </r>
  <r>
    <x v="4"/>
    <s v="Eli"/>
    <n v="5"/>
    <x v="2"/>
    <s v="Bijan Robinson"/>
    <n v="9.1999999999999993"/>
    <n v="2024"/>
  </r>
  <r>
    <x v="4"/>
    <s v="Eli"/>
    <n v="5"/>
    <x v="2"/>
    <s v="Jordan Mason"/>
    <n v="8.3000000000000007"/>
    <n v="2024"/>
  </r>
  <r>
    <x v="4"/>
    <s v="Eli"/>
    <n v="5"/>
    <x v="3"/>
    <s v="David Njoku"/>
    <n v="1.9"/>
    <n v="2024"/>
  </r>
  <r>
    <x v="4"/>
    <s v="Eli"/>
    <n v="5"/>
    <x v="5"/>
    <s v="Jake Moody"/>
    <n v="8"/>
    <n v="2024"/>
  </r>
  <r>
    <x v="4"/>
    <s v="Eli"/>
    <n v="5"/>
    <x v="4"/>
    <s v="NYJ"/>
    <n v="10"/>
    <n v="2024"/>
  </r>
  <r>
    <x v="4"/>
    <s v="Eli"/>
    <n v="5"/>
    <x v="6"/>
    <s v="Xavier Legette"/>
    <n v="1.3"/>
    <n v="2024"/>
  </r>
  <r>
    <x v="2"/>
    <s v="Mike"/>
    <n v="5"/>
    <x v="0"/>
    <s v="Justin Fields"/>
    <n v="15.94"/>
    <n v="2024"/>
  </r>
  <r>
    <x v="2"/>
    <s v="Mike"/>
    <n v="5"/>
    <x v="1"/>
    <s v="Mike Evans"/>
    <n v="20.7"/>
    <n v="2024"/>
  </r>
  <r>
    <x v="2"/>
    <s v="Mike"/>
    <n v="5"/>
    <x v="1"/>
    <s v="Tutu Atwell"/>
    <n v="9.5"/>
    <n v="2024"/>
  </r>
  <r>
    <x v="2"/>
    <s v="Mike"/>
    <n v="5"/>
    <x v="1"/>
    <s v="Tank Dell"/>
    <n v="5.3"/>
    <n v="2024"/>
  </r>
  <r>
    <x v="2"/>
    <s v="Mike"/>
    <n v="5"/>
    <x v="2"/>
    <s v="Derrick Henry"/>
    <n v="16.100000000000001"/>
    <n v="2024"/>
  </r>
  <r>
    <x v="2"/>
    <s v="Mike"/>
    <n v="5"/>
    <x v="2"/>
    <s v="Kareem Hunt"/>
    <n v="18.2"/>
    <n v="2024"/>
  </r>
  <r>
    <x v="2"/>
    <s v="Mike"/>
    <n v="5"/>
    <x v="3"/>
    <s v="Jake Ferguson"/>
    <n v="10"/>
    <n v="2024"/>
  </r>
  <r>
    <x v="2"/>
    <s v="Mike"/>
    <n v="5"/>
    <x v="5"/>
    <s v="Younghoe Koo"/>
    <n v="16"/>
    <n v="2024"/>
  </r>
  <r>
    <x v="2"/>
    <s v="Mike"/>
    <n v="5"/>
    <x v="4"/>
    <s v="Buffalo"/>
    <n v="1"/>
    <n v="2024"/>
  </r>
  <r>
    <x v="2"/>
    <s v="Mike"/>
    <n v="5"/>
    <x v="7"/>
    <s v="Chase Brown"/>
    <n v="14.9"/>
    <n v="2024"/>
  </r>
  <r>
    <x v="11"/>
    <s v="Cam"/>
    <n v="5"/>
    <x v="0"/>
    <s v="Joe Burrow"/>
    <n v="33.78"/>
    <n v="2024"/>
  </r>
  <r>
    <x v="11"/>
    <s v="Cam"/>
    <n v="5"/>
    <x v="1"/>
    <s v="Ja'Marr Chase"/>
    <n v="36.299999999999997"/>
    <n v="2024"/>
  </r>
  <r>
    <x v="11"/>
    <s v="Cam"/>
    <n v="5"/>
    <x v="1"/>
    <s v="Brandon Aiyuk"/>
    <n v="18.7"/>
    <n v="2024"/>
  </r>
  <r>
    <x v="11"/>
    <s v="Cam"/>
    <n v="5"/>
    <x v="1"/>
    <s v="Nico Collins"/>
    <n v="14.8"/>
    <n v="2024"/>
  </r>
  <r>
    <x v="11"/>
    <s v="Cam"/>
    <n v="5"/>
    <x v="2"/>
    <s v="D'Andre Swift"/>
    <n v="19"/>
    <n v="2024"/>
  </r>
  <r>
    <x v="11"/>
    <s v="Cam"/>
    <n v="5"/>
    <x v="2"/>
    <s v="Aaron Jones"/>
    <n v="5.8"/>
    <n v="2024"/>
  </r>
  <r>
    <x v="11"/>
    <s v="Cam"/>
    <n v="5"/>
    <x v="3"/>
    <s v="George Kittle"/>
    <n v="16.399999999999999"/>
    <n v="2024"/>
  </r>
  <r>
    <x v="11"/>
    <s v="Cam"/>
    <n v="5"/>
    <x v="5"/>
    <s v="Evan McPherson"/>
    <n v="4"/>
    <n v="2024"/>
  </r>
  <r>
    <x v="11"/>
    <s v="Cam"/>
    <n v="5"/>
    <x v="4"/>
    <s v="Chicago"/>
    <n v="15"/>
    <n v="2024"/>
  </r>
  <r>
    <x v="11"/>
    <s v="Cam"/>
    <n v="5"/>
    <x v="6"/>
    <s v="Wan'Dale Robinson"/>
    <n v="13"/>
    <n v="2024"/>
  </r>
  <r>
    <x v="10"/>
    <s v="Brand"/>
    <n v="5"/>
    <x v="0"/>
    <s v="Joe Flacco"/>
    <n v="26.56"/>
    <n v="2024"/>
  </r>
  <r>
    <x v="10"/>
    <s v="Brand"/>
    <n v="5"/>
    <x v="1"/>
    <s v="Garrett Wilson"/>
    <n v="22.6"/>
    <n v="2024"/>
  </r>
  <r>
    <x v="10"/>
    <s v="Brand"/>
    <n v="5"/>
    <x v="1"/>
    <s v="Michael Pittman"/>
    <n v="12.2"/>
    <n v="2024"/>
  </r>
  <r>
    <x v="10"/>
    <s v="Brand"/>
    <n v="5"/>
    <x v="1"/>
    <s v="Keenan Allen"/>
    <n v="4.8"/>
    <n v="2024"/>
  </r>
  <r>
    <x v="10"/>
    <s v="Brand"/>
    <n v="5"/>
    <x v="2"/>
    <s v="Kenneth Walker"/>
    <n v="11.1"/>
    <n v="2024"/>
  </r>
  <r>
    <x v="10"/>
    <s v="Brand"/>
    <n v="5"/>
    <x v="2"/>
    <s v="Breece Hall"/>
    <n v="5.2"/>
    <n v="2024"/>
  </r>
  <r>
    <x v="10"/>
    <s v="Brand"/>
    <n v="5"/>
    <x v="3"/>
    <s v="Zach Ertz"/>
    <n v="2"/>
    <n v="2024"/>
  </r>
  <r>
    <x v="10"/>
    <s v="Brand"/>
    <n v="5"/>
    <x v="5"/>
    <s v="Cairo Santos"/>
    <n v="5"/>
    <n v="2024"/>
  </r>
  <r>
    <x v="10"/>
    <s v="Brand"/>
    <n v="5"/>
    <x v="4"/>
    <s v="Indianapolis"/>
    <n v="-4"/>
    <n v="2024"/>
  </r>
  <r>
    <x v="10"/>
    <s v="Brand"/>
    <n v="5"/>
    <x v="7"/>
    <s v="Bucky Irving"/>
    <n v="4.5999999999999996"/>
    <n v="2024"/>
  </r>
  <r>
    <x v="5"/>
    <s v="Burnett/Jasjaap"/>
    <n v="5"/>
    <x v="0"/>
    <s v="Brock Purdy"/>
    <n v="13.06"/>
    <n v="2024"/>
  </r>
  <r>
    <x v="5"/>
    <s v="Burnett/Jasjaap"/>
    <n v="5"/>
    <x v="1"/>
    <s v="Rashid Shaheed"/>
    <n v="16.600000000000001"/>
    <n v="2024"/>
  </r>
  <r>
    <x v="5"/>
    <s v="Burnett/Jasjaap"/>
    <n v="5"/>
    <x v="1"/>
    <s v="CeeDee Lamb"/>
    <n v="8.9"/>
    <n v="2024"/>
  </r>
  <r>
    <x v="5"/>
    <s v="Burnett/Jasjaap"/>
    <n v="5"/>
    <x v="1"/>
    <s v="Jordan Whittington"/>
    <n v="12.4"/>
    <n v="2024"/>
  </r>
  <r>
    <x v="5"/>
    <s v="Burnett/Jasjaap"/>
    <n v="5"/>
    <x v="2"/>
    <s v="Josh Jacobs"/>
    <n v="15.9"/>
    <n v="2024"/>
  </r>
  <r>
    <x v="5"/>
    <s v="Burnett/Jasjaap"/>
    <n v="5"/>
    <x v="2"/>
    <s v="Rico Dowdle"/>
    <n v="18.399999999999999"/>
    <n v="2024"/>
  </r>
  <r>
    <x v="5"/>
    <s v="Burnett/Jasjaap"/>
    <n v="5"/>
    <x v="3"/>
    <s v="Brock Bowers"/>
    <n v="19.7"/>
    <n v="2024"/>
  </r>
  <r>
    <x v="5"/>
    <s v="Burnett/Jasjaap"/>
    <n v="5"/>
    <x v="5"/>
    <s v="Austin Seibert"/>
    <n v="10"/>
    <n v="2024"/>
  </r>
  <r>
    <x v="5"/>
    <s v="Burnett/Jasjaap"/>
    <n v="5"/>
    <x v="4"/>
    <s v="Pittsburgh"/>
    <n v="7"/>
    <n v="2024"/>
  </r>
  <r>
    <x v="5"/>
    <s v="Burnett/Jasjaap"/>
    <n v="5"/>
    <x v="6"/>
    <s v="Jaylen Waddle"/>
    <n v="6.6"/>
    <n v="2024"/>
  </r>
  <r>
    <x v="6"/>
    <s v="Will"/>
    <n v="5"/>
    <x v="0"/>
    <s v="Geno Smith"/>
    <n v="22.56"/>
    <n v="2024"/>
  </r>
  <r>
    <x v="6"/>
    <s v="Will"/>
    <n v="5"/>
    <x v="1"/>
    <s v="Drake London"/>
    <n v="27.4"/>
    <n v="2024"/>
  </r>
  <r>
    <x v="6"/>
    <s v="Will"/>
    <n v="5"/>
    <x v="1"/>
    <s v="Jaxon Smith-Njigba"/>
    <n v="11.1"/>
    <n v="2024"/>
  </r>
  <r>
    <x v="6"/>
    <s v="Will"/>
    <n v="5"/>
    <x v="1"/>
    <s v="Keon Coleman"/>
    <n v="11.4"/>
    <n v="2024"/>
  </r>
  <r>
    <x v="6"/>
    <s v="Will"/>
    <n v="5"/>
    <x v="2"/>
    <s v="Travis Etienne"/>
    <n v="9"/>
    <n v="2024"/>
  </r>
  <r>
    <x v="6"/>
    <s v="Will"/>
    <n v="5"/>
    <x v="2"/>
    <s v="Austin Ekeler"/>
    <n v="10.7"/>
    <n v="2024"/>
  </r>
  <r>
    <x v="6"/>
    <s v="Will"/>
    <n v="5"/>
    <x v="3"/>
    <s v="Travis Kelce"/>
    <n v="11.5"/>
    <n v="2024"/>
  </r>
  <r>
    <x v="6"/>
    <s v="Will"/>
    <n v="5"/>
    <x v="5"/>
    <s v="Jason Myers"/>
    <n v="9"/>
    <n v="2024"/>
  </r>
  <r>
    <x v="6"/>
    <s v="Will"/>
    <n v="5"/>
    <x v="4"/>
    <s v="Houston"/>
    <n v="3"/>
    <n v="2024"/>
  </r>
  <r>
    <x v="6"/>
    <s v="Will"/>
    <n v="5"/>
    <x v="7"/>
    <s v="Zach Charbonnet"/>
    <n v="4.5"/>
    <n v="2024"/>
  </r>
  <r>
    <x v="8"/>
    <s v="Schulwolf"/>
    <n v="5"/>
    <x v="0"/>
    <s v="Jayden Daniels"/>
    <n v="19.72"/>
    <n v="2024"/>
  </r>
  <r>
    <x v="8"/>
    <s v="Schulwolf"/>
    <n v="5"/>
    <x v="1"/>
    <s v="Terry McLaurin"/>
    <n v="11.4"/>
    <n v="2024"/>
  </r>
  <r>
    <x v="8"/>
    <s v="Schulwolf"/>
    <n v="5"/>
    <x v="1"/>
    <s v="Chris Godwin"/>
    <n v="9.1"/>
    <n v="2024"/>
  </r>
  <r>
    <x v="8"/>
    <s v="Schulwolf"/>
    <n v="5"/>
    <x v="1"/>
    <s v="Tyler Lockett"/>
    <n v="9.5"/>
    <n v="2024"/>
  </r>
  <r>
    <x v="8"/>
    <s v="Schulwolf"/>
    <n v="5"/>
    <x v="2"/>
    <s v="James Cook"/>
    <n v="16.899999999999999"/>
    <n v="2024"/>
  </r>
  <r>
    <x v="8"/>
    <s v="Schulwolf"/>
    <n v="5"/>
    <x v="2"/>
    <s v="Zack Moss"/>
    <n v="6.7"/>
    <n v="2024"/>
  </r>
  <r>
    <x v="8"/>
    <s v="Schulwolf"/>
    <n v="5"/>
    <x v="3"/>
    <s v="Dalton Kincaid"/>
    <n v="4.4000000000000004"/>
    <n v="2024"/>
  </r>
  <r>
    <x v="8"/>
    <s v="Schulwolf"/>
    <n v="5"/>
    <x v="5"/>
    <s v="Brandon Aubrey"/>
    <n v="9"/>
    <n v="2024"/>
  </r>
  <r>
    <x v="8"/>
    <s v="Schulwolf"/>
    <n v="5"/>
    <x v="4"/>
    <s v="Denver"/>
    <n v="15"/>
    <n v="2024"/>
  </r>
  <r>
    <x v="8"/>
    <s v="Schulwolf"/>
    <n v="5"/>
    <x v="6"/>
    <s v="Jerry Jeudy"/>
    <n v="2.1"/>
    <n v="2024"/>
  </r>
  <r>
    <x v="1"/>
    <s v="Todd"/>
    <n v="5"/>
    <x v="0"/>
    <s v="Sam Darnold"/>
    <n v="4.26"/>
    <n v="2024"/>
  </r>
  <r>
    <x v="1"/>
    <s v="Todd"/>
    <n v="5"/>
    <x v="1"/>
    <s v="Brian Thomas Jr"/>
    <n v="20.7"/>
    <n v="2024"/>
  </r>
  <r>
    <x v="1"/>
    <s v="Todd"/>
    <n v="5"/>
    <x v="1"/>
    <s v="Darnell Mooney"/>
    <n v="27"/>
    <n v="2024"/>
  </r>
  <r>
    <x v="1"/>
    <s v="Todd"/>
    <n v="5"/>
    <x v="1"/>
    <s v="Diontae Johnson"/>
    <n v="4.4000000000000004"/>
    <n v="2024"/>
  </r>
  <r>
    <x v="1"/>
    <s v="Todd"/>
    <n v="5"/>
    <x v="2"/>
    <s v="James Conner"/>
    <n v="13"/>
    <n v="2024"/>
  </r>
  <r>
    <x v="1"/>
    <s v="Todd"/>
    <n v="5"/>
    <x v="2"/>
    <s v="De'Von Achane"/>
    <n v="2.2000000000000002"/>
    <n v="2024"/>
  </r>
  <r>
    <x v="1"/>
    <s v="Todd"/>
    <n v="5"/>
    <x v="3"/>
    <s v="Tucker Kraft"/>
    <n v="22.8"/>
    <n v="2024"/>
  </r>
  <r>
    <x v="1"/>
    <s v="Todd"/>
    <n v="5"/>
    <x v="5"/>
    <s v="Chris Boswell"/>
    <n v="6"/>
    <n v="2024"/>
  </r>
  <r>
    <x v="1"/>
    <s v="Todd"/>
    <n v="5"/>
    <x v="4"/>
    <s v="Green Bay"/>
    <n v="12"/>
    <n v="2024"/>
  </r>
  <r>
    <x v="1"/>
    <s v="Todd"/>
    <n v="5"/>
    <x v="6"/>
    <s v="Deebo Samuel"/>
    <n v="2.5"/>
    <n v="2024"/>
  </r>
  <r>
    <x v="9"/>
    <s v="Tommy"/>
    <n v="5"/>
    <x v="0"/>
    <s v="Josh Allen"/>
    <n v="14.64"/>
    <n v="2024"/>
  </r>
  <r>
    <x v="9"/>
    <s v="Tommy"/>
    <n v="5"/>
    <x v="1"/>
    <s v="Xavier Worthy"/>
    <n v="10.3"/>
    <n v="2024"/>
  </r>
  <r>
    <x v="9"/>
    <s v="Tommy"/>
    <n v="5"/>
    <x v="1"/>
    <s v="Allen Lazard"/>
    <n v="11.4"/>
    <n v="2024"/>
  </r>
  <r>
    <x v="9"/>
    <s v="Tommy"/>
    <n v="5"/>
    <x v="1"/>
    <s v="Michael Wilson"/>
    <n v="10.3"/>
    <n v="2024"/>
  </r>
  <r>
    <x v="9"/>
    <s v="Tommy"/>
    <n v="5"/>
    <x v="2"/>
    <s v="Kyren Williams"/>
    <n v="15"/>
    <n v="2024"/>
  </r>
  <r>
    <x v="9"/>
    <s v="Tommy"/>
    <n v="5"/>
    <x v="2"/>
    <s v="Rachaad White"/>
    <n v="8.1"/>
    <n v="2024"/>
  </r>
  <r>
    <x v="9"/>
    <s v="Tommy"/>
    <n v="5"/>
    <x v="3"/>
    <s v="Cade Otton"/>
    <n v="5.9"/>
    <n v="2024"/>
  </r>
  <r>
    <x v="9"/>
    <s v="Tommy"/>
    <n v="5"/>
    <x v="5"/>
    <s v="Harrison Butker"/>
    <n v="14"/>
    <n v="2024"/>
  </r>
  <r>
    <x v="9"/>
    <s v="Tommy"/>
    <n v="5"/>
    <x v="4"/>
    <s v="Minnesota"/>
    <n v="17"/>
    <n v="2024"/>
  </r>
  <r>
    <x v="9"/>
    <s v="Tommy"/>
    <n v="5"/>
    <x v="6"/>
    <s v="DK Metcalf"/>
    <n v="5.5"/>
    <n v="2024"/>
  </r>
  <r>
    <x v="7"/>
    <s v="Jay"/>
    <n v="5"/>
    <x v="0"/>
    <s v="Lamar Jackson"/>
    <n v="33.42"/>
    <n v="2024"/>
  </r>
  <r>
    <x v="7"/>
    <s v="Jay"/>
    <n v="5"/>
    <x v="1"/>
    <s v="Stefon Diggs"/>
    <n v="11.2"/>
    <n v="2024"/>
  </r>
  <r>
    <x v="7"/>
    <s v="Jay"/>
    <n v="5"/>
    <x v="1"/>
    <s v="Amari Cooper"/>
    <n v="8"/>
    <n v="2024"/>
  </r>
  <r>
    <x v="7"/>
    <s v="Jay"/>
    <n v="5"/>
    <x v="1"/>
    <s v="Jauan Jennings"/>
    <n v="1.8"/>
    <n v="2024"/>
  </r>
  <r>
    <x v="7"/>
    <s v="Jay"/>
    <n v="5"/>
    <x v="2"/>
    <s v="Trey Sermon"/>
    <n v="15.3"/>
    <n v="2024"/>
  </r>
  <r>
    <x v="7"/>
    <s v="Jay"/>
    <n v="5"/>
    <x v="2"/>
    <s v="Brian Robinson"/>
    <n v="13.8"/>
    <n v="2024"/>
  </r>
  <r>
    <x v="7"/>
    <s v="Jay"/>
    <n v="5"/>
    <x v="3"/>
    <s v="Tyler Conklin"/>
    <n v="8.5"/>
    <n v="2024"/>
  </r>
  <r>
    <x v="7"/>
    <s v="Jay"/>
    <n v="5"/>
    <x v="5"/>
    <s v="Ka'imi Fairbairn"/>
    <n v="16"/>
    <n v="2024"/>
  </r>
  <r>
    <x v="7"/>
    <s v="Jay"/>
    <n v="5"/>
    <x v="4"/>
    <s v="Miami"/>
    <n v="7"/>
    <n v="2024"/>
  </r>
  <r>
    <x v="7"/>
    <s v="Jay"/>
    <n v="5"/>
    <x v="7"/>
    <s v="Alvin Kamara"/>
    <n v="9.6"/>
    <n v="2024"/>
  </r>
  <r>
    <x v="3"/>
    <s v="Kevin"/>
    <n v="5"/>
    <x v="0"/>
    <s v="CJ Stroud"/>
    <n v="15.94"/>
    <n v="2024"/>
  </r>
  <r>
    <x v="3"/>
    <s v="Kevin"/>
    <n v="5"/>
    <x v="1"/>
    <s v="Jordan Addison"/>
    <n v="5.0999999999999996"/>
    <n v="2024"/>
  </r>
  <r>
    <x v="3"/>
    <s v="Kevin"/>
    <n v="5"/>
    <x v="1"/>
    <s v="Marvin Harrison Jr"/>
    <n v="4.5999999999999996"/>
    <n v="2024"/>
  </r>
  <r>
    <x v="3"/>
    <s v="Kevin"/>
    <n v="5"/>
    <x v="1"/>
    <s v="George Pickens"/>
    <n v="4.0999999999999996"/>
    <n v="2024"/>
  </r>
  <r>
    <x v="3"/>
    <s v="Kevin"/>
    <n v="5"/>
    <x v="2"/>
    <s v="Chuba Hubbard"/>
    <n v="15.5"/>
    <n v="2024"/>
  </r>
  <r>
    <x v="3"/>
    <s v="Kevin"/>
    <n v="5"/>
    <x v="2"/>
    <s v="Najee Harris"/>
    <n v="8.6999999999999993"/>
    <n v="2024"/>
  </r>
  <r>
    <x v="3"/>
    <s v="Kevin"/>
    <n v="5"/>
    <x v="3"/>
    <s v="Hunter Henry"/>
    <n v="4.2"/>
    <n v="2024"/>
  </r>
  <r>
    <x v="3"/>
    <s v="Kevin"/>
    <n v="5"/>
    <x v="5"/>
    <s v="Justin Tucker"/>
    <n v="13"/>
    <n v="2024"/>
  </r>
  <r>
    <x v="3"/>
    <s v="Kevin"/>
    <n v="5"/>
    <x v="4"/>
    <s v="Seattle"/>
    <n v="7"/>
    <n v="2024"/>
  </r>
  <r>
    <x v="3"/>
    <s v="Kevin"/>
    <n v="5"/>
    <x v="6"/>
    <s v="Chris Olave"/>
    <n v="2"/>
    <n v="2024"/>
  </r>
  <r>
    <x v="0"/>
    <s v="Brenton"/>
    <n v="6"/>
    <x v="0"/>
    <s v="Daniel Jones"/>
    <n v="11.8"/>
    <n v="2024"/>
  </r>
  <r>
    <x v="0"/>
    <s v="Brenton"/>
    <n v="6"/>
    <x v="1"/>
    <s v="Jayden Reed"/>
    <n v="11.8"/>
    <n v="2024"/>
  </r>
  <r>
    <x v="0"/>
    <s v="Brenton"/>
    <n v="6"/>
    <x v="1"/>
    <s v="Courtland Sutton"/>
    <n v="13.3"/>
    <n v="2024"/>
  </r>
  <r>
    <x v="0"/>
    <s v="Brenton"/>
    <n v="6"/>
    <x v="1"/>
    <s v="Zay Flowers"/>
    <n v="17.899999999999999"/>
    <n v="2024"/>
  </r>
  <r>
    <x v="0"/>
    <s v="Brenton"/>
    <n v="6"/>
    <x v="2"/>
    <s v="Javonte Williams"/>
    <n v="3.1"/>
    <n v="2024"/>
  </r>
  <r>
    <x v="0"/>
    <s v="Brenton"/>
    <n v="6"/>
    <x v="2"/>
    <s v="Tank Bigsby"/>
    <n v="2.4"/>
    <n v="2024"/>
  </r>
  <r>
    <x v="0"/>
    <s v="Brenton"/>
    <n v="6"/>
    <x v="3"/>
    <s v="Trey McBride"/>
    <n v="13.6"/>
    <n v="2024"/>
  </r>
  <r>
    <x v="0"/>
    <s v="Brenton"/>
    <n v="6"/>
    <x v="5"/>
    <s v="Jake Elliott"/>
    <n v="10"/>
    <n v="2024"/>
  </r>
  <r>
    <x v="0"/>
    <s v="Brenton"/>
    <n v="6"/>
    <x v="4"/>
    <s v="Atlanta"/>
    <n v="4"/>
    <n v="2024"/>
  </r>
  <r>
    <x v="0"/>
    <s v="Brenton"/>
    <n v="6"/>
    <x v="6"/>
    <s v="Dontayvion Wicks"/>
    <n v="1.4"/>
    <n v="2024"/>
  </r>
  <r>
    <x v="11"/>
    <s v="Cam"/>
    <n v="6"/>
    <x v="0"/>
    <s v="Joe Burrow"/>
    <n v="19.82"/>
    <n v="2024"/>
  </r>
  <r>
    <x v="11"/>
    <s v="Cam"/>
    <n v="6"/>
    <x v="1"/>
    <s v="Josh Downs"/>
    <n v="16"/>
    <n v="2024"/>
  </r>
  <r>
    <x v="11"/>
    <s v="Cam"/>
    <n v="6"/>
    <x v="1"/>
    <s v="Ja'Marr Chase"/>
    <n v="9.6999999999999993"/>
    <n v="2024"/>
  </r>
  <r>
    <x v="11"/>
    <s v="Cam"/>
    <n v="6"/>
    <x v="1"/>
    <s v="Wan'Dale Robinson"/>
    <n v="7.5"/>
    <n v="2024"/>
  </r>
  <r>
    <x v="11"/>
    <s v="Cam"/>
    <n v="6"/>
    <x v="2"/>
    <s v="D'Andre Swift"/>
    <n v="19.899999999999999"/>
    <n v="2024"/>
  </r>
  <r>
    <x v="11"/>
    <s v="Cam"/>
    <n v="6"/>
    <x v="2"/>
    <s v="JK Dobbins"/>
    <n v="17.2"/>
    <n v="2024"/>
  </r>
  <r>
    <x v="11"/>
    <s v="Cam"/>
    <n v="6"/>
    <x v="3"/>
    <s v="George Kittle"/>
    <n v="20.3"/>
    <n v="2024"/>
  </r>
  <r>
    <x v="11"/>
    <s v="Cam"/>
    <n v="6"/>
    <x v="5"/>
    <s v="Evan McPherson"/>
    <n v="5"/>
    <n v="2024"/>
  </r>
  <r>
    <x v="11"/>
    <s v="Cam"/>
    <n v="6"/>
    <x v="4"/>
    <s v="Chicago"/>
    <n v="10"/>
    <n v="2024"/>
  </r>
  <r>
    <x v="11"/>
    <s v="Cam"/>
    <n v="6"/>
    <x v="6"/>
    <s v="Brandon Aiyuk"/>
    <n v="4.7"/>
    <n v="2024"/>
  </r>
  <r>
    <x v="2"/>
    <s v="Mike"/>
    <n v="6"/>
    <x v="0"/>
    <s v="Justin Fields"/>
    <n v="23.7"/>
    <n v="2024"/>
  </r>
  <r>
    <x v="2"/>
    <s v="Mike"/>
    <n v="6"/>
    <x v="1"/>
    <s v="Tank Dell"/>
    <n v="15.2"/>
    <n v="2024"/>
  </r>
  <r>
    <x v="2"/>
    <s v="Mike"/>
    <n v="6"/>
    <x v="1"/>
    <s v="Mike Evans"/>
    <n v="4.4000000000000004"/>
    <n v="2024"/>
  </r>
  <r>
    <x v="2"/>
    <s v="Mike"/>
    <n v="6"/>
    <x v="1"/>
    <s v="Ray-Ray McCloud"/>
    <n v="2.8"/>
    <n v="2024"/>
  </r>
  <r>
    <x v="2"/>
    <s v="Mike"/>
    <n v="6"/>
    <x v="2"/>
    <s v="Derrick Henry"/>
    <n v="25.2"/>
    <n v="2024"/>
  </r>
  <r>
    <x v="2"/>
    <s v="Mike"/>
    <n v="6"/>
    <x v="2"/>
    <s v="Chase Brown"/>
    <n v="13.4"/>
    <n v="2024"/>
  </r>
  <r>
    <x v="2"/>
    <s v="Mike"/>
    <n v="6"/>
    <x v="3"/>
    <s v="Sam LaPorta"/>
    <n v="11.7"/>
    <n v="2024"/>
  </r>
  <r>
    <x v="2"/>
    <s v="Mike"/>
    <n v="6"/>
    <x v="5"/>
    <s v="Younghoe Koo"/>
    <n v="12"/>
    <n v="2024"/>
  </r>
  <r>
    <x v="2"/>
    <s v="Mike"/>
    <n v="6"/>
    <x v="4"/>
    <s v="Buffalo"/>
    <n v="5"/>
    <n v="2024"/>
  </r>
  <r>
    <x v="2"/>
    <s v="Mike"/>
    <n v="6"/>
    <x v="8"/>
    <s v="Jake Ferguson"/>
    <n v="2.6"/>
    <n v="2024"/>
  </r>
  <r>
    <x v="9"/>
    <s v="Tommy"/>
    <n v="6"/>
    <x v="0"/>
    <s v="Josh Allen"/>
    <n v="24.4"/>
    <n v="2024"/>
  </r>
  <r>
    <x v="9"/>
    <s v="Tommy"/>
    <n v="6"/>
    <x v="1"/>
    <s v="Allen Lazard"/>
    <n v="20.399999999999999"/>
    <n v="2024"/>
  </r>
  <r>
    <x v="9"/>
    <s v="Tommy"/>
    <n v="6"/>
    <x v="1"/>
    <s v="Romeo Doubs"/>
    <n v="18.399999999999999"/>
    <n v="2024"/>
  </r>
  <r>
    <x v="9"/>
    <s v="Tommy"/>
    <n v="6"/>
    <x v="1"/>
    <s v="Michael Wilson"/>
    <n v="9.1"/>
    <n v="2024"/>
  </r>
  <r>
    <x v="9"/>
    <s v="Tommy"/>
    <n v="6"/>
    <x v="2"/>
    <s v="Alexander Mattison"/>
    <n v="15"/>
    <n v="2024"/>
  </r>
  <r>
    <x v="9"/>
    <s v="Tommy"/>
    <n v="6"/>
    <x v="2"/>
    <s v="Saquon Barkley"/>
    <n v="6.4"/>
    <n v="2024"/>
  </r>
  <r>
    <x v="9"/>
    <s v="Tommy"/>
    <n v="6"/>
    <x v="3"/>
    <s v="Cade Otton"/>
    <n v="8.5"/>
    <n v="2024"/>
  </r>
  <r>
    <x v="9"/>
    <s v="Tommy"/>
    <n v="6"/>
    <x v="5"/>
    <s v="Chase McLaughlin"/>
    <n v="9"/>
    <n v="2024"/>
  </r>
  <r>
    <x v="9"/>
    <s v="Tommy"/>
    <n v="6"/>
    <x v="4"/>
    <s v="San Francisco"/>
    <n v="6"/>
    <n v="2024"/>
  </r>
  <r>
    <x v="9"/>
    <s v="Tommy"/>
    <n v="6"/>
    <x v="6"/>
    <s v="DK Metcalf"/>
    <n v="6.3"/>
    <n v="2024"/>
  </r>
  <r>
    <x v="1"/>
    <s v="Todd"/>
    <n v="6"/>
    <x v="0"/>
    <s v="Dak Prescott"/>
    <n v="3.22"/>
    <n v="2024"/>
  </r>
  <r>
    <x v="1"/>
    <s v="Todd"/>
    <n v="6"/>
    <x v="1"/>
    <s v="Deebo Samuel"/>
    <n v="19.2"/>
    <n v="2024"/>
  </r>
  <r>
    <x v="1"/>
    <s v="Todd"/>
    <n v="6"/>
    <x v="1"/>
    <s v="AJ Brown"/>
    <n v="20.6"/>
    <n v="2024"/>
  </r>
  <r>
    <x v="1"/>
    <s v="Todd"/>
    <n v="6"/>
    <x v="1"/>
    <s v="Darnell Mooney"/>
    <n v="5.3"/>
    <n v="2024"/>
  </r>
  <r>
    <x v="1"/>
    <s v="Todd"/>
    <n v="6"/>
    <x v="2"/>
    <s v="James Conner"/>
    <n v="4.5999999999999996"/>
    <n v="2024"/>
  </r>
  <r>
    <x v="1"/>
    <s v="Todd"/>
    <n v="6"/>
    <x v="2"/>
    <s v="Braelon Allen"/>
    <n v="0.8"/>
    <n v="2024"/>
  </r>
  <r>
    <x v="1"/>
    <s v="Todd"/>
    <n v="6"/>
    <x v="3"/>
    <s v="Tucker Kraft"/>
    <n v="2.5"/>
    <n v="2024"/>
  </r>
  <r>
    <x v="1"/>
    <s v="Todd"/>
    <n v="6"/>
    <x v="5"/>
    <s v="Chris Boswell"/>
    <n v="17"/>
    <n v="2024"/>
  </r>
  <r>
    <x v="1"/>
    <s v="Todd"/>
    <n v="6"/>
    <x v="4"/>
    <s v="Green Bay"/>
    <n v="9"/>
    <n v="2024"/>
  </r>
  <r>
    <x v="1"/>
    <s v="Todd"/>
    <n v="6"/>
    <x v="6"/>
    <s v="Brian Thomas Jr"/>
    <n v="4.2"/>
    <n v="2024"/>
  </r>
  <r>
    <x v="8"/>
    <s v="Schulwolf"/>
    <n v="6"/>
    <x v="0"/>
    <s v="Jayden Daniels"/>
    <n v="20.96"/>
    <n v="2024"/>
  </r>
  <r>
    <x v="8"/>
    <s v="Schulwolf"/>
    <n v="6"/>
    <x v="1"/>
    <s v="Terry McLaurin"/>
    <n v="20.3"/>
    <n v="2024"/>
  </r>
  <r>
    <x v="8"/>
    <s v="Schulwolf"/>
    <n v="6"/>
    <x v="1"/>
    <s v="Chris Godwin"/>
    <n v="30"/>
    <n v="2024"/>
  </r>
  <r>
    <x v="8"/>
    <s v="Schulwolf"/>
    <n v="6"/>
    <x v="1"/>
    <s v="DeVonta Smith"/>
    <n v="13.9"/>
    <n v="2024"/>
  </r>
  <r>
    <x v="8"/>
    <s v="Schulwolf"/>
    <n v="6"/>
    <x v="2"/>
    <s v="Jahmyr Gibbs"/>
    <n v="10.6"/>
    <n v="2024"/>
  </r>
  <r>
    <x v="8"/>
    <s v="Schulwolf"/>
    <n v="6"/>
    <x v="2"/>
    <s v="Ty Johnson"/>
    <n v="3.4"/>
    <n v="2024"/>
  </r>
  <r>
    <x v="8"/>
    <s v="Schulwolf"/>
    <n v="6"/>
    <x v="3"/>
    <s v="Dalton Kincaid"/>
    <n v="8.1"/>
    <n v="2024"/>
  </r>
  <r>
    <x v="8"/>
    <s v="Schulwolf"/>
    <n v="6"/>
    <x v="5"/>
    <s v="Brandon Aubrey"/>
    <n v="12"/>
    <n v="2024"/>
  </r>
  <r>
    <x v="8"/>
    <s v="Schulwolf"/>
    <n v="6"/>
    <x v="4"/>
    <s v="Denver"/>
    <n v="2"/>
    <n v="2024"/>
  </r>
  <r>
    <x v="8"/>
    <s v="Schulwolf"/>
    <n v="6"/>
    <x v="7"/>
    <s v="Zack Moss"/>
    <n v="0"/>
    <n v="2024"/>
  </r>
  <r>
    <x v="4"/>
    <s v="Eli"/>
    <n v="6"/>
    <x v="0"/>
    <s v="Jalen Hurts"/>
    <n v="21.86"/>
    <n v="2024"/>
  </r>
  <r>
    <x v="4"/>
    <s v="Eli"/>
    <n v="6"/>
    <x v="1"/>
    <s v="Jalen Tolbert"/>
    <n v="6.3"/>
    <n v="2024"/>
  </r>
  <r>
    <x v="4"/>
    <s v="Eli"/>
    <n v="6"/>
    <x v="1"/>
    <s v="DJ Moore"/>
    <n v="4"/>
    <n v="2024"/>
  </r>
  <r>
    <x v="4"/>
    <s v="Eli"/>
    <n v="6"/>
    <x v="1"/>
    <s v="Rome Odunze"/>
    <n v="5"/>
    <n v="2024"/>
  </r>
  <r>
    <x v="4"/>
    <s v="Eli"/>
    <n v="6"/>
    <x v="2"/>
    <s v="Bijan Robinson"/>
    <n v="24"/>
    <n v="2024"/>
  </r>
  <r>
    <x v="4"/>
    <s v="Eli"/>
    <n v="6"/>
    <x v="2"/>
    <s v="Jordan Mason"/>
    <n v="8.6999999999999993"/>
    <n v="2024"/>
  </r>
  <r>
    <x v="4"/>
    <s v="Eli"/>
    <n v="6"/>
    <x v="3"/>
    <s v="Kyle Pitts"/>
    <n v="8.5"/>
    <n v="2024"/>
  </r>
  <r>
    <x v="4"/>
    <s v="Eli"/>
    <n v="6"/>
    <x v="5"/>
    <s v="Brayden Narveson"/>
    <n v="10"/>
    <n v="2024"/>
  </r>
  <r>
    <x v="4"/>
    <s v="Eli"/>
    <n v="6"/>
    <x v="4"/>
    <s v="NYJ"/>
    <n v="1"/>
    <n v="2024"/>
  </r>
  <r>
    <x v="4"/>
    <s v="Eli"/>
    <n v="6"/>
    <x v="7"/>
    <s v="Tyjae Spears"/>
    <n v="2.7"/>
    <n v="2024"/>
  </r>
  <r>
    <x v="7"/>
    <s v="Jay"/>
    <n v="6"/>
    <x v="0"/>
    <s v="Lamar Jackson"/>
    <n v="18.920000000000002"/>
    <n v="2024"/>
  </r>
  <r>
    <x v="7"/>
    <s v="Jay"/>
    <n v="6"/>
    <x v="1"/>
    <s v="Stefon Diggs"/>
    <n v="16.7"/>
    <n v="2024"/>
  </r>
  <r>
    <x v="7"/>
    <s v="Jay"/>
    <n v="6"/>
    <x v="1"/>
    <s v="Amari Cooper"/>
    <n v="6.2"/>
    <n v="2024"/>
  </r>
  <r>
    <x v="7"/>
    <s v="Jay"/>
    <n v="6"/>
    <x v="1"/>
    <s v="Jauan Jennings"/>
    <n v="4.2"/>
    <n v="2024"/>
  </r>
  <r>
    <x v="7"/>
    <s v="Jay"/>
    <n v="6"/>
    <x v="2"/>
    <s v="Tony Pollard"/>
    <n v="16.3"/>
    <n v="2024"/>
  </r>
  <r>
    <x v="7"/>
    <s v="Jay"/>
    <n v="6"/>
    <x v="2"/>
    <s v="Alvin Kamara"/>
    <n v="14.9"/>
    <n v="2024"/>
  </r>
  <r>
    <x v="7"/>
    <s v="Jay"/>
    <n v="6"/>
    <x v="3"/>
    <s v="Evan Engram"/>
    <n v="13.2"/>
    <n v="2024"/>
  </r>
  <r>
    <x v="7"/>
    <s v="Jay"/>
    <n v="6"/>
    <x v="5"/>
    <s v="Ka'imi Fairbairn"/>
    <n v="11"/>
    <n v="2024"/>
  </r>
  <r>
    <x v="7"/>
    <s v="Jay"/>
    <n v="6"/>
    <x v="4"/>
    <s v="LA Chargers"/>
    <n v="6"/>
    <n v="2024"/>
  </r>
  <r>
    <x v="7"/>
    <s v="Jay"/>
    <n v="6"/>
    <x v="7"/>
    <s v="Trey Sermon"/>
    <n v="2.9"/>
    <n v="2024"/>
  </r>
  <r>
    <x v="6"/>
    <s v="Will"/>
    <n v="6"/>
    <x v="0"/>
    <s v="Geno Smith"/>
    <n v="12.48"/>
    <n v="2024"/>
  </r>
  <r>
    <x v="6"/>
    <s v="Will"/>
    <n v="6"/>
    <x v="1"/>
    <s v="Drake London"/>
    <n v="16.399999999999999"/>
    <n v="2024"/>
  </r>
  <r>
    <x v="6"/>
    <s v="Will"/>
    <n v="6"/>
    <x v="1"/>
    <s v="Amon-Ra St. Brown"/>
    <n v="11.7"/>
    <n v="2024"/>
  </r>
  <r>
    <x v="6"/>
    <s v="Will"/>
    <n v="6"/>
    <x v="1"/>
    <s v="Jaxon Smith-Njigba"/>
    <n v="7.8"/>
    <n v="2024"/>
  </r>
  <r>
    <x v="6"/>
    <s v="Will"/>
    <n v="6"/>
    <x v="2"/>
    <s v="Austin Ekeler"/>
    <n v="8.8000000000000007"/>
    <n v="2024"/>
  </r>
  <r>
    <x v="6"/>
    <s v="Will"/>
    <n v="6"/>
    <x v="2"/>
    <s v="Travis Etienne"/>
    <n v="-0.1"/>
    <n v="2024"/>
  </r>
  <r>
    <x v="6"/>
    <s v="Will"/>
    <n v="6"/>
    <x v="3"/>
    <s v="Isaiah Likely"/>
    <n v="3.7"/>
    <n v="2024"/>
  </r>
  <r>
    <x v="6"/>
    <s v="Will"/>
    <n v="6"/>
    <x v="5"/>
    <s v="Jason Myers"/>
    <n v="6"/>
    <n v="2024"/>
  </r>
  <r>
    <x v="6"/>
    <s v="Will"/>
    <n v="6"/>
    <x v="4"/>
    <s v="Houston"/>
    <n v="13"/>
    <n v="2024"/>
  </r>
  <r>
    <x v="6"/>
    <s v="Will"/>
    <n v="6"/>
    <x v="6"/>
    <s v="Ladd McConkey"/>
    <n v="6.3"/>
    <n v="2024"/>
  </r>
  <r>
    <x v="10"/>
    <s v="Brand"/>
    <n v="6"/>
    <x v="0"/>
    <s v="Kirk Cousins"/>
    <n v="12.5"/>
    <n v="2024"/>
  </r>
  <r>
    <x v="10"/>
    <s v="Brand"/>
    <n v="6"/>
    <x v="1"/>
    <s v="Garrett Wilson"/>
    <n v="20.7"/>
    <n v="2024"/>
  </r>
  <r>
    <x v="10"/>
    <s v="Brand"/>
    <n v="6"/>
    <x v="1"/>
    <s v="Jameson Williams"/>
    <n v="16.2"/>
    <n v="2024"/>
  </r>
  <r>
    <x v="10"/>
    <s v="Brand"/>
    <n v="6"/>
    <x v="1"/>
    <s v="Michael Pittman"/>
    <n v="11"/>
    <n v="2024"/>
  </r>
  <r>
    <x v="10"/>
    <s v="Brand"/>
    <n v="6"/>
    <x v="2"/>
    <s v="Breece Hall"/>
    <n v="19.399999999999999"/>
    <n v="2024"/>
  </r>
  <r>
    <x v="10"/>
    <s v="Brand"/>
    <n v="6"/>
    <x v="2"/>
    <s v="Bucky Irving"/>
    <n v="17.5"/>
    <n v="2024"/>
  </r>
  <r>
    <x v="10"/>
    <s v="Brand"/>
    <n v="6"/>
    <x v="3"/>
    <s v="Dallas Goedert"/>
    <n v="0"/>
    <n v="2024"/>
  </r>
  <r>
    <x v="10"/>
    <s v="Brand"/>
    <n v="6"/>
    <x v="5"/>
    <s v="Cairo Santos"/>
    <n v="4"/>
    <n v="2024"/>
  </r>
  <r>
    <x v="10"/>
    <s v="Brand"/>
    <n v="6"/>
    <x v="4"/>
    <s v="Indianapolis"/>
    <n v="4"/>
    <n v="2024"/>
  </r>
  <r>
    <x v="10"/>
    <s v="Brand"/>
    <n v="6"/>
    <x v="7"/>
    <s v="Kenneth Walker"/>
    <n v="16.899999999999999"/>
    <n v="2024"/>
  </r>
  <r>
    <x v="3"/>
    <s v="Kevin"/>
    <n v="6"/>
    <x v="0"/>
    <s v="CJ Stroud"/>
    <n v="18.38"/>
    <n v="2024"/>
  </r>
  <r>
    <x v="3"/>
    <s v="Kevin"/>
    <n v="6"/>
    <x v="1"/>
    <s v="DeAndre Hopkins"/>
    <n v="7.4"/>
    <n v="2024"/>
  </r>
  <r>
    <x v="3"/>
    <s v="Kevin"/>
    <n v="6"/>
    <x v="1"/>
    <s v="George Pickens"/>
    <n v="6.8"/>
    <n v="2024"/>
  </r>
  <r>
    <x v="3"/>
    <s v="Kevin"/>
    <n v="6"/>
    <x v="1"/>
    <s v="Marvin Harrison Jr"/>
    <n v="0"/>
    <n v="2024"/>
  </r>
  <r>
    <x v="3"/>
    <s v="Kevin"/>
    <n v="6"/>
    <x v="2"/>
    <s v="Najee Harris"/>
    <n v="19.2"/>
    <n v="2024"/>
  </r>
  <r>
    <x v="3"/>
    <s v="Kevin"/>
    <n v="6"/>
    <x v="2"/>
    <s v="Chuba Hubbard"/>
    <n v="12.8"/>
    <n v="2024"/>
  </r>
  <r>
    <x v="3"/>
    <s v="Kevin"/>
    <n v="6"/>
    <x v="3"/>
    <s v="Hunter Henry"/>
    <n v="11.6"/>
    <n v="2024"/>
  </r>
  <r>
    <x v="3"/>
    <s v="Kevin"/>
    <n v="6"/>
    <x v="5"/>
    <s v="Justin Tucker"/>
    <n v="13"/>
    <n v="2024"/>
  </r>
  <r>
    <x v="3"/>
    <s v="Kevin"/>
    <n v="6"/>
    <x v="4"/>
    <s v="Tampa Bay"/>
    <n v="16"/>
    <n v="2024"/>
  </r>
  <r>
    <x v="3"/>
    <s v="Kevin"/>
    <n v="6"/>
    <x v="6"/>
    <s v="Chris Olave"/>
    <n v="-1"/>
    <n v="2024"/>
  </r>
  <r>
    <x v="5"/>
    <s v="Burnett/Jasjaap"/>
    <n v="6"/>
    <x v="0"/>
    <s v="Brock Purdy"/>
    <n v="24.1"/>
    <n v="2024"/>
  </r>
  <r>
    <x v="5"/>
    <s v="Burnett/Jasjaap"/>
    <n v="6"/>
    <x v="1"/>
    <s v="CeeDee Lamb"/>
    <n v="12.6"/>
    <n v="2024"/>
  </r>
  <r>
    <x v="5"/>
    <s v="Burnett/Jasjaap"/>
    <n v="6"/>
    <x v="1"/>
    <s v="Rashid Shaheed"/>
    <n v="7.8"/>
    <n v="2024"/>
  </r>
  <r>
    <x v="5"/>
    <s v="Burnett/Jasjaap"/>
    <n v="6"/>
    <x v="1"/>
    <s v="Alec Pierce"/>
    <n v="0"/>
    <n v="2024"/>
  </r>
  <r>
    <x v="5"/>
    <s v="Burnett/Jasjaap"/>
    <n v="6"/>
    <x v="2"/>
    <s v="Josh Jacobs"/>
    <n v="10.5"/>
    <n v="2024"/>
  </r>
  <r>
    <x v="5"/>
    <s v="Burnett/Jasjaap"/>
    <n v="6"/>
    <x v="2"/>
    <s v="David Montgomery"/>
    <n v="20.5"/>
    <n v="2024"/>
  </r>
  <r>
    <x v="5"/>
    <s v="Burnett/Jasjaap"/>
    <n v="6"/>
    <x v="3"/>
    <s v="Brock Bowers"/>
    <n v="11.6"/>
    <n v="2024"/>
  </r>
  <r>
    <x v="5"/>
    <s v="Burnett/Jasjaap"/>
    <n v="6"/>
    <x v="5"/>
    <s v="Austin Seibert"/>
    <n v="15"/>
    <n v="2024"/>
  </r>
  <r>
    <x v="5"/>
    <s v="Burnett/Jasjaap"/>
    <n v="6"/>
    <x v="4"/>
    <s v="Pittsburgh"/>
    <n v="14"/>
    <n v="2024"/>
  </r>
  <r>
    <x v="5"/>
    <s v="Burnett/Jasjaap"/>
    <n v="6"/>
    <x v="7"/>
    <s v="Rico Dowdle"/>
    <n v="8"/>
    <n v="2024"/>
  </r>
  <r>
    <x v="0"/>
    <s v="Brenton"/>
    <n v="7"/>
    <x v="0"/>
    <s v="Baker Mayfield"/>
    <n v="27"/>
    <n v="2024"/>
  </r>
  <r>
    <x v="0"/>
    <s v="Brenton"/>
    <n v="7"/>
    <x v="1"/>
    <s v="Zay Flowers"/>
    <n v="3.5"/>
    <n v="2024"/>
  </r>
  <r>
    <x v="0"/>
    <s v="Brenton"/>
    <n v="7"/>
    <x v="1"/>
    <s v="DeMario Douglas"/>
    <n v="2.4"/>
    <n v="2024"/>
  </r>
  <r>
    <x v="0"/>
    <s v="Brenton"/>
    <n v="7"/>
    <x v="1"/>
    <s v="Jayden Reed"/>
    <n v="2"/>
    <n v="2024"/>
  </r>
  <r>
    <x v="0"/>
    <s v="Brenton"/>
    <n v="7"/>
    <x v="2"/>
    <s v="Tank Bigsby"/>
    <n v="23.8"/>
    <n v="2024"/>
  </r>
  <r>
    <x v="0"/>
    <s v="Brenton"/>
    <n v="7"/>
    <x v="2"/>
    <s v="Tyrone Tracy"/>
    <n v="4.7"/>
    <n v="2024"/>
  </r>
  <r>
    <x v="0"/>
    <s v="Brenton"/>
    <n v="7"/>
    <x v="3"/>
    <s v="Trey McBride"/>
    <n v="7.6"/>
    <n v="2024"/>
  </r>
  <r>
    <x v="0"/>
    <s v="Brenton"/>
    <n v="7"/>
    <x v="5"/>
    <s v="Jake Elliott"/>
    <n v="4"/>
    <n v="2024"/>
  </r>
  <r>
    <x v="0"/>
    <s v="Brenton"/>
    <n v="7"/>
    <x v="4"/>
    <s v="Cincinnati"/>
    <n v="14"/>
    <n v="2024"/>
  </r>
  <r>
    <x v="0"/>
    <s v="Brenton"/>
    <n v="7"/>
    <x v="6"/>
    <s v="Tyreek Hill"/>
    <n v="1.8"/>
    <n v="2024"/>
  </r>
  <r>
    <x v="9"/>
    <s v="Tommy"/>
    <n v="7"/>
    <x v="0"/>
    <s v="Josh Allen"/>
    <n v="21.02"/>
    <n v="2024"/>
  </r>
  <r>
    <x v="9"/>
    <s v="Tommy"/>
    <n v="7"/>
    <x v="1"/>
    <s v="DK Metcalf"/>
    <n v="17.899999999999999"/>
    <n v="2024"/>
  </r>
  <r>
    <x v="9"/>
    <s v="Tommy"/>
    <n v="7"/>
    <x v="1"/>
    <s v="Allen Lazard"/>
    <n v="7.8"/>
    <n v="2024"/>
  </r>
  <r>
    <x v="9"/>
    <s v="Tommy"/>
    <n v="7"/>
    <x v="1"/>
    <s v="Malik Nabers"/>
    <n v="6.1"/>
    <n v="2024"/>
  </r>
  <r>
    <x v="9"/>
    <s v="Tommy"/>
    <n v="7"/>
    <x v="2"/>
    <s v="Saquon Barkley"/>
    <n v="25.7"/>
    <n v="2024"/>
  </r>
  <r>
    <x v="9"/>
    <s v="Tommy"/>
    <n v="7"/>
    <x v="2"/>
    <s v="Kyren Williams"/>
    <n v="19.600000000000001"/>
    <n v="2024"/>
  </r>
  <r>
    <x v="9"/>
    <s v="Tommy"/>
    <n v="7"/>
    <x v="3"/>
    <s v="Mark Andrews"/>
    <n v="18.100000000000001"/>
    <n v="2024"/>
  </r>
  <r>
    <x v="9"/>
    <s v="Tommy"/>
    <n v="7"/>
    <x v="5"/>
    <s v="Harrison Butker"/>
    <n v="4"/>
    <n v="2024"/>
  </r>
  <r>
    <x v="9"/>
    <s v="Tommy"/>
    <n v="7"/>
    <x v="4"/>
    <s v="Minnesota"/>
    <n v="10"/>
    <n v="2024"/>
  </r>
  <r>
    <x v="9"/>
    <s v="Tommy"/>
    <n v="7"/>
    <x v="6"/>
    <s v="Xavier Worthy"/>
    <n v="3.9"/>
    <n v="2024"/>
  </r>
  <r>
    <x v="2"/>
    <s v="Mike"/>
    <n v="7"/>
    <x v="0"/>
    <s v="Patrick Mahomes"/>
    <n v="12.06"/>
    <n v="2024"/>
  </r>
  <r>
    <x v="2"/>
    <s v="Mike"/>
    <n v="7"/>
    <x v="1"/>
    <s v="Mike Evans"/>
    <n v="9"/>
    <n v="2024"/>
  </r>
  <r>
    <x v="2"/>
    <s v="Mike"/>
    <n v="7"/>
    <x v="1"/>
    <s v="Khalil Shakir"/>
    <n v="10"/>
    <n v="2024"/>
  </r>
  <r>
    <x v="2"/>
    <s v="Mike"/>
    <n v="7"/>
    <x v="1"/>
    <s v="Davante Adams"/>
    <n v="4.5"/>
    <n v="2024"/>
  </r>
  <r>
    <x v="2"/>
    <s v="Mike"/>
    <n v="7"/>
    <x v="2"/>
    <s v="Derrick Henry"/>
    <n v="24.7"/>
    <n v="2024"/>
  </r>
  <r>
    <x v="2"/>
    <s v="Mike"/>
    <n v="7"/>
    <x v="2"/>
    <s v="Kareem Hunt"/>
    <n v="21.3"/>
    <n v="2024"/>
  </r>
  <r>
    <x v="2"/>
    <s v="Mike"/>
    <n v="7"/>
    <x v="3"/>
    <s v="Sam LaPorta"/>
    <n v="3"/>
    <n v="2024"/>
  </r>
  <r>
    <x v="2"/>
    <s v="Mike"/>
    <n v="7"/>
    <x v="5"/>
    <s v="Younghoe Koo"/>
    <n v="2"/>
    <n v="2024"/>
  </r>
  <r>
    <x v="2"/>
    <s v="Mike"/>
    <n v="7"/>
    <x v="4"/>
    <s v="Buffalo"/>
    <n v="12"/>
    <n v="2024"/>
  </r>
  <r>
    <x v="2"/>
    <s v="Mike"/>
    <n v="7"/>
    <x v="6"/>
    <s v="Tank Dell"/>
    <n v="0"/>
    <n v="2024"/>
  </r>
  <r>
    <x v="8"/>
    <s v="Schulwolf"/>
    <n v="7"/>
    <x v="0"/>
    <s v="Jayden Daniels"/>
    <n v="5.24"/>
    <n v="2024"/>
  </r>
  <r>
    <x v="8"/>
    <s v="Schulwolf"/>
    <n v="7"/>
    <x v="1"/>
    <s v="Terry McLaurin"/>
    <n v="12.8"/>
    <n v="2024"/>
  </r>
  <r>
    <x v="8"/>
    <s v="Schulwolf"/>
    <n v="7"/>
    <x v="1"/>
    <s v="Chris Godwin"/>
    <n v="10"/>
    <n v="2024"/>
  </r>
  <r>
    <x v="8"/>
    <s v="Schulwolf"/>
    <n v="7"/>
    <x v="1"/>
    <s v="Tyler Lockett"/>
    <n v="6.5"/>
    <n v="2024"/>
  </r>
  <r>
    <x v="8"/>
    <s v="Schulwolf"/>
    <n v="7"/>
    <x v="2"/>
    <s v="Jahmyr Gibbs"/>
    <n v="30"/>
    <n v="2024"/>
  </r>
  <r>
    <x v="8"/>
    <s v="Schulwolf"/>
    <n v="7"/>
    <x v="2"/>
    <s v="James Cook"/>
    <n v="9.1999999999999993"/>
    <n v="2024"/>
  </r>
  <r>
    <x v="8"/>
    <s v="Schulwolf"/>
    <n v="7"/>
    <x v="3"/>
    <s v="Dalton Kincaid"/>
    <n v="6.7"/>
    <n v="2024"/>
  </r>
  <r>
    <x v="8"/>
    <s v="Schulwolf"/>
    <n v="7"/>
    <x v="5"/>
    <s v="Brandon McManus"/>
    <n v="7"/>
    <n v="2024"/>
  </r>
  <r>
    <x v="8"/>
    <s v="Schulwolf"/>
    <n v="7"/>
    <x v="4"/>
    <s v="Denver"/>
    <n v="21"/>
    <n v="2024"/>
  </r>
  <r>
    <x v="8"/>
    <s v="Schulwolf"/>
    <n v="7"/>
    <x v="6"/>
    <s v="DeVonta Smith"/>
    <n v="0.3"/>
    <n v="2024"/>
  </r>
  <r>
    <x v="1"/>
    <s v="Todd"/>
    <n v="7"/>
    <x v="0"/>
    <s v="Sam Darnold"/>
    <n v="16.260000000000002"/>
    <n v="2024"/>
  </r>
  <r>
    <x v="1"/>
    <s v="Todd"/>
    <n v="7"/>
    <x v="1"/>
    <s v="AJ Brown"/>
    <n v="17.399999999999999"/>
    <n v="2024"/>
  </r>
  <r>
    <x v="1"/>
    <s v="Todd"/>
    <n v="7"/>
    <x v="1"/>
    <s v="Brian Thomas Jr"/>
    <n v="19.600000000000001"/>
    <n v="2024"/>
  </r>
  <r>
    <x v="1"/>
    <s v="Todd"/>
    <n v="7"/>
    <x v="1"/>
    <s v="Diontae Johnson"/>
    <n v="2.2000000000000002"/>
    <n v="2024"/>
  </r>
  <r>
    <x v="1"/>
    <s v="Todd"/>
    <n v="7"/>
    <x v="2"/>
    <s v="James Conner"/>
    <n v="16.2"/>
    <n v="2024"/>
  </r>
  <r>
    <x v="1"/>
    <s v="Todd"/>
    <n v="7"/>
    <x v="2"/>
    <s v="De'Von Achane"/>
    <n v="9.5"/>
    <n v="2024"/>
  </r>
  <r>
    <x v="1"/>
    <s v="Todd"/>
    <n v="7"/>
    <x v="3"/>
    <s v="Tucker Kraft"/>
    <n v="10.8"/>
    <n v="2024"/>
  </r>
  <r>
    <x v="1"/>
    <s v="Todd"/>
    <n v="7"/>
    <x v="5"/>
    <s v="Chris Boswell"/>
    <n v="14"/>
    <n v="2024"/>
  </r>
  <r>
    <x v="1"/>
    <s v="Todd"/>
    <n v="7"/>
    <x v="4"/>
    <s v="LA Chargers"/>
    <n v="2"/>
    <n v="2024"/>
  </r>
  <r>
    <x v="1"/>
    <s v="Todd"/>
    <n v="7"/>
    <x v="6"/>
    <s v="Deebo Samuel"/>
    <n v="0"/>
    <n v="2024"/>
  </r>
  <r>
    <x v="10"/>
    <s v="Brand"/>
    <n v="7"/>
    <x v="0"/>
    <s v="Anthony Richardson"/>
    <n v="8.76"/>
    <n v="2024"/>
  </r>
  <r>
    <x v="10"/>
    <s v="Brand"/>
    <n v="7"/>
    <x v="1"/>
    <s v="Garrett Wilson"/>
    <n v="10.6"/>
    <n v="2024"/>
  </r>
  <r>
    <x v="10"/>
    <s v="Brand"/>
    <n v="7"/>
    <x v="1"/>
    <s v="Michael Pittman"/>
    <n v="7.8"/>
    <n v="2024"/>
  </r>
  <r>
    <x v="10"/>
    <s v="Brand"/>
    <n v="7"/>
    <x v="1"/>
    <s v="Jameson Williams"/>
    <n v="0.1"/>
    <n v="2024"/>
  </r>
  <r>
    <x v="10"/>
    <s v="Brand"/>
    <n v="7"/>
    <x v="2"/>
    <s v="Breece Hall"/>
    <n v="23.1"/>
    <n v="2024"/>
  </r>
  <r>
    <x v="10"/>
    <s v="Brand"/>
    <n v="7"/>
    <x v="2"/>
    <s v="Kenneth Walker"/>
    <n v="22.3"/>
    <n v="2024"/>
  </r>
  <r>
    <x v="10"/>
    <s v="Brand"/>
    <n v="7"/>
    <x v="3"/>
    <s v="Colby Parkinson"/>
    <n v="4.2"/>
    <n v="2024"/>
  </r>
  <r>
    <x v="10"/>
    <s v="Brand"/>
    <n v="7"/>
    <x v="5"/>
    <s v="Cameron Dicker"/>
    <n v="21"/>
    <n v="2024"/>
  </r>
  <r>
    <x v="10"/>
    <s v="Brand"/>
    <n v="7"/>
    <x v="4"/>
    <s v="Indianapolis"/>
    <n v="9"/>
    <n v="2024"/>
  </r>
  <r>
    <x v="10"/>
    <s v="Brand"/>
    <n v="7"/>
    <x v="7"/>
    <s v="Bucky Irving"/>
    <n v="15.2"/>
    <n v="2024"/>
  </r>
  <r>
    <x v="4"/>
    <s v="Eli"/>
    <n v="7"/>
    <x v="0"/>
    <s v="Jalen Hurts"/>
    <n v="22.76"/>
    <n v="2024"/>
  </r>
  <r>
    <x v="4"/>
    <s v="Eli"/>
    <n v="7"/>
    <x v="1"/>
    <s v="Justin Jefferson"/>
    <n v="17.899999999999999"/>
    <n v="2024"/>
  </r>
  <r>
    <x v="4"/>
    <s v="Eli"/>
    <n v="7"/>
    <x v="1"/>
    <s v="Tre Tucker"/>
    <n v="6.2"/>
    <n v="2024"/>
  </r>
  <r>
    <x v="4"/>
    <s v="Eli"/>
    <n v="7"/>
    <x v="1"/>
    <s v="Xavier Legette"/>
    <n v="1.9"/>
    <n v="2024"/>
  </r>
  <r>
    <x v="4"/>
    <s v="Eli"/>
    <n v="7"/>
    <x v="2"/>
    <s v="Bijan Robinson"/>
    <n v="21.8"/>
    <n v="2024"/>
  </r>
  <r>
    <x v="4"/>
    <s v="Eli"/>
    <n v="7"/>
    <x v="2"/>
    <s v="Jordan Mason"/>
    <n v="7.9"/>
    <n v="2024"/>
  </r>
  <r>
    <x v="4"/>
    <s v="Eli"/>
    <n v="7"/>
    <x v="3"/>
    <s v="David Njoku"/>
    <n v="18.600000000000001"/>
    <n v="2024"/>
  </r>
  <r>
    <x v="4"/>
    <s v="Eli"/>
    <n v="7"/>
    <x v="5"/>
    <s v="Tyler Bass"/>
    <n v="10"/>
    <n v="2024"/>
  </r>
  <r>
    <x v="4"/>
    <s v="Eli"/>
    <n v="7"/>
    <x v="4"/>
    <s v="NYJ"/>
    <n v="-7"/>
    <n v="2024"/>
  </r>
  <r>
    <x v="4"/>
    <s v="Eli"/>
    <n v="7"/>
    <x v="8"/>
    <s v="Kyle Pitts"/>
    <n v="10"/>
    <n v="2024"/>
  </r>
  <r>
    <x v="3"/>
    <s v="Kevin"/>
    <n v="7"/>
    <x v="0"/>
    <s v="CJ Stroud"/>
    <n v="5.34"/>
    <n v="2024"/>
  </r>
  <r>
    <x v="3"/>
    <s v="Kevin"/>
    <n v="7"/>
    <x v="1"/>
    <s v="George Pickens"/>
    <n v="19.600000000000001"/>
    <n v="2024"/>
  </r>
  <r>
    <x v="3"/>
    <s v="Kevin"/>
    <n v="7"/>
    <x v="1"/>
    <s v="Jordan Addison"/>
    <n v="8.1"/>
    <n v="2024"/>
  </r>
  <r>
    <x v="3"/>
    <s v="Kevin"/>
    <n v="7"/>
    <x v="1"/>
    <s v="Marvin Harrison Jr"/>
    <n v="3.6"/>
    <n v="2024"/>
  </r>
  <r>
    <x v="3"/>
    <s v="Kevin"/>
    <n v="7"/>
    <x v="2"/>
    <s v="Joe Mixon"/>
    <n v="25.4"/>
    <n v="2024"/>
  </r>
  <r>
    <x v="3"/>
    <s v="Kevin"/>
    <n v="7"/>
    <x v="2"/>
    <s v="Najee Harris"/>
    <n v="16.2"/>
    <n v="2024"/>
  </r>
  <r>
    <x v="3"/>
    <s v="Kevin"/>
    <n v="7"/>
    <x v="3"/>
    <s v="Hunter Henry"/>
    <n v="13.2"/>
    <n v="2024"/>
  </r>
  <r>
    <x v="3"/>
    <s v="Kevin"/>
    <n v="7"/>
    <x v="5"/>
    <s v="Justin Tucker"/>
    <n v="13"/>
    <n v="2024"/>
  </r>
  <r>
    <x v="3"/>
    <s v="Kevin"/>
    <n v="7"/>
    <x v="4"/>
    <s v="LA Rams"/>
    <n v="16"/>
    <n v="2024"/>
  </r>
  <r>
    <x v="3"/>
    <s v="Kevin"/>
    <n v="7"/>
    <x v="7"/>
    <s v="Chuba Hubbard"/>
    <n v="11.2"/>
    <n v="2024"/>
  </r>
  <r>
    <x v="6"/>
    <s v="Will"/>
    <n v="7"/>
    <x v="0"/>
    <s v="Geno Smith"/>
    <n v="17.78"/>
    <n v="2024"/>
  </r>
  <r>
    <x v="6"/>
    <s v="Will"/>
    <n v="7"/>
    <x v="1"/>
    <s v="Drake London"/>
    <n v="15.3"/>
    <n v="2024"/>
  </r>
  <r>
    <x v="6"/>
    <s v="Will"/>
    <n v="7"/>
    <x v="1"/>
    <s v="Amon-Ra St. Brown"/>
    <n v="21.2"/>
    <n v="2024"/>
  </r>
  <r>
    <x v="6"/>
    <s v="Will"/>
    <n v="7"/>
    <x v="1"/>
    <s v="Ladd McConkey"/>
    <n v="7.1"/>
    <n v="2024"/>
  </r>
  <r>
    <x v="6"/>
    <s v="Will"/>
    <n v="7"/>
    <x v="2"/>
    <s v="Austin Ekeler"/>
    <n v="3"/>
    <n v="2024"/>
  </r>
  <r>
    <x v="6"/>
    <s v="Will"/>
    <n v="7"/>
    <x v="2"/>
    <s v="Zach Charbonnet"/>
    <n v="1.4"/>
    <n v="2024"/>
  </r>
  <r>
    <x v="6"/>
    <s v="Will"/>
    <n v="7"/>
    <x v="3"/>
    <s v="Travis Kelce"/>
    <n v="3.7"/>
    <n v="2024"/>
  </r>
  <r>
    <x v="6"/>
    <s v="Will"/>
    <n v="7"/>
    <x v="5"/>
    <s v="Jason Myers"/>
    <n v="12"/>
    <n v="2024"/>
  </r>
  <r>
    <x v="6"/>
    <s v="Will"/>
    <n v="7"/>
    <x v="4"/>
    <s v="Houston"/>
    <n v="10"/>
    <n v="2024"/>
  </r>
  <r>
    <x v="6"/>
    <s v="Will"/>
    <n v="7"/>
    <x v="6"/>
    <s v="Jaxon Smith-Njigba"/>
    <n v="3.8"/>
    <n v="2024"/>
  </r>
  <r>
    <x v="5"/>
    <s v="Burnett/Jasjaap"/>
    <n v="7"/>
    <x v="0"/>
    <s v="Brock Purdy"/>
    <n v="17.18"/>
    <n v="2024"/>
  </r>
  <r>
    <x v="5"/>
    <s v="Burnett/Jasjaap"/>
    <n v="7"/>
    <x v="1"/>
    <s v="Bub Means"/>
    <n v="5.2"/>
    <n v="2024"/>
  </r>
  <r>
    <x v="5"/>
    <s v="Burnett/Jasjaap"/>
    <n v="7"/>
    <x v="1"/>
    <s v="Alec Pierce"/>
    <n v="2.5"/>
    <n v="2024"/>
  </r>
  <r>
    <x v="5"/>
    <s v="Burnett/Jasjaap"/>
    <n v="7"/>
    <x v="1"/>
    <s v="Jaylen Waddle"/>
    <n v="1.6"/>
    <n v="2024"/>
  </r>
  <r>
    <x v="5"/>
    <s v="Burnett/Jasjaap"/>
    <n v="7"/>
    <x v="2"/>
    <s v="Josh Jacobs"/>
    <n v="17.7"/>
    <n v="2024"/>
  </r>
  <r>
    <x v="5"/>
    <s v="Burnett/Jasjaap"/>
    <n v="7"/>
    <x v="2"/>
    <s v="David Montgomery"/>
    <n v="6.5"/>
    <n v="2024"/>
  </r>
  <r>
    <x v="5"/>
    <s v="Burnett/Jasjaap"/>
    <n v="7"/>
    <x v="3"/>
    <s v="Brock Bowers"/>
    <n v="14.3"/>
    <n v="2024"/>
  </r>
  <r>
    <x v="5"/>
    <s v="Burnett/Jasjaap"/>
    <n v="7"/>
    <x v="5"/>
    <s v="Austin Seibert"/>
    <n v="17"/>
    <n v="2024"/>
  </r>
  <r>
    <x v="5"/>
    <s v="Burnett/Jasjaap"/>
    <n v="7"/>
    <x v="4"/>
    <s v="Philadelphia"/>
    <n v="18"/>
    <n v="2024"/>
  </r>
  <r>
    <x v="5"/>
    <s v="Burnett/Jasjaap"/>
    <n v="7"/>
    <x v="6"/>
    <s v="Jordan Whittington"/>
    <n v="0"/>
    <n v="2024"/>
  </r>
  <r>
    <x v="7"/>
    <s v="Jay"/>
    <n v="7"/>
    <x v="0"/>
    <s v="Lamar Jackson"/>
    <n v="34.44"/>
    <n v="2024"/>
  </r>
  <r>
    <x v="7"/>
    <s v="Jay"/>
    <n v="7"/>
    <x v="1"/>
    <s v="Tee Higgins"/>
    <n v="16.2"/>
    <n v="2024"/>
  </r>
  <r>
    <x v="7"/>
    <s v="Jay"/>
    <n v="7"/>
    <x v="1"/>
    <s v="Amari Cooper"/>
    <n v="14.6"/>
    <n v="2024"/>
  </r>
  <r>
    <x v="7"/>
    <s v="Jay"/>
    <n v="7"/>
    <x v="1"/>
    <s v="Stefon Diggs"/>
    <n v="4.8"/>
    <n v="2024"/>
  </r>
  <r>
    <x v="7"/>
    <s v="Jay"/>
    <n v="7"/>
    <x v="2"/>
    <s v="Tony Pollard"/>
    <n v="7.5"/>
    <n v="2024"/>
  </r>
  <r>
    <x v="7"/>
    <s v="Jay"/>
    <n v="7"/>
    <x v="2"/>
    <s v="Alvin Kamara"/>
    <n v="5.4"/>
    <n v="2024"/>
  </r>
  <r>
    <x v="7"/>
    <s v="Jay"/>
    <n v="7"/>
    <x v="3"/>
    <s v="Evan Engram"/>
    <n v="6"/>
    <n v="2024"/>
  </r>
  <r>
    <x v="7"/>
    <s v="Jay"/>
    <n v="7"/>
    <x v="5"/>
    <s v="Ka'imi Fairbairn"/>
    <n v="12"/>
    <n v="2024"/>
  </r>
  <r>
    <x v="7"/>
    <s v="Jay"/>
    <n v="7"/>
    <x v="4"/>
    <s v="Jacksonville"/>
    <n v="10"/>
    <n v="2024"/>
  </r>
  <r>
    <x v="7"/>
    <s v="Jay"/>
    <n v="7"/>
    <x v="7"/>
    <s v="Trey Sermon"/>
    <n v="5.4"/>
    <n v="2024"/>
  </r>
  <r>
    <x v="11"/>
    <s v="Cam"/>
    <n v="7"/>
    <x v="0"/>
    <s v="Joe Burrow"/>
    <n v="14.94"/>
    <n v="2024"/>
  </r>
  <r>
    <x v="11"/>
    <s v="Cam"/>
    <n v="7"/>
    <x v="1"/>
    <s v="Ja'Marr Chase"/>
    <n v="15.1"/>
    <n v="2024"/>
  </r>
  <r>
    <x v="11"/>
    <s v="Cam"/>
    <n v="7"/>
    <x v="1"/>
    <s v="Wan'Dale Robinson"/>
    <n v="5.3"/>
    <n v="2024"/>
  </r>
  <r>
    <x v="11"/>
    <s v="Cam"/>
    <n v="7"/>
    <x v="1"/>
    <s v="Brandon Aiyuk"/>
    <n v="3.3"/>
    <n v="2024"/>
  </r>
  <r>
    <x v="11"/>
    <s v="Cam"/>
    <n v="7"/>
    <x v="2"/>
    <s v="Aaron Jones"/>
    <n v="19.100000000000001"/>
    <n v="2024"/>
  </r>
  <r>
    <x v="11"/>
    <s v="Cam"/>
    <n v="7"/>
    <x v="2"/>
    <s v="JK Dobbins"/>
    <n v="8.1"/>
    <n v="2024"/>
  </r>
  <r>
    <x v="11"/>
    <s v="Cam"/>
    <n v="7"/>
    <x v="3"/>
    <s v="George Kittle"/>
    <n v="12.2"/>
    <n v="2024"/>
  </r>
  <r>
    <x v="11"/>
    <s v="Cam"/>
    <n v="7"/>
    <x v="5"/>
    <s v="Evan McPherson"/>
    <n v="3"/>
    <n v="2024"/>
  </r>
  <r>
    <x v="11"/>
    <s v="Cam"/>
    <n v="7"/>
    <x v="4"/>
    <s v="New Orleans"/>
    <n v="1"/>
    <n v="2024"/>
  </r>
  <r>
    <x v="11"/>
    <s v="Cam"/>
    <n v="7"/>
    <x v="7"/>
    <s v="Rhamondre Stevenson"/>
    <n v="3.5"/>
    <n v="2024"/>
  </r>
  <r>
    <x v="0"/>
    <s v="Brenton"/>
    <n v="8"/>
    <x v="0"/>
    <s v="Baker Mayfield"/>
    <n v="22.3"/>
    <n v="2024"/>
  </r>
  <r>
    <x v="0"/>
    <s v="Brenton"/>
    <n v="8"/>
    <x v="1"/>
    <s v="Zay Flowers"/>
    <n v="15"/>
    <n v="2024"/>
  </r>
  <r>
    <x v="0"/>
    <s v="Brenton"/>
    <n v="8"/>
    <x v="1"/>
    <s v="Courtland Sutton"/>
    <n v="13.12"/>
    <n v="2024"/>
  </r>
  <r>
    <x v="0"/>
    <s v="Brenton"/>
    <n v="8"/>
    <x v="1"/>
    <s v="Tyreek Hill"/>
    <n v="10.199999999999999"/>
    <n v="2024"/>
  </r>
  <r>
    <x v="0"/>
    <s v="Brenton"/>
    <n v="8"/>
    <x v="2"/>
    <s v="Tank Bigsby"/>
    <n v="9.6"/>
    <n v="2024"/>
  </r>
  <r>
    <x v="0"/>
    <s v="Brenton"/>
    <n v="8"/>
    <x v="2"/>
    <s v="Javonte Williams"/>
    <n v="7.2"/>
    <n v="2024"/>
  </r>
  <r>
    <x v="0"/>
    <s v="Brenton"/>
    <n v="8"/>
    <x v="3"/>
    <s v="Trey McBride"/>
    <n v="16.899999999999999"/>
    <n v="2024"/>
  </r>
  <r>
    <x v="0"/>
    <s v="Brenton"/>
    <n v="8"/>
    <x v="5"/>
    <s v="Will Reichard"/>
    <n v="8"/>
    <n v="2024"/>
  </r>
  <r>
    <x v="0"/>
    <s v="Brenton"/>
    <n v="8"/>
    <x v="4"/>
    <s v="Detroit"/>
    <n v="12"/>
    <n v="2024"/>
  </r>
  <r>
    <x v="0"/>
    <s v="Brenton"/>
    <n v="8"/>
    <x v="6"/>
    <s v="Jayden Reed"/>
    <n v="6.5"/>
    <n v="2024"/>
  </r>
  <r>
    <x v="8"/>
    <s v="Schulwolf"/>
    <n v="8"/>
    <x v="0"/>
    <s v="Jordan Love"/>
    <n v="5.74"/>
    <n v="2024"/>
  </r>
  <r>
    <x v="8"/>
    <s v="Schulwolf"/>
    <n v="8"/>
    <x v="1"/>
    <s v="Terry McLaurin"/>
    <n v="15"/>
    <n v="2024"/>
  </r>
  <r>
    <x v="8"/>
    <s v="Schulwolf"/>
    <n v="8"/>
    <x v="1"/>
    <s v="Devonta Smith"/>
    <n v="17.5"/>
    <n v="2024"/>
  </r>
  <r>
    <x v="8"/>
    <s v="Schulwolf"/>
    <n v="8"/>
    <x v="1"/>
    <s v="Cooper Kupp"/>
    <n v="13.6"/>
    <n v="2024"/>
  </r>
  <r>
    <x v="8"/>
    <s v="Schulwolf"/>
    <n v="8"/>
    <x v="2"/>
    <s v="Jahmyr Gibbs"/>
    <n v="19.8"/>
    <n v="2024"/>
  </r>
  <r>
    <x v="8"/>
    <s v="Schulwolf"/>
    <n v="8"/>
    <x v="2"/>
    <s v="James Cook"/>
    <n v="26.8"/>
    <n v="2024"/>
  </r>
  <r>
    <x v="8"/>
    <s v="Schulwolf"/>
    <n v="8"/>
    <x v="3"/>
    <s v="Dalton Kincaid"/>
    <n v="11.1"/>
    <n v="2024"/>
  </r>
  <r>
    <x v="8"/>
    <s v="Schulwolf"/>
    <n v="8"/>
    <x v="5"/>
    <s v="Brandon Aubrey"/>
    <n v="6"/>
    <n v="2024"/>
  </r>
  <r>
    <x v="8"/>
    <s v="Schulwolf"/>
    <n v="8"/>
    <x v="4"/>
    <s v="Denver"/>
    <n v="8"/>
    <n v="2024"/>
  </r>
  <r>
    <x v="8"/>
    <s v="Schulwolf"/>
    <n v="8"/>
    <x v="6"/>
    <s v="Tyler Lockett"/>
    <n v="1.4"/>
    <n v="2024"/>
  </r>
  <r>
    <x v="2"/>
    <s v="Mike"/>
    <n v="8"/>
    <x v="0"/>
    <s v="Tua Tagovailoa"/>
    <n v="14.66"/>
    <n v="2024"/>
  </r>
  <r>
    <x v="2"/>
    <s v="Mike"/>
    <n v="8"/>
    <x v="1"/>
    <s v="Khalil Shakir"/>
    <n v="15.4"/>
    <n v="2024"/>
  </r>
  <r>
    <x v="2"/>
    <s v="Mike"/>
    <n v="8"/>
    <x v="1"/>
    <s v="Tank Dell"/>
    <n v="11.5"/>
    <n v="2024"/>
  </r>
  <r>
    <x v="2"/>
    <s v="Mike"/>
    <n v="8"/>
    <x v="1"/>
    <s v="Davante Adams"/>
    <n v="7.4"/>
    <n v="2024"/>
  </r>
  <r>
    <x v="2"/>
    <s v="Mike"/>
    <n v="8"/>
    <x v="2"/>
    <s v="Derrick Henry"/>
    <n v="14.2"/>
    <n v="2024"/>
  </r>
  <r>
    <x v="2"/>
    <s v="Mike"/>
    <n v="8"/>
    <x v="2"/>
    <s v="Kareem Hunt"/>
    <n v="12.8"/>
    <n v="2024"/>
  </r>
  <r>
    <x v="2"/>
    <s v="Mike"/>
    <n v="8"/>
    <x v="3"/>
    <s v="Jake Ferguson"/>
    <n v="5.3"/>
    <n v="2024"/>
  </r>
  <r>
    <x v="2"/>
    <s v="Mike"/>
    <n v="8"/>
    <x v="5"/>
    <s v="Younghoe Koo"/>
    <n v="6"/>
    <n v="2024"/>
  </r>
  <r>
    <x v="2"/>
    <s v="Mike"/>
    <n v="8"/>
    <x v="4"/>
    <s v="Buffalo"/>
    <n v="10"/>
    <n v="2024"/>
  </r>
  <r>
    <x v="2"/>
    <s v="Mike"/>
    <n v="8"/>
    <x v="7"/>
    <s v="Nick Chubb"/>
    <n v="5.2"/>
    <n v="2024"/>
  </r>
  <r>
    <x v="10"/>
    <s v="Brand"/>
    <n v="8"/>
    <x v="0"/>
    <s v="Anthony Richardson"/>
    <n v="11.5"/>
    <n v="2024"/>
  </r>
  <r>
    <x v="10"/>
    <s v="Brand"/>
    <n v="8"/>
    <x v="1"/>
    <s v="Garrett Wilson"/>
    <n v="13.8"/>
    <n v="2024"/>
  </r>
  <r>
    <x v="10"/>
    <s v="Brand"/>
    <n v="8"/>
    <x v="1"/>
    <s v="Keenan Allen"/>
    <n v="4.9000000000000004"/>
    <n v="2024"/>
  </r>
  <r>
    <x v="10"/>
    <s v="Brand"/>
    <n v="8"/>
    <x v="1"/>
    <s v="Michael Pittman"/>
    <n v="2.1"/>
    <n v="2024"/>
  </r>
  <r>
    <x v="10"/>
    <s v="Brand"/>
    <n v="8"/>
    <x v="2"/>
    <s v="Bucky Irving"/>
    <n v="11.9"/>
    <n v="2024"/>
  </r>
  <r>
    <x v="10"/>
    <s v="Brand"/>
    <n v="8"/>
    <x v="2"/>
    <s v="Breece Hall"/>
    <n v="9.4"/>
    <n v="2024"/>
  </r>
  <r>
    <x v="10"/>
    <s v="Brand"/>
    <n v="8"/>
    <x v="3"/>
    <s v="Taysom Hill"/>
    <n v="5.22"/>
    <n v="2024"/>
  </r>
  <r>
    <x v="10"/>
    <s v="Brand"/>
    <n v="8"/>
    <x v="5"/>
    <s v="Cameron Dicker"/>
    <n v="8"/>
    <n v="2024"/>
  </r>
  <r>
    <x v="10"/>
    <s v="Brand"/>
    <n v="8"/>
    <x v="4"/>
    <s v="San Francisco"/>
    <n v="7"/>
    <n v="2024"/>
  </r>
  <r>
    <x v="10"/>
    <s v="Brand"/>
    <n v="8"/>
    <x v="7"/>
    <s v="Kenneth Walker"/>
    <n v="6.5"/>
    <n v="2024"/>
  </r>
  <r>
    <x v="1"/>
    <s v="Todd"/>
    <n v="8"/>
    <x v="0"/>
    <s v="Sam Darnold"/>
    <n v="18.2"/>
    <n v="2024"/>
  </r>
  <r>
    <x v="1"/>
    <s v="Todd"/>
    <n v="8"/>
    <x v="1"/>
    <s v="Darnell Mooney"/>
    <n v="16.600000000000001"/>
    <n v="2024"/>
  </r>
  <r>
    <x v="1"/>
    <s v="Todd"/>
    <n v="8"/>
    <x v="1"/>
    <s v="Brian Thomas Jr"/>
    <n v="13.5"/>
    <n v="2024"/>
  </r>
  <r>
    <x v="1"/>
    <s v="Todd"/>
    <n v="8"/>
    <x v="1"/>
    <s v="AJ Brown"/>
    <n v="10.9"/>
    <n v="2024"/>
  </r>
  <r>
    <x v="1"/>
    <s v="Todd"/>
    <n v="8"/>
    <x v="2"/>
    <s v="De'Von Achane"/>
    <n v="23.7"/>
    <n v="2024"/>
  </r>
  <r>
    <x v="1"/>
    <s v="Todd"/>
    <n v="8"/>
    <x v="2"/>
    <s v="James Conner"/>
    <n v="13.9"/>
    <n v="2024"/>
  </r>
  <r>
    <x v="1"/>
    <s v="Todd"/>
    <n v="8"/>
    <x v="3"/>
    <s v="Tucker Kraft"/>
    <n v="15.3"/>
    <n v="2024"/>
  </r>
  <r>
    <x v="1"/>
    <s v="Todd"/>
    <n v="8"/>
    <x v="5"/>
    <s v="Chris Boswell"/>
    <n v="14"/>
    <n v="2024"/>
  </r>
  <r>
    <x v="1"/>
    <s v="Todd"/>
    <n v="8"/>
    <x v="4"/>
    <s v="LA Chargers"/>
    <n v="11"/>
    <n v="2024"/>
  </r>
  <r>
    <x v="1"/>
    <s v="Todd"/>
    <n v="8"/>
    <x v="6"/>
    <s v="Deebo Samuel"/>
    <n v="10.6"/>
    <n v="2024"/>
  </r>
  <r>
    <x v="5"/>
    <s v="Burnett/Jasjaap"/>
    <n v="8"/>
    <x v="0"/>
    <s v="Brock Purdy"/>
    <n v="26"/>
    <n v="2024"/>
  </r>
  <r>
    <x v="5"/>
    <s v="Burnett/Jasjaap"/>
    <n v="8"/>
    <x v="1"/>
    <s v="CeeDee Lamb"/>
    <n v="33.1"/>
    <n v="2024"/>
  </r>
  <r>
    <x v="5"/>
    <s v="Burnett/Jasjaap"/>
    <n v="8"/>
    <x v="1"/>
    <s v="Jerry Jeudy"/>
    <n v="10.4"/>
    <n v="2024"/>
  </r>
  <r>
    <x v="5"/>
    <s v="Burnett/Jasjaap"/>
    <n v="8"/>
    <x v="1"/>
    <s v="Ricky Pearsall"/>
    <n v="9.6999999999999993"/>
    <n v="2024"/>
  </r>
  <r>
    <x v="5"/>
    <s v="Burnett/Jasjaap"/>
    <n v="8"/>
    <x v="2"/>
    <s v="Josh Jacobs"/>
    <n v="25"/>
    <n v="2024"/>
  </r>
  <r>
    <x v="5"/>
    <s v="Burnett/Jasjaap"/>
    <n v="8"/>
    <x v="2"/>
    <s v="David Montgomery"/>
    <n v="14.42"/>
    <n v="2024"/>
  </r>
  <r>
    <x v="5"/>
    <s v="Burnett/Jasjaap"/>
    <n v="8"/>
    <x v="3"/>
    <s v="Brock Bowers"/>
    <n v="8.3000000000000007"/>
    <n v="2024"/>
  </r>
  <r>
    <x v="5"/>
    <s v="Burnett/Jasjaap"/>
    <n v="8"/>
    <x v="5"/>
    <s v="Austin Seibert"/>
    <n v="13"/>
    <n v="2024"/>
  </r>
  <r>
    <x v="5"/>
    <s v="Burnett/Jasjaap"/>
    <n v="8"/>
    <x v="4"/>
    <s v="Kansas City"/>
    <n v="9"/>
    <n v="2024"/>
  </r>
  <r>
    <x v="5"/>
    <s v="Burnett/Jasjaap"/>
    <n v="8"/>
    <x v="6"/>
    <s v="Jaylen Waddle"/>
    <n v="6.5"/>
    <n v="2024"/>
  </r>
  <r>
    <x v="4"/>
    <s v="Eli"/>
    <n v="8"/>
    <x v="0"/>
    <s v="Jalen Hurts"/>
    <n v="35.14"/>
    <n v="2024"/>
  </r>
  <r>
    <x v="4"/>
    <s v="Eli"/>
    <n v="8"/>
    <x v="1"/>
    <s v="Justin Jefferson"/>
    <n v="15.5"/>
    <n v="2024"/>
  </r>
  <r>
    <x v="4"/>
    <s v="Eli"/>
    <n v="8"/>
    <x v="1"/>
    <s v="Jalen McMillan"/>
    <n v="7.2"/>
    <n v="2024"/>
  </r>
  <r>
    <x v="4"/>
    <s v="Eli"/>
    <n v="8"/>
    <x v="1"/>
    <s v="DJ Moore"/>
    <n v="4.4000000000000004"/>
    <n v="2024"/>
  </r>
  <r>
    <x v="4"/>
    <s v="Eli"/>
    <n v="8"/>
    <x v="2"/>
    <s v="Bijan Robinson"/>
    <n v="20.100000000000001"/>
    <n v="2024"/>
  </r>
  <r>
    <x v="4"/>
    <s v="Eli"/>
    <n v="8"/>
    <x v="2"/>
    <s v="Jordan Mason"/>
    <n v="1.8"/>
    <n v="2024"/>
  </r>
  <r>
    <x v="4"/>
    <s v="Eli"/>
    <n v="8"/>
    <x v="3"/>
    <s v="Kyle Pitts"/>
    <n v="23.1"/>
    <n v="2024"/>
  </r>
  <r>
    <x v="4"/>
    <s v="Eli"/>
    <n v="8"/>
    <x v="5"/>
    <s v="Tyler Bass"/>
    <n v="7"/>
    <n v="2024"/>
  </r>
  <r>
    <x v="4"/>
    <s v="Eli"/>
    <n v="8"/>
    <x v="4"/>
    <s v="NYJ"/>
    <n v="3"/>
    <n v="2024"/>
  </r>
  <r>
    <x v="4"/>
    <s v="Eli"/>
    <n v="8"/>
    <x v="8"/>
    <s v="David Njoku"/>
    <n v="14.6"/>
    <n v="2024"/>
  </r>
  <r>
    <x v="11"/>
    <s v="Cam"/>
    <n v="8"/>
    <x v="0"/>
    <s v="Joe Burrow"/>
    <n v="12.86"/>
    <n v="2024"/>
  </r>
  <r>
    <x v="11"/>
    <s v="Cam"/>
    <n v="8"/>
    <x v="1"/>
    <s v="Ja'Marr Chase"/>
    <n v="15.9"/>
    <n v="2024"/>
  </r>
  <r>
    <x v="11"/>
    <s v="Cam"/>
    <n v="8"/>
    <x v="1"/>
    <s v="Jakobi Meyers"/>
    <n v="14.2"/>
    <n v="2024"/>
  </r>
  <r>
    <x v="11"/>
    <s v="Cam"/>
    <n v="8"/>
    <x v="1"/>
    <s v="Wan'Dale Robinson"/>
    <n v="5.5"/>
    <n v="2024"/>
  </r>
  <r>
    <x v="11"/>
    <s v="Cam"/>
    <n v="8"/>
    <x v="2"/>
    <s v="D'Andre Swift"/>
    <n v="18.899999999999999"/>
    <n v="2024"/>
  </r>
  <r>
    <x v="11"/>
    <s v="Cam"/>
    <n v="8"/>
    <x v="2"/>
    <s v="JK Dobbins"/>
    <n v="14.8"/>
    <n v="2024"/>
  </r>
  <r>
    <x v="11"/>
    <s v="Cam"/>
    <n v="8"/>
    <x v="3"/>
    <s v="George Kittle"/>
    <n v="21.8"/>
    <n v="2024"/>
  </r>
  <r>
    <x v="11"/>
    <s v="Cam"/>
    <n v="8"/>
    <x v="5"/>
    <s v="Evan McPherson"/>
    <n v="5"/>
    <n v="2024"/>
  </r>
  <r>
    <x v="11"/>
    <s v="Cam"/>
    <n v="8"/>
    <x v="4"/>
    <s v="Green Bay"/>
    <n v="4"/>
    <n v="2024"/>
  </r>
  <r>
    <x v="11"/>
    <s v="Cam"/>
    <n v="8"/>
    <x v="7"/>
    <s v="Aaron Jones"/>
    <n v="10.5"/>
    <n v="2024"/>
  </r>
  <r>
    <x v="6"/>
    <s v="Will"/>
    <n v="8"/>
    <x v="0"/>
    <s v="Caleb Williams"/>
    <n v="9.94"/>
    <n v="2024"/>
  </r>
  <r>
    <x v="6"/>
    <s v="Will"/>
    <n v="8"/>
    <x v="1"/>
    <s v="Ladd McConkey"/>
    <n v="26.1"/>
    <n v="2024"/>
  </r>
  <r>
    <x v="6"/>
    <s v="Will"/>
    <n v="8"/>
    <x v="1"/>
    <s v="Jaxon Smith-Njigba"/>
    <n v="9.9"/>
    <n v="2024"/>
  </r>
  <r>
    <x v="6"/>
    <s v="Will"/>
    <n v="8"/>
    <x v="1"/>
    <s v="Amon-Ra St. Brown"/>
    <n v="7.7"/>
    <n v="2024"/>
  </r>
  <r>
    <x v="6"/>
    <s v="Will"/>
    <n v="8"/>
    <x v="2"/>
    <s v="Austin Ekeler"/>
    <n v="6.8"/>
    <n v="2024"/>
  </r>
  <r>
    <x v="6"/>
    <s v="Will"/>
    <n v="8"/>
    <x v="2"/>
    <s v="D'Ernest Johnson"/>
    <n v="2.8"/>
    <n v="2024"/>
  </r>
  <r>
    <x v="6"/>
    <s v="Will"/>
    <n v="8"/>
    <x v="3"/>
    <s v="Travis Kelce"/>
    <n v="20"/>
    <n v="2024"/>
  </r>
  <r>
    <x v="6"/>
    <s v="Will"/>
    <n v="8"/>
    <x v="5"/>
    <s v="Jason Myers"/>
    <n v="4"/>
    <n v="2024"/>
  </r>
  <r>
    <x v="6"/>
    <s v="Will"/>
    <n v="8"/>
    <x v="4"/>
    <s v="Houston"/>
    <n v="9"/>
    <n v="2024"/>
  </r>
  <r>
    <x v="6"/>
    <s v="Will"/>
    <n v="8"/>
    <x v="6"/>
    <s v="Drake London"/>
    <n v="5.4"/>
    <n v="2024"/>
  </r>
  <r>
    <x v="3"/>
    <s v="Kevin"/>
    <n v="8"/>
    <x v="0"/>
    <s v="CJ Stroud"/>
    <n v="12.4"/>
    <n v="2024"/>
  </r>
  <r>
    <x v="3"/>
    <s v="Kevin"/>
    <n v="8"/>
    <x v="1"/>
    <s v="Marvin Harrison Jr"/>
    <n v="20.100000000000001"/>
    <n v="2024"/>
  </r>
  <r>
    <x v="3"/>
    <s v="Kevin"/>
    <n v="8"/>
    <x v="1"/>
    <s v="George Pickens"/>
    <n v="9.4"/>
    <n v="2024"/>
  </r>
  <r>
    <x v="3"/>
    <s v="Kevin"/>
    <n v="8"/>
    <x v="1"/>
    <s v="Jordan Addison"/>
    <n v="3.2"/>
    <n v="2024"/>
  </r>
  <r>
    <x v="3"/>
    <s v="Kevin"/>
    <n v="8"/>
    <x v="2"/>
    <s v="Joe Mixon"/>
    <n v="21.4"/>
    <n v="2024"/>
  </r>
  <r>
    <x v="3"/>
    <s v="Kevin"/>
    <n v="8"/>
    <x v="2"/>
    <s v="Najee Harris"/>
    <n v="14.6"/>
    <n v="2024"/>
  </r>
  <r>
    <x v="3"/>
    <s v="Kevin"/>
    <n v="8"/>
    <x v="3"/>
    <s v="Hunter Henry"/>
    <n v="7"/>
    <n v="2024"/>
  </r>
  <r>
    <x v="3"/>
    <s v="Kevin"/>
    <n v="8"/>
    <x v="5"/>
    <s v="Justin Tucker"/>
    <n v="7"/>
    <n v="2024"/>
  </r>
  <r>
    <x v="3"/>
    <s v="Kevin"/>
    <n v="8"/>
    <x v="4"/>
    <s v="NY Giants"/>
    <n v="2"/>
    <n v="2024"/>
  </r>
  <r>
    <x v="3"/>
    <s v="Kevin"/>
    <n v="8"/>
    <x v="7"/>
    <s v="Chuba Hubbard"/>
    <n v="8.1"/>
    <n v="2024"/>
  </r>
  <r>
    <x v="7"/>
    <s v="Jay"/>
    <n v="8"/>
    <x v="0"/>
    <s v="Lamar Jackson"/>
    <n v="24.16"/>
    <n v="2024"/>
  </r>
  <r>
    <x v="7"/>
    <s v="Jay"/>
    <n v="8"/>
    <x v="1"/>
    <s v="Stefon Diggs"/>
    <n v="10.199999999999999"/>
    <n v="2024"/>
  </r>
  <r>
    <x v="7"/>
    <s v="Jay"/>
    <n v="8"/>
    <x v="1"/>
    <s v="Christian Kirk"/>
    <n v="6.9"/>
    <n v="2024"/>
  </r>
  <r>
    <x v="7"/>
    <s v="Jay"/>
    <n v="8"/>
    <x v="1"/>
    <s v="Amari Cooper"/>
    <n v="0.8"/>
    <n v="2024"/>
  </r>
  <r>
    <x v="7"/>
    <s v="Jay"/>
    <n v="8"/>
    <x v="2"/>
    <s v="Jonathan Taylor"/>
    <n v="18.2"/>
    <n v="2024"/>
  </r>
  <r>
    <x v="7"/>
    <s v="Jay"/>
    <n v="8"/>
    <x v="2"/>
    <s v="Alvin Kamara"/>
    <n v="15.2"/>
    <n v="2024"/>
  </r>
  <r>
    <x v="7"/>
    <s v="Jay"/>
    <n v="8"/>
    <x v="3"/>
    <s v="Evan Engram"/>
    <n v="11.6"/>
    <n v="2024"/>
  </r>
  <r>
    <x v="7"/>
    <s v="Jay"/>
    <n v="8"/>
    <x v="5"/>
    <s v="Ka'imi Fairbairn"/>
    <n v="11"/>
    <n v="2024"/>
  </r>
  <r>
    <x v="7"/>
    <s v="Jay"/>
    <n v="8"/>
    <x v="4"/>
    <s v="Miami"/>
    <n v="-1"/>
    <n v="2024"/>
  </r>
  <r>
    <x v="7"/>
    <s v="Jay"/>
    <n v="8"/>
    <x v="7"/>
    <s v="Brian Robinson"/>
    <n v="8.1"/>
    <n v="2024"/>
  </r>
  <r>
    <x v="9"/>
    <s v="Tommy"/>
    <n v="8"/>
    <x v="0"/>
    <s v="Josh Allen"/>
    <n v="19.82"/>
    <n v="2024"/>
  </r>
  <r>
    <x v="9"/>
    <s v="Tommy"/>
    <n v="8"/>
    <x v="1"/>
    <s v="Malik Nabers"/>
    <n v="10.6"/>
    <n v="2024"/>
  </r>
  <r>
    <x v="9"/>
    <s v="Tommy"/>
    <n v="8"/>
    <x v="1"/>
    <s v="Xavier Worthy"/>
    <n v="11.7"/>
    <n v="2024"/>
  </r>
  <r>
    <x v="9"/>
    <s v="Tommy"/>
    <n v="8"/>
    <x v="1"/>
    <s v="Romeo Doubs"/>
    <n v="8.6999999999999993"/>
    <n v="2024"/>
  </r>
  <r>
    <x v="9"/>
    <s v="Tommy"/>
    <n v="8"/>
    <x v="2"/>
    <s v="Kyren Williams"/>
    <n v="20.100000000000001"/>
    <n v="2024"/>
  </r>
  <r>
    <x v="9"/>
    <s v="Tommy"/>
    <n v="8"/>
    <x v="2"/>
    <s v="Rachaad White"/>
    <n v="13.2"/>
    <n v="2024"/>
  </r>
  <r>
    <x v="9"/>
    <s v="Tommy"/>
    <n v="8"/>
    <x v="3"/>
    <s v="Mark Andrews"/>
    <n v="12.1"/>
    <n v="2024"/>
  </r>
  <r>
    <x v="9"/>
    <s v="Tommy"/>
    <n v="8"/>
    <x v="5"/>
    <s v="Harrison Butker"/>
    <n v="10"/>
    <n v="2024"/>
  </r>
  <r>
    <x v="9"/>
    <s v="Tommy"/>
    <n v="8"/>
    <x v="4"/>
    <s v="Minnesota"/>
    <n v="0"/>
    <n v="2024"/>
  </r>
  <r>
    <x v="9"/>
    <s v="Tommy"/>
    <n v="8"/>
    <x v="7"/>
    <s v="Saquon Barkley"/>
    <n v="11.6"/>
    <n v="2024"/>
  </r>
  <r>
    <x v="0"/>
    <s v="Brenton"/>
    <n v="9"/>
    <x v="0"/>
    <s v="Baker Mayfield"/>
    <n v="18"/>
    <n v="2024"/>
  </r>
  <r>
    <x v="0"/>
    <s v="Brenton"/>
    <n v="9"/>
    <x v="1"/>
    <s v="Courtland Sutton"/>
    <n v="19.78"/>
    <n v="2024"/>
  </r>
  <r>
    <x v="0"/>
    <s v="Brenton"/>
    <n v="9"/>
    <x v="1"/>
    <s v="Cedric Tillman"/>
    <n v="16.5"/>
    <n v="2024"/>
  </r>
  <r>
    <x v="0"/>
    <s v="Brenton"/>
    <n v="9"/>
    <x v="1"/>
    <s v="Jayden Reed"/>
    <n v="13.8"/>
    <n v="2024"/>
  </r>
  <r>
    <x v="0"/>
    <s v="Brenton"/>
    <n v="9"/>
    <x v="2"/>
    <s v="Javonte Williams"/>
    <n v="9.4"/>
    <n v="2024"/>
  </r>
  <r>
    <x v="0"/>
    <s v="Brenton"/>
    <n v="9"/>
    <x v="2"/>
    <s v="Tyrone Tracy"/>
    <n v="7.4"/>
    <n v="2024"/>
  </r>
  <r>
    <x v="0"/>
    <s v="Brenton"/>
    <n v="9"/>
    <x v="3"/>
    <s v="Trey McBride"/>
    <n v="11.2"/>
    <n v="2024"/>
  </r>
  <r>
    <x v="0"/>
    <s v="Brenton"/>
    <n v="9"/>
    <x v="5"/>
    <s v="Will Reichard"/>
    <n v="2"/>
    <n v="2024"/>
  </r>
  <r>
    <x v="0"/>
    <s v="Brenton"/>
    <n v="9"/>
    <x v="4"/>
    <s v="Baltimore"/>
    <n v="9"/>
    <n v="2024"/>
  </r>
  <r>
    <x v="0"/>
    <s v="Brenton"/>
    <n v="9"/>
    <x v="6"/>
    <s v="Tyreek Hill"/>
    <n v="10"/>
    <n v="2024"/>
  </r>
  <r>
    <x v="10"/>
    <s v="Brand"/>
    <n v="9"/>
    <x v="0"/>
    <s v="Kirk Cousins"/>
    <n v="17.78"/>
    <n v="2024"/>
  </r>
  <r>
    <x v="10"/>
    <s v="Brand"/>
    <n v="9"/>
    <x v="1"/>
    <s v="Garrett Wilson"/>
    <n v="25.5"/>
    <n v="2024"/>
  </r>
  <r>
    <x v="10"/>
    <s v="Brand"/>
    <n v="9"/>
    <x v="1"/>
    <s v="Keenan Allen"/>
    <n v="5.6"/>
    <n v="2024"/>
  </r>
  <r>
    <x v="10"/>
    <s v="Brand"/>
    <n v="9"/>
    <x v="1"/>
    <s v="Michael Pittman"/>
    <n v="1.9"/>
    <n v="2024"/>
  </r>
  <r>
    <x v="10"/>
    <s v="Brand"/>
    <n v="9"/>
    <x v="2"/>
    <s v="Kenneth Walker"/>
    <n v="12.2"/>
    <n v="2024"/>
  </r>
  <r>
    <x v="10"/>
    <s v="Brand"/>
    <n v="9"/>
    <x v="2"/>
    <s v="Breece Hall"/>
    <n v="9.5"/>
    <n v="2024"/>
  </r>
  <r>
    <x v="10"/>
    <s v="Brand"/>
    <n v="9"/>
    <x v="3"/>
    <s v="Taysom Hill"/>
    <n v="14"/>
    <n v="2024"/>
  </r>
  <r>
    <x v="10"/>
    <s v="Brand"/>
    <n v="9"/>
    <x v="5"/>
    <s v="Cameron Dicker"/>
    <n v="1"/>
    <n v="2024"/>
  </r>
  <r>
    <x v="10"/>
    <s v="Brand"/>
    <n v="9"/>
    <x v="4"/>
    <s v="LA Chargers"/>
    <n v="19"/>
    <n v="2024"/>
  </r>
  <r>
    <x v="10"/>
    <s v="Brand"/>
    <n v="9"/>
    <x v="7"/>
    <s v="Bucky Irving"/>
    <n v="4.9000000000000004"/>
    <n v="2024"/>
  </r>
  <r>
    <x v="2"/>
    <s v="Mike"/>
    <n v="9"/>
    <x v="0"/>
    <s v="Patrick Mahomes"/>
    <n v="24.54"/>
    <n v="2024"/>
  </r>
  <r>
    <x v="2"/>
    <s v="Mike"/>
    <n v="9"/>
    <x v="1"/>
    <s v="Davante Adams"/>
    <n v="18.600000000000001"/>
    <n v="2024"/>
  </r>
  <r>
    <x v="2"/>
    <s v="Mike"/>
    <n v="9"/>
    <x v="1"/>
    <s v="Tank Dell"/>
    <n v="15.6"/>
    <n v="2024"/>
  </r>
  <r>
    <x v="2"/>
    <s v="Mike"/>
    <n v="9"/>
    <x v="1"/>
    <s v="Khalil Shakir"/>
    <n v="8"/>
    <n v="2024"/>
  </r>
  <r>
    <x v="2"/>
    <s v="Mike"/>
    <n v="9"/>
    <x v="2"/>
    <s v="Derrick Henry"/>
    <n v="25.8"/>
    <n v="2024"/>
  </r>
  <r>
    <x v="2"/>
    <s v="Mike"/>
    <n v="9"/>
    <x v="2"/>
    <s v="Kareem Hunt"/>
    <n v="18.2"/>
    <n v="2024"/>
  </r>
  <r>
    <x v="2"/>
    <s v="Mike"/>
    <n v="9"/>
    <x v="3"/>
    <s v="Sam LaPorta"/>
    <n v="3.8"/>
    <n v="2024"/>
  </r>
  <r>
    <x v="2"/>
    <s v="Mike"/>
    <n v="9"/>
    <x v="5"/>
    <s v="Younghoe Koo"/>
    <n v="3"/>
    <n v="2024"/>
  </r>
  <r>
    <x v="2"/>
    <s v="Mike"/>
    <n v="9"/>
    <x v="4"/>
    <s v="Buffalo"/>
    <n v="2"/>
    <n v="2024"/>
  </r>
  <r>
    <x v="2"/>
    <s v="Mike"/>
    <n v="9"/>
    <x v="7"/>
    <s v="Nick Chubb"/>
    <n v="4"/>
    <n v="2024"/>
  </r>
  <r>
    <x v="5"/>
    <s v="Burnett/Jasjaap"/>
    <n v="9"/>
    <x v="0"/>
    <s v="Bo Nix"/>
    <n v="17.22"/>
    <n v="2024"/>
  </r>
  <r>
    <x v="5"/>
    <s v="Burnett/Jasjaap"/>
    <n v="9"/>
    <x v="1"/>
    <s v="CeeDee Lamb"/>
    <n v="12.2"/>
    <n v="2024"/>
  </r>
  <r>
    <x v="5"/>
    <s v="Burnett/Jasjaap"/>
    <n v="9"/>
    <x v="1"/>
    <s v="Jaylen Waddle"/>
    <n v="6.6"/>
    <n v="2024"/>
  </r>
  <r>
    <x v="5"/>
    <s v="Burnett/Jasjaap"/>
    <n v="9"/>
    <x v="1"/>
    <s v="Jerry Jeudy"/>
    <n v="10.8"/>
    <n v="2024"/>
  </r>
  <r>
    <x v="5"/>
    <s v="Burnett/Jasjaap"/>
    <n v="9"/>
    <x v="2"/>
    <s v="Josh Jacobs"/>
    <n v="11.8"/>
    <n v="2024"/>
  </r>
  <r>
    <x v="5"/>
    <s v="Burnett/Jasjaap"/>
    <n v="9"/>
    <x v="2"/>
    <s v="David Montgomery"/>
    <n v="11.1"/>
    <n v="2024"/>
  </r>
  <r>
    <x v="5"/>
    <s v="Burnett/Jasjaap"/>
    <n v="9"/>
    <x v="3"/>
    <s v="Brock Bowers"/>
    <n v="13"/>
    <n v="2024"/>
  </r>
  <r>
    <x v="5"/>
    <s v="Burnett/Jasjaap"/>
    <n v="9"/>
    <x v="5"/>
    <s v="Austin Seibert"/>
    <n v="9"/>
    <n v="2024"/>
  </r>
  <r>
    <x v="5"/>
    <s v="Burnett/Jasjaap"/>
    <n v="9"/>
    <x v="4"/>
    <s v="Kansas City"/>
    <n v="3"/>
    <n v="2024"/>
  </r>
  <r>
    <x v="5"/>
    <s v="Burnett/Jasjaap"/>
    <n v="9"/>
    <x v="6"/>
    <s v="Puka Nacua"/>
    <n v="1.6"/>
    <n v="2024"/>
  </r>
  <r>
    <x v="1"/>
    <s v="Todd"/>
    <n v="9"/>
    <x v="0"/>
    <s v="Sam Darnold"/>
    <n v="19"/>
    <n v="2024"/>
  </r>
  <r>
    <x v="1"/>
    <s v="Todd"/>
    <n v="9"/>
    <x v="1"/>
    <s v="Darnell Mooney"/>
    <n v="17.3"/>
    <n v="2024"/>
  </r>
  <r>
    <x v="1"/>
    <s v="Todd"/>
    <n v="9"/>
    <x v="1"/>
    <s v="AJ Brown"/>
    <n v="4.5999999999999996"/>
    <n v="2024"/>
  </r>
  <r>
    <x v="1"/>
    <s v="Todd"/>
    <n v="9"/>
    <x v="1"/>
    <s v="Brian Thomas Jr"/>
    <n v="5.2"/>
    <n v="2024"/>
  </r>
  <r>
    <x v="1"/>
    <s v="Todd"/>
    <n v="9"/>
    <x v="2"/>
    <s v="De'Von Achane"/>
    <n v="28.1"/>
    <n v="2024"/>
  </r>
  <r>
    <x v="1"/>
    <s v="Todd"/>
    <n v="9"/>
    <x v="2"/>
    <s v="James Conner"/>
    <n v="13.4"/>
    <n v="2024"/>
  </r>
  <r>
    <x v="1"/>
    <s v="Todd"/>
    <n v="9"/>
    <x v="3"/>
    <s v="Tucker Kraft"/>
    <n v="5.6"/>
    <n v="2024"/>
  </r>
  <r>
    <x v="1"/>
    <s v="Todd"/>
    <n v="9"/>
    <x v="5"/>
    <s v="Jake Elliott"/>
    <n v="5"/>
    <n v="2024"/>
  </r>
  <r>
    <x v="1"/>
    <s v="Todd"/>
    <n v="9"/>
    <x v="4"/>
    <s v="New Orleans"/>
    <n v="4"/>
    <n v="2024"/>
  </r>
  <r>
    <x v="1"/>
    <s v="Todd"/>
    <n v="9"/>
    <x v="6"/>
    <s v="Diontae Johnson"/>
    <n v="0"/>
    <n v="2024"/>
  </r>
  <r>
    <x v="6"/>
    <s v="Will"/>
    <n v="9"/>
    <x v="0"/>
    <s v="Caleb Williams"/>
    <n v="9.18"/>
    <n v="2024"/>
  </r>
  <r>
    <x v="6"/>
    <s v="Will"/>
    <n v="9"/>
    <x v="1"/>
    <s v="Drake London"/>
    <n v="9.6999999999999993"/>
    <n v="2024"/>
  </r>
  <r>
    <x v="6"/>
    <s v="Will"/>
    <n v="9"/>
    <x v="1"/>
    <s v="Amon-Ra St. Brown"/>
    <n v="15.1"/>
    <n v="2024"/>
  </r>
  <r>
    <x v="6"/>
    <s v="Will"/>
    <n v="9"/>
    <x v="1"/>
    <s v="Josh Downs"/>
    <n v="9"/>
    <n v="2024"/>
  </r>
  <r>
    <x v="6"/>
    <s v="Will"/>
    <n v="9"/>
    <x v="2"/>
    <s v="Tony Pollard"/>
    <n v="16.899999999999999"/>
    <n v="2024"/>
  </r>
  <r>
    <x v="6"/>
    <s v="Will"/>
    <n v="9"/>
    <x v="2"/>
    <s v="Travis Etienne"/>
    <n v="4"/>
    <n v="2024"/>
  </r>
  <r>
    <x v="6"/>
    <s v="Will"/>
    <n v="9"/>
    <x v="3"/>
    <s v="Travis Kelce"/>
    <n v="15"/>
    <n v="2024"/>
  </r>
  <r>
    <x v="6"/>
    <s v="Will"/>
    <n v="9"/>
    <x v="5"/>
    <s v="Jason Myers"/>
    <n v="1"/>
    <n v="2024"/>
  </r>
  <r>
    <x v="6"/>
    <s v="Will"/>
    <n v="9"/>
    <x v="4"/>
    <s v="Houston"/>
    <n v="3"/>
    <n v="2024"/>
  </r>
  <r>
    <x v="6"/>
    <s v="Will"/>
    <n v="9"/>
    <x v="6"/>
    <s v="Ladd McConkey"/>
    <n v="8.9"/>
    <n v="2024"/>
  </r>
  <r>
    <x v="4"/>
    <s v="Eli"/>
    <n v="9"/>
    <x v="0"/>
    <s v="Jalen Hurts"/>
    <n v="29.9"/>
    <n v="2024"/>
  </r>
  <r>
    <x v="4"/>
    <s v="Eli"/>
    <n v="9"/>
    <x v="1"/>
    <s v="Justin Jefferson"/>
    <n v="18.079999999999998"/>
    <n v="2024"/>
  </r>
  <r>
    <x v="4"/>
    <s v="Eli"/>
    <n v="9"/>
    <x v="1"/>
    <s v="Xavier Legette"/>
    <n v="11.9"/>
    <n v="2024"/>
  </r>
  <r>
    <x v="4"/>
    <s v="Eli"/>
    <n v="9"/>
    <x v="1"/>
    <s v="DJ Moore"/>
    <n v="5.3"/>
    <n v="2024"/>
  </r>
  <r>
    <x v="4"/>
    <s v="Eli"/>
    <n v="9"/>
    <x v="2"/>
    <s v="Bijan Robinson"/>
    <n v="18"/>
    <n v="2024"/>
  </r>
  <r>
    <x v="4"/>
    <s v="Eli"/>
    <n v="9"/>
    <x v="2"/>
    <s v="Roschon Johnson"/>
    <n v="3.1"/>
    <n v="2024"/>
  </r>
  <r>
    <x v="4"/>
    <s v="Eli"/>
    <n v="9"/>
    <x v="3"/>
    <s v="David Njoku"/>
    <n v="5.4"/>
    <n v="2024"/>
  </r>
  <r>
    <x v="4"/>
    <s v="Eli"/>
    <n v="9"/>
    <x v="5"/>
    <s v="Tyler Bass"/>
    <n v="13"/>
    <n v="2024"/>
  </r>
  <r>
    <x v="4"/>
    <s v="Eli"/>
    <n v="9"/>
    <x v="4"/>
    <s v="NYJ"/>
    <n v="13"/>
    <n v="2024"/>
  </r>
  <r>
    <x v="4"/>
    <s v="Eli"/>
    <n v="9"/>
    <x v="8"/>
    <s v="Kyle Pitts"/>
    <n v="1.6"/>
    <n v="2024"/>
  </r>
  <r>
    <x v="9"/>
    <s v="Tommy"/>
    <n v="9"/>
    <x v="0"/>
    <s v="Josh Allen"/>
    <n v="22.1"/>
    <n v="2024"/>
  </r>
  <r>
    <x v="9"/>
    <s v="Tommy"/>
    <n v="9"/>
    <x v="1"/>
    <s v="Malik Nabers"/>
    <n v="10.4"/>
    <n v="2024"/>
  </r>
  <r>
    <x v="9"/>
    <s v="Tommy"/>
    <n v="9"/>
    <x v="1"/>
    <s v="Romeo Doubs"/>
    <n v="4.8"/>
    <n v="2024"/>
  </r>
  <r>
    <x v="9"/>
    <s v="Tommy"/>
    <n v="9"/>
    <x v="1"/>
    <s v="Xavier Worthy"/>
    <n v="-1"/>
    <n v="2024"/>
  </r>
  <r>
    <x v="9"/>
    <s v="Tommy"/>
    <n v="9"/>
    <x v="2"/>
    <s v="Saquon Barkley"/>
    <n v="31.4"/>
    <n v="2024"/>
  </r>
  <r>
    <x v="9"/>
    <s v="Tommy"/>
    <n v="9"/>
    <x v="2"/>
    <s v="Kyren Williams"/>
    <n v="10"/>
    <n v="2024"/>
  </r>
  <r>
    <x v="9"/>
    <s v="Tommy"/>
    <n v="9"/>
    <x v="3"/>
    <s v="Mark Andrews"/>
    <n v="3.6"/>
    <n v="2024"/>
  </r>
  <r>
    <x v="9"/>
    <s v="Tommy"/>
    <n v="9"/>
    <x v="5"/>
    <s v="Harrison Butker"/>
    <n v="7"/>
    <n v="2024"/>
  </r>
  <r>
    <x v="9"/>
    <s v="Tommy"/>
    <n v="9"/>
    <x v="4"/>
    <s v="Minnesota"/>
    <n v="12"/>
    <n v="2024"/>
  </r>
  <r>
    <x v="9"/>
    <s v="Tommy"/>
    <n v="9"/>
    <x v="7"/>
    <s v="Alexander Mattison"/>
    <n v="3.6"/>
    <n v="2024"/>
  </r>
  <r>
    <x v="8"/>
    <s v="Schulwolf"/>
    <n v="9"/>
    <x v="0"/>
    <s v="Jayden Daniels"/>
    <n v="19.86"/>
    <n v="2024"/>
  </r>
  <r>
    <x v="8"/>
    <s v="Schulwolf"/>
    <n v="9"/>
    <x v="1"/>
    <s v="Devonta Smith"/>
    <n v="16.7"/>
    <n v="2024"/>
  </r>
  <r>
    <x v="8"/>
    <s v="Schulwolf"/>
    <n v="9"/>
    <x v="1"/>
    <s v="Cooper Kupp"/>
    <n v="15.9"/>
    <n v="2024"/>
  </r>
  <r>
    <x v="8"/>
    <s v="Schulwolf"/>
    <n v="9"/>
    <x v="1"/>
    <s v="Terry McLaurin"/>
    <n v="14.9"/>
    <n v="2024"/>
  </r>
  <r>
    <x v="8"/>
    <s v="Schulwolf"/>
    <n v="9"/>
    <x v="2"/>
    <s v="Jahmyr Gibbs"/>
    <n v="14.1"/>
    <n v="2024"/>
  </r>
  <r>
    <x v="8"/>
    <s v="Schulwolf"/>
    <n v="9"/>
    <x v="2"/>
    <s v="James Cook"/>
    <n v="9.4"/>
    <n v="2024"/>
  </r>
  <r>
    <x v="8"/>
    <s v="Schulwolf"/>
    <n v="9"/>
    <x v="3"/>
    <s v="Dalton Kincaid"/>
    <n v="5.2"/>
    <n v="2024"/>
  </r>
  <r>
    <x v="8"/>
    <s v="Schulwolf"/>
    <n v="9"/>
    <x v="5"/>
    <s v="Brandon Aubrey"/>
    <n v="9"/>
    <n v="2024"/>
  </r>
  <r>
    <x v="8"/>
    <s v="Schulwolf"/>
    <n v="9"/>
    <x v="4"/>
    <s v="Philadelphia"/>
    <n v="10"/>
    <n v="2024"/>
  </r>
  <r>
    <x v="8"/>
    <s v="Schulwolf"/>
    <n v="9"/>
    <x v="6"/>
    <s v="Tyler Lockett"/>
    <n v="13.8"/>
    <n v="2024"/>
  </r>
  <r>
    <x v="7"/>
    <s v="Jay"/>
    <n v="9"/>
    <x v="0"/>
    <s v="Lamar Jackson"/>
    <n v="23.6"/>
    <n v="2024"/>
  </r>
  <r>
    <x v="7"/>
    <s v="Jay"/>
    <n v="9"/>
    <x v="1"/>
    <s v="Quentin Johnston"/>
    <n v="20"/>
    <n v="2024"/>
  </r>
  <r>
    <x v="7"/>
    <s v="Jay"/>
    <n v="9"/>
    <x v="1"/>
    <s v="Parker Washington"/>
    <n v="5.6"/>
    <n v="2024"/>
  </r>
  <r>
    <x v="7"/>
    <s v="Jay"/>
    <n v="9"/>
    <x v="1"/>
    <s v="Keon Coleman"/>
    <n v="4.5999999999999996"/>
    <n v="2024"/>
  </r>
  <r>
    <x v="7"/>
    <s v="Jay"/>
    <n v="9"/>
    <x v="2"/>
    <s v="Alvin Kamara"/>
    <n v="24.5"/>
    <n v="2024"/>
  </r>
  <r>
    <x v="7"/>
    <s v="Jay"/>
    <n v="9"/>
    <x v="2"/>
    <s v="Jonathan Taylor"/>
    <n v="7.4"/>
    <n v="2024"/>
  </r>
  <r>
    <x v="7"/>
    <s v="Jay"/>
    <n v="9"/>
    <x v="3"/>
    <s v="Evan Engram"/>
    <n v="9"/>
    <n v="2024"/>
  </r>
  <r>
    <x v="7"/>
    <s v="Jay"/>
    <n v="9"/>
    <x v="5"/>
    <s v="Ka'imi Fairbairn"/>
    <n v="8"/>
    <n v="2024"/>
  </r>
  <r>
    <x v="7"/>
    <s v="Jay"/>
    <n v="9"/>
    <x v="4"/>
    <s v="Tennessee"/>
    <n v="12"/>
    <n v="2024"/>
  </r>
  <r>
    <x v="7"/>
    <s v="Jay"/>
    <n v="9"/>
    <x v="7"/>
    <s v="Devin Singletary"/>
    <n v="3.3"/>
    <n v="2024"/>
  </r>
  <r>
    <x v="11"/>
    <s v="Cam"/>
    <n v="9"/>
    <x v="0"/>
    <s v="Joe Burrow"/>
    <n v="29.14"/>
    <n v="2024"/>
  </r>
  <r>
    <x v="11"/>
    <s v="Cam"/>
    <n v="9"/>
    <x v="1"/>
    <s v="Jakobi Meyers"/>
    <n v="14.5"/>
    <n v="2024"/>
  </r>
  <r>
    <x v="11"/>
    <s v="Cam"/>
    <n v="9"/>
    <x v="1"/>
    <s v="Ja'Marr Chase"/>
    <n v="7.8"/>
    <n v="2024"/>
  </r>
  <r>
    <x v="11"/>
    <s v="Cam"/>
    <n v="9"/>
    <x v="1"/>
    <s v="Wan'Dale Robinson"/>
    <n v="2.5"/>
    <n v="2024"/>
  </r>
  <r>
    <x v="11"/>
    <s v="Cam"/>
    <n v="9"/>
    <x v="2"/>
    <s v="JK Dobbins"/>
    <n v="23.5"/>
    <n v="2024"/>
  </r>
  <r>
    <x v="11"/>
    <s v="Cam"/>
    <n v="9"/>
    <x v="2"/>
    <s v="D'Andre Swift"/>
    <n v="11.2"/>
    <n v="2024"/>
  </r>
  <r>
    <x v="11"/>
    <s v="Cam"/>
    <n v="9"/>
    <x v="3"/>
    <s v="Zach Ertz"/>
    <n v="1"/>
    <n v="2024"/>
  </r>
  <r>
    <x v="11"/>
    <s v="Cam"/>
    <n v="9"/>
    <x v="5"/>
    <s v="Chase McLaughlin"/>
    <n v="7"/>
    <n v="2024"/>
  </r>
  <r>
    <x v="11"/>
    <s v="Cam"/>
    <n v="9"/>
    <x v="4"/>
    <s v="Chicago"/>
    <n v="6"/>
    <n v="2024"/>
  </r>
  <r>
    <x v="11"/>
    <s v="Cam"/>
    <n v="9"/>
    <x v="7"/>
    <s v="Aaron Jones"/>
    <n v="10.199999999999999"/>
    <n v="2024"/>
  </r>
  <r>
    <x v="3"/>
    <s v="Kevin"/>
    <n v="9"/>
    <x v="0"/>
    <s v="CJ Stroud"/>
    <n v="11.54"/>
    <n v="2024"/>
  </r>
  <r>
    <x v="3"/>
    <s v="Kevin"/>
    <n v="9"/>
    <x v="1"/>
    <s v="Jordan Addison"/>
    <n v="13.6"/>
    <n v="2024"/>
  </r>
  <r>
    <x v="3"/>
    <s v="Kevin"/>
    <n v="9"/>
    <x v="1"/>
    <s v="DeAndre Hopkins"/>
    <n v="24.6"/>
    <n v="2024"/>
  </r>
  <r>
    <x v="3"/>
    <s v="Kevin"/>
    <n v="9"/>
    <x v="1"/>
    <s v="Marvin Harrison Jr"/>
    <n v="2.4"/>
    <n v="2024"/>
  </r>
  <r>
    <x v="3"/>
    <s v="Kevin"/>
    <n v="9"/>
    <x v="2"/>
    <s v="Chuba Hubbard"/>
    <n v="20.2"/>
    <n v="2024"/>
  </r>
  <r>
    <x v="3"/>
    <s v="Kevin"/>
    <n v="9"/>
    <x v="2"/>
    <s v="Joe Mixon"/>
    <n v="16.600000000000001"/>
    <n v="2024"/>
  </r>
  <r>
    <x v="3"/>
    <s v="Kevin"/>
    <n v="9"/>
    <x v="3"/>
    <s v="Hunter Henry"/>
    <n v="9.1"/>
    <n v="2024"/>
  </r>
  <r>
    <x v="3"/>
    <s v="Kevin"/>
    <n v="9"/>
    <x v="5"/>
    <s v="Justin Tucker"/>
    <n v="11"/>
    <n v="2024"/>
  </r>
  <r>
    <x v="3"/>
    <s v="Kevin"/>
    <n v="9"/>
    <x v="4"/>
    <s v="Cincinnati"/>
    <n v="11"/>
    <n v="2024"/>
  </r>
  <r>
    <x v="3"/>
    <s v="Kevin"/>
    <n v="9"/>
    <x v="6"/>
    <s v="Chris Olave"/>
    <n v="1.8"/>
    <n v="2024"/>
  </r>
  <r>
    <x v="0"/>
    <s v="Brenton"/>
    <n v="10"/>
    <x v="0"/>
    <s v="Baker Mayfield"/>
    <n v="8.94"/>
    <n v="2024"/>
  </r>
  <r>
    <x v="0"/>
    <s v="Brenton"/>
    <n v="10"/>
    <x v="1"/>
    <s v="Courtland Sutton"/>
    <n v="16"/>
    <n v="2024"/>
  </r>
  <r>
    <x v="0"/>
    <s v="Brenton"/>
    <n v="10"/>
    <x v="1"/>
    <s v="Tyreek Hill"/>
    <n v="10.199999999999999"/>
    <n v="2024"/>
  </r>
  <r>
    <x v="0"/>
    <s v="Brenton"/>
    <n v="10"/>
    <x v="1"/>
    <s v="Zay Flowers"/>
    <n v="5.4"/>
    <n v="2024"/>
  </r>
  <r>
    <x v="0"/>
    <s v="Brenton"/>
    <n v="10"/>
    <x v="2"/>
    <s v="Tyrone Tracy"/>
    <n v="14.9"/>
    <n v="2024"/>
  </r>
  <r>
    <x v="0"/>
    <s v="Brenton"/>
    <n v="10"/>
    <x v="2"/>
    <s v="Christian McCaffrey"/>
    <n v="13.7"/>
    <n v="2024"/>
  </r>
  <r>
    <x v="0"/>
    <s v="Brenton"/>
    <n v="10"/>
    <x v="3"/>
    <s v="Trey McBride"/>
    <n v="9.1"/>
    <n v="2024"/>
  </r>
  <r>
    <x v="0"/>
    <s v="Brenton"/>
    <n v="10"/>
    <x v="5"/>
    <s v="Jake Elliott"/>
    <n v="10"/>
    <n v="2024"/>
  </r>
  <r>
    <x v="0"/>
    <s v="Brenton"/>
    <n v="10"/>
    <x v="4"/>
    <s v="NY Giants"/>
    <n v="3"/>
    <n v="2024"/>
  </r>
  <r>
    <x v="0"/>
    <s v="Brenton"/>
    <n v="10"/>
    <x v="7"/>
    <s v="Javonte Williams"/>
    <n v="1.7"/>
    <n v="2024"/>
  </r>
  <r>
    <x v="5"/>
    <s v="Burnett/Jasjaap"/>
    <n v="10"/>
    <x v="0"/>
    <s v="Brock Purdy"/>
    <n v="23.82"/>
    <n v="2024"/>
  </r>
  <r>
    <x v="5"/>
    <s v="Burnett/Jasjaap"/>
    <n v="10"/>
    <x v="1"/>
    <s v="Puka Nacua"/>
    <n v="14.3"/>
    <n v="2024"/>
  </r>
  <r>
    <x v="5"/>
    <s v="Burnett/Jasjaap"/>
    <n v="10"/>
    <x v="1"/>
    <s v="Jaylen Waddle"/>
    <n v="7.1"/>
    <n v="2024"/>
  </r>
  <r>
    <x v="5"/>
    <s v="Burnett/Jasjaap"/>
    <n v="10"/>
    <x v="1"/>
    <s v="Ricky Pearsall"/>
    <n v="15.3"/>
    <n v="2024"/>
  </r>
  <r>
    <x v="5"/>
    <s v="Burnett/Jasjaap"/>
    <n v="10"/>
    <x v="2"/>
    <s v="David Montgomery"/>
    <n v="12.1"/>
    <n v="2024"/>
  </r>
  <r>
    <x v="5"/>
    <s v="Burnett/Jasjaap"/>
    <n v="10"/>
    <x v="2"/>
    <s v="Rico Dowdle"/>
    <n v="7.1"/>
    <n v="2024"/>
  </r>
  <r>
    <x v="5"/>
    <s v="Burnett/Jasjaap"/>
    <n v="10"/>
    <x v="3"/>
    <s v="Cole Kmet"/>
    <n v="2.2999999999999998"/>
    <n v="2024"/>
  </r>
  <r>
    <x v="5"/>
    <s v="Burnett/Jasjaap"/>
    <n v="10"/>
    <x v="5"/>
    <s v="Jake Bates"/>
    <n v="12"/>
    <n v="2024"/>
  </r>
  <r>
    <x v="5"/>
    <s v="Burnett/Jasjaap"/>
    <n v="10"/>
    <x v="4"/>
    <s v="Kansas City"/>
    <n v="6"/>
    <n v="2024"/>
  </r>
  <r>
    <x v="5"/>
    <s v="Burnett/Jasjaap"/>
    <n v="10"/>
    <x v="6"/>
    <s v="CeeDee Lamb"/>
    <n v="5.4"/>
    <n v="2024"/>
  </r>
  <r>
    <x v="2"/>
    <s v="Mike"/>
    <n v="10"/>
    <x v="0"/>
    <s v="Patrick Mahomes"/>
    <n v="16.54"/>
    <n v="2024"/>
  </r>
  <r>
    <x v="2"/>
    <s v="Mike"/>
    <n v="10"/>
    <x v="1"/>
    <s v="Khalil Shakir"/>
    <n v="8.8000000000000007"/>
    <n v="2024"/>
  </r>
  <r>
    <x v="2"/>
    <s v="Mike"/>
    <n v="10"/>
    <x v="1"/>
    <s v="Davante Adams"/>
    <n v="6.1"/>
    <n v="2024"/>
  </r>
  <r>
    <x v="2"/>
    <s v="Mike"/>
    <n v="10"/>
    <x v="1"/>
    <s v="Tank Dell"/>
    <n v="5.8"/>
    <n v="2024"/>
  </r>
  <r>
    <x v="2"/>
    <s v="Mike"/>
    <n v="10"/>
    <x v="2"/>
    <s v="Chase Brown"/>
    <n v="17.899999999999999"/>
    <n v="2024"/>
  </r>
  <r>
    <x v="2"/>
    <s v="Mike"/>
    <n v="10"/>
    <x v="2"/>
    <s v="Derrick Henry"/>
    <n v="13.6"/>
    <n v="2024"/>
  </r>
  <r>
    <x v="2"/>
    <s v="Mike"/>
    <n v="10"/>
    <x v="3"/>
    <s v="Sam LaPorta"/>
    <n v="14.1"/>
    <n v="2024"/>
  </r>
  <r>
    <x v="2"/>
    <s v="Mike"/>
    <n v="10"/>
    <x v="5"/>
    <s v="Younghoe Koo"/>
    <n v="3"/>
    <n v="2024"/>
  </r>
  <r>
    <x v="2"/>
    <s v="Mike"/>
    <n v="10"/>
    <x v="4"/>
    <s v="Buffalo"/>
    <n v="18"/>
    <n v="2024"/>
  </r>
  <r>
    <x v="2"/>
    <s v="Mike"/>
    <n v="10"/>
    <x v="7"/>
    <s v="Kareem Hunt"/>
    <n v="13.5"/>
    <n v="2024"/>
  </r>
  <r>
    <x v="6"/>
    <s v="Will"/>
    <n v="10"/>
    <x v="0"/>
    <s v="Caleb Williams"/>
    <n v="6.3"/>
    <n v="2024"/>
  </r>
  <r>
    <x v="6"/>
    <s v="Will"/>
    <n v="10"/>
    <x v="1"/>
    <s v="Drake London"/>
    <n v="13.7"/>
    <n v="2024"/>
  </r>
  <r>
    <x v="6"/>
    <s v="Will"/>
    <n v="10"/>
    <x v="1"/>
    <s v="Amon-Ra St. Brown"/>
    <n v="15"/>
    <n v="2024"/>
  </r>
  <r>
    <x v="6"/>
    <s v="Will"/>
    <n v="10"/>
    <x v="1"/>
    <s v="Josh Downs"/>
    <n v="10.7"/>
    <n v="2024"/>
  </r>
  <r>
    <x v="6"/>
    <s v="Will"/>
    <n v="10"/>
    <x v="2"/>
    <s v="Austin Ekeler"/>
    <n v="17.600000000000001"/>
    <n v="2024"/>
  </r>
  <r>
    <x v="6"/>
    <s v="Will"/>
    <n v="10"/>
    <x v="2"/>
    <s v="Tony Pollard"/>
    <n v="8.3000000000000007"/>
    <n v="2024"/>
  </r>
  <r>
    <x v="6"/>
    <s v="Will"/>
    <n v="10"/>
    <x v="3"/>
    <s v="Travis Kelce"/>
    <n v="16.399999999999999"/>
    <n v="2024"/>
  </r>
  <r>
    <x v="6"/>
    <s v="Will"/>
    <n v="10"/>
    <x v="5"/>
    <s v="Jake Moody"/>
    <n v="10"/>
    <n v="2024"/>
  </r>
  <r>
    <x v="6"/>
    <s v="Will"/>
    <n v="10"/>
    <x v="4"/>
    <s v="Houston"/>
    <n v="9"/>
    <n v="2024"/>
  </r>
  <r>
    <x v="6"/>
    <s v="Will"/>
    <n v="10"/>
    <x v="6"/>
    <s v="Ladd McConkey"/>
    <n v="6.2"/>
    <n v="2024"/>
  </r>
  <r>
    <x v="1"/>
    <s v="Todd"/>
    <n v="10"/>
    <x v="0"/>
    <s v="Sam Darnold"/>
    <n v="6.44"/>
    <n v="2024"/>
  </r>
  <r>
    <x v="1"/>
    <s v="Todd"/>
    <n v="10"/>
    <x v="1"/>
    <s v="AJ Brown"/>
    <n v="13.4"/>
    <n v="2024"/>
  </r>
  <r>
    <x v="1"/>
    <s v="Todd"/>
    <n v="10"/>
    <x v="1"/>
    <s v="Darnell Mooney"/>
    <n v="12.1"/>
    <n v="2024"/>
  </r>
  <r>
    <x v="1"/>
    <s v="Todd"/>
    <n v="10"/>
    <x v="1"/>
    <s v="Deebo Samuel"/>
    <n v="10.1"/>
    <n v="2024"/>
  </r>
  <r>
    <x v="1"/>
    <s v="Todd"/>
    <n v="10"/>
    <x v="2"/>
    <s v="James Conner"/>
    <n v="19.8"/>
    <n v="2024"/>
  </r>
  <r>
    <x v="1"/>
    <s v="Todd"/>
    <n v="10"/>
    <x v="2"/>
    <s v="De'Von Achane"/>
    <n v="7.7"/>
    <n v="2024"/>
  </r>
  <r>
    <x v="1"/>
    <s v="Todd"/>
    <n v="10"/>
    <x v="3"/>
    <s v="Mike Gesicki"/>
    <n v="5"/>
    <n v="2024"/>
  </r>
  <r>
    <x v="1"/>
    <s v="Todd"/>
    <n v="10"/>
    <x v="5"/>
    <s v="Chris Boswell"/>
    <n v="4"/>
    <n v="2024"/>
  </r>
  <r>
    <x v="1"/>
    <s v="Todd"/>
    <n v="10"/>
    <x v="4"/>
    <s v="Atlanta"/>
    <n v="0"/>
    <n v="2024"/>
  </r>
  <r>
    <x v="1"/>
    <s v="Todd"/>
    <n v="10"/>
    <x v="6"/>
    <s v="Brian Thomas Jr"/>
    <n v="2.2000000000000002"/>
    <n v="2024"/>
  </r>
  <r>
    <x v="3"/>
    <s v="Kevin"/>
    <n v="10"/>
    <x v="0"/>
    <s v="CJ Stroud"/>
    <n v="9.7799999999999994"/>
    <n v="2024"/>
  </r>
  <r>
    <x v="3"/>
    <s v="Kevin"/>
    <n v="10"/>
    <x v="1"/>
    <s v="Marvin Harrison Jr"/>
    <n v="13.9"/>
    <n v="2024"/>
  </r>
  <r>
    <x v="3"/>
    <s v="Kevin"/>
    <n v="10"/>
    <x v="1"/>
    <s v="George Pickens"/>
    <n v="18"/>
    <n v="2024"/>
  </r>
  <r>
    <x v="3"/>
    <s v="Kevin"/>
    <n v="10"/>
    <x v="1"/>
    <s v="DeAndre Hopkins"/>
    <n v="7.6"/>
    <n v="2024"/>
  </r>
  <r>
    <x v="3"/>
    <s v="Kevin"/>
    <n v="10"/>
    <x v="2"/>
    <s v="Chuba Hubbard"/>
    <n v="22.9"/>
    <n v="2024"/>
  </r>
  <r>
    <x v="3"/>
    <s v="Kevin"/>
    <n v="10"/>
    <x v="2"/>
    <s v="Joe Mixon"/>
    <n v="16"/>
    <n v="2024"/>
  </r>
  <r>
    <x v="3"/>
    <s v="Kevin"/>
    <n v="10"/>
    <x v="3"/>
    <s v="Hunter Henry"/>
    <n v="1.9"/>
    <n v="2024"/>
  </r>
  <r>
    <x v="3"/>
    <s v="Kevin"/>
    <n v="10"/>
    <x v="5"/>
    <s v="Justin Tucker"/>
    <n v="2"/>
    <n v="2024"/>
  </r>
  <r>
    <x v="3"/>
    <s v="Kevin"/>
    <n v="10"/>
    <x v="4"/>
    <s v="LA Rams"/>
    <n v="8"/>
    <n v="2024"/>
  </r>
  <r>
    <x v="3"/>
    <s v="Kevin"/>
    <n v="10"/>
    <x v="7"/>
    <s v="Najee Harris"/>
    <n v="11.3"/>
    <n v="2024"/>
  </r>
  <r>
    <x v="4"/>
    <s v="Eli"/>
    <n v="10"/>
    <x v="0"/>
    <s v="Jalen Hurts"/>
    <n v="29.68"/>
    <n v="2024"/>
  </r>
  <r>
    <x v="4"/>
    <s v="Eli"/>
    <n v="10"/>
    <x v="1"/>
    <s v="Justin Jefferson"/>
    <n v="7.3"/>
    <n v="2024"/>
  </r>
  <r>
    <x v="4"/>
    <s v="Eli"/>
    <n v="10"/>
    <x v="1"/>
    <s v="Xavier Legette"/>
    <n v="5.5"/>
    <n v="2024"/>
  </r>
  <r>
    <x v="4"/>
    <s v="Eli"/>
    <n v="10"/>
    <x v="1"/>
    <s v="DJ Moore"/>
    <n v="4.2"/>
    <n v="2024"/>
  </r>
  <r>
    <x v="4"/>
    <s v="Eli"/>
    <n v="10"/>
    <x v="2"/>
    <s v="Bijan Robinson"/>
    <n v="27.9"/>
    <n v="2024"/>
  </r>
  <r>
    <x v="4"/>
    <s v="Eli"/>
    <n v="10"/>
    <x v="2"/>
    <s v="Tyjae Spears"/>
    <n v="6.6"/>
    <n v="2024"/>
  </r>
  <r>
    <x v="4"/>
    <s v="Eli"/>
    <n v="10"/>
    <x v="3"/>
    <s v="Kyle Pitts"/>
    <n v="7.5"/>
    <n v="2024"/>
  </r>
  <r>
    <x v="4"/>
    <s v="Eli"/>
    <n v="10"/>
    <x v="5"/>
    <s v="Tyler Bass"/>
    <n v="13"/>
    <n v="2024"/>
  </r>
  <r>
    <x v="4"/>
    <s v="Eli"/>
    <n v="10"/>
    <x v="4"/>
    <s v="NYJ"/>
    <n v="-4"/>
    <n v="2024"/>
  </r>
  <r>
    <x v="4"/>
    <s v="Eli"/>
    <n v="10"/>
    <x v="6"/>
    <s v="Rome Odunze"/>
    <n v="3.8"/>
    <n v="2024"/>
  </r>
  <r>
    <x v="8"/>
    <s v="Schulwolf"/>
    <n v="10"/>
    <x v="0"/>
    <s v="Jayden Daniels"/>
    <n v="8.58"/>
    <n v="2024"/>
  </r>
  <r>
    <x v="8"/>
    <s v="Schulwolf"/>
    <n v="10"/>
    <x v="1"/>
    <s v="Terry McLaurin"/>
    <n v="13.8"/>
    <n v="2024"/>
  </r>
  <r>
    <x v="8"/>
    <s v="Schulwolf"/>
    <n v="10"/>
    <x v="1"/>
    <s v="Cooper Kupp"/>
    <n v="11.5"/>
    <n v="2024"/>
  </r>
  <r>
    <x v="8"/>
    <s v="Schulwolf"/>
    <n v="10"/>
    <x v="1"/>
    <s v="Devonta Smith"/>
    <n v="2.4"/>
    <n v="2024"/>
  </r>
  <r>
    <x v="8"/>
    <s v="Schulwolf"/>
    <n v="10"/>
    <x v="2"/>
    <s v="James Cook"/>
    <n v="15"/>
    <n v="2024"/>
  </r>
  <r>
    <x v="8"/>
    <s v="Schulwolf"/>
    <n v="10"/>
    <x v="2"/>
    <s v="Jahmyr Gibbs"/>
    <n v="11.8"/>
    <n v="2024"/>
  </r>
  <r>
    <x v="8"/>
    <s v="Schulwolf"/>
    <n v="10"/>
    <x v="3"/>
    <s v="Dalton Kincaid"/>
    <n v="3.4"/>
    <n v="2024"/>
  </r>
  <r>
    <x v="8"/>
    <s v="Schulwolf"/>
    <n v="10"/>
    <x v="5"/>
    <s v="Brandon Aubrey"/>
    <n v="7"/>
    <n v="2024"/>
  </r>
  <r>
    <x v="8"/>
    <s v="Schulwolf"/>
    <n v="10"/>
    <x v="4"/>
    <s v="Philadelphia"/>
    <n v="23"/>
    <n v="2024"/>
  </r>
  <r>
    <x v="8"/>
    <s v="Schulwolf"/>
    <n v="10"/>
    <x v="7"/>
    <s v="Ray Davis"/>
    <n v="0.6"/>
    <n v="2024"/>
  </r>
  <r>
    <x v="10"/>
    <s v="Brand"/>
    <n v="10"/>
    <x v="0"/>
    <s v="Kirk Cousins"/>
    <n v="10.24"/>
    <n v="2024"/>
  </r>
  <r>
    <x v="10"/>
    <s v="Brand"/>
    <n v="10"/>
    <x v="1"/>
    <s v="Keenan Allen"/>
    <n v="6.9"/>
    <n v="2024"/>
  </r>
  <r>
    <x v="10"/>
    <s v="Brand"/>
    <n v="10"/>
    <x v="1"/>
    <s v="Garrett Wilson"/>
    <n v="6.6"/>
    <n v="2024"/>
  </r>
  <r>
    <x v="10"/>
    <s v="Brand"/>
    <n v="10"/>
    <x v="1"/>
    <s v="Jameson Williams"/>
    <n v="6.8"/>
    <n v="2024"/>
  </r>
  <r>
    <x v="10"/>
    <s v="Brand"/>
    <n v="10"/>
    <x v="2"/>
    <s v="Bucky Irving"/>
    <n v="16.2"/>
    <n v="2024"/>
  </r>
  <r>
    <x v="10"/>
    <s v="Brand"/>
    <n v="10"/>
    <x v="2"/>
    <s v="Breece Hall"/>
    <n v="10.3"/>
    <n v="2024"/>
  </r>
  <r>
    <x v="10"/>
    <s v="Brand"/>
    <n v="10"/>
    <x v="3"/>
    <s v="TJ Hockenson"/>
    <n v="11.2"/>
    <n v="2024"/>
  </r>
  <r>
    <x v="10"/>
    <s v="Brand"/>
    <n v="10"/>
    <x v="5"/>
    <s v="Cameron Dicker"/>
    <n v="9"/>
    <n v="2024"/>
  </r>
  <r>
    <x v="10"/>
    <s v="Brand"/>
    <n v="10"/>
    <x v="4"/>
    <s v="LA Chargers"/>
    <n v="9"/>
    <n v="2024"/>
  </r>
  <r>
    <x v="10"/>
    <s v="Brand"/>
    <n v="10"/>
    <x v="8"/>
    <s v="Taysom Hill"/>
    <n v="6"/>
    <n v="2024"/>
  </r>
  <r>
    <x v="7"/>
    <s v="Jay"/>
    <n v="10"/>
    <x v="0"/>
    <s v="Lamar Jackson"/>
    <n v="32.9"/>
    <n v="2024"/>
  </r>
  <r>
    <x v="7"/>
    <s v="Jay"/>
    <n v="10"/>
    <x v="1"/>
    <s v="Jauan Jennings"/>
    <n v="12.8"/>
    <n v="2024"/>
  </r>
  <r>
    <x v="7"/>
    <s v="Jay"/>
    <n v="10"/>
    <x v="1"/>
    <s v="Quentin Johnston"/>
    <n v="9.4"/>
    <n v="2024"/>
  </r>
  <r>
    <x v="7"/>
    <s v="Jay"/>
    <n v="10"/>
    <x v="1"/>
    <s v="Demarcus Robinson"/>
    <n v="2.8"/>
    <n v="2024"/>
  </r>
  <r>
    <x v="7"/>
    <s v="Jay"/>
    <n v="10"/>
    <x v="2"/>
    <s v="Alvin Kamara"/>
    <n v="13.4"/>
    <n v="2024"/>
  </r>
  <r>
    <x v="7"/>
    <s v="Jay"/>
    <n v="10"/>
    <x v="2"/>
    <s v="Jonathan Taylor"/>
    <n v="13.2"/>
    <n v="2024"/>
  </r>
  <r>
    <x v="7"/>
    <s v="Jay"/>
    <n v="10"/>
    <x v="3"/>
    <s v="Evan Engram"/>
    <n v="7"/>
    <n v="2024"/>
  </r>
  <r>
    <x v="7"/>
    <s v="Jay"/>
    <n v="10"/>
    <x v="5"/>
    <s v="Ka'imi Fairbairn"/>
    <n v="13"/>
    <n v="2024"/>
  </r>
  <r>
    <x v="7"/>
    <s v="Jay"/>
    <n v="10"/>
    <x v="4"/>
    <s v="New England"/>
    <n v="19"/>
    <n v="2024"/>
  </r>
  <r>
    <x v="7"/>
    <s v="Jay"/>
    <n v="10"/>
    <x v="6"/>
    <s v="Sterling Shepard"/>
    <n v="1.5"/>
    <n v="2024"/>
  </r>
  <r>
    <x v="11"/>
    <s v="Cam"/>
    <n v="10"/>
    <x v="0"/>
    <s v="Joe Burrow"/>
    <n v="33.72"/>
    <n v="2024"/>
  </r>
  <r>
    <x v="11"/>
    <s v="Cam"/>
    <n v="10"/>
    <x v="1"/>
    <s v="Ja'Marr Chase"/>
    <n v="49.9"/>
    <n v="2024"/>
  </r>
  <r>
    <x v="11"/>
    <s v="Cam"/>
    <n v="10"/>
    <x v="1"/>
    <s v="Wan'Dale Robinson"/>
    <n v="7.6"/>
    <n v="2024"/>
  </r>
  <r>
    <x v="11"/>
    <s v="Cam"/>
    <n v="10"/>
    <x v="1"/>
    <s v="Nico Collins"/>
    <n v="0"/>
    <n v="2024"/>
  </r>
  <r>
    <x v="11"/>
    <s v="Cam"/>
    <n v="10"/>
    <x v="2"/>
    <s v="Aaron Jones"/>
    <n v="11.1"/>
    <n v="2024"/>
  </r>
  <r>
    <x v="11"/>
    <s v="Cam"/>
    <n v="10"/>
    <x v="2"/>
    <s v="JK Dobbins"/>
    <n v="7"/>
    <n v="2024"/>
  </r>
  <r>
    <x v="11"/>
    <s v="Cam"/>
    <n v="10"/>
    <x v="3"/>
    <s v="George Kittle"/>
    <n v="13.2"/>
    <n v="2024"/>
  </r>
  <r>
    <x v="11"/>
    <s v="Cam"/>
    <n v="10"/>
    <x v="5"/>
    <s v="Evan McPherson"/>
    <n v="4"/>
    <n v="2024"/>
  </r>
  <r>
    <x v="11"/>
    <s v="Cam"/>
    <n v="10"/>
    <x v="4"/>
    <s v="Chicago"/>
    <n v="3"/>
    <n v="2024"/>
  </r>
  <r>
    <x v="11"/>
    <s v="Cam"/>
    <n v="10"/>
    <x v="7"/>
    <s v="D'Andre Swift"/>
    <n v="7"/>
    <n v="2024"/>
  </r>
  <r>
    <x v="9"/>
    <s v="Tommy"/>
    <n v="10"/>
    <x v="0"/>
    <s v="Josh Allen"/>
    <n v="18.2"/>
    <n v="2024"/>
  </r>
  <r>
    <x v="9"/>
    <s v="Tommy"/>
    <n v="10"/>
    <x v="1"/>
    <s v="Malik Nabers"/>
    <n v="7.8"/>
    <n v="2024"/>
  </r>
  <r>
    <x v="9"/>
    <s v="Tommy"/>
    <n v="10"/>
    <x v="1"/>
    <s v="Michael Wilson"/>
    <n v="3.9"/>
    <n v="2024"/>
  </r>
  <r>
    <x v="9"/>
    <s v="Tommy"/>
    <n v="10"/>
    <x v="1"/>
    <s v="Xavier Worthy"/>
    <n v="1.6"/>
    <n v="2024"/>
  </r>
  <r>
    <x v="9"/>
    <s v="Tommy"/>
    <n v="10"/>
    <x v="2"/>
    <s v="Saquon Barkley"/>
    <n v="8.3000000000000007"/>
    <n v="2024"/>
  </r>
  <r>
    <x v="9"/>
    <s v="Tommy"/>
    <n v="10"/>
    <x v="2"/>
    <s v="Kyren Williams"/>
    <n v="8.6999999999999993"/>
    <n v="2024"/>
  </r>
  <r>
    <x v="9"/>
    <s v="Tommy"/>
    <n v="10"/>
    <x v="3"/>
    <s v="Mark Andrews"/>
    <n v="15.8"/>
    <n v="2024"/>
  </r>
  <r>
    <x v="9"/>
    <s v="Tommy"/>
    <n v="10"/>
    <x v="5"/>
    <s v="Harrison Butker"/>
    <n v="10"/>
    <n v="2024"/>
  </r>
  <r>
    <x v="9"/>
    <s v="Tommy"/>
    <n v="10"/>
    <x v="4"/>
    <s v="Minnesota"/>
    <n v="16"/>
    <n v="2024"/>
  </r>
  <r>
    <x v="9"/>
    <s v="Tommy"/>
    <n v="10"/>
    <x v="8"/>
    <s v="Cade Otton"/>
    <n v="6"/>
    <n v="2024"/>
  </r>
  <r>
    <x v="0"/>
    <s v="Brenton"/>
    <n v="11"/>
    <x v="0"/>
    <s v="Tua Tagovailoa"/>
    <n v="23.52"/>
    <n v="2024"/>
  </r>
  <r>
    <x v="0"/>
    <s v="Brenton"/>
    <n v="11"/>
    <x v="1"/>
    <s v="Tyreek Hill"/>
    <n v="15.6"/>
    <n v="2024"/>
  </r>
  <r>
    <x v="0"/>
    <s v="Brenton"/>
    <n v="11"/>
    <x v="1"/>
    <s v="Courtland Sutton"/>
    <n v="11.3"/>
    <n v="2024"/>
  </r>
  <r>
    <x v="0"/>
    <s v="Brenton"/>
    <n v="11"/>
    <x v="1"/>
    <s v="Zay Flowers"/>
    <n v="10.9"/>
    <n v="2024"/>
  </r>
  <r>
    <x v="0"/>
    <s v="Brenton"/>
    <n v="11"/>
    <x v="2"/>
    <s v="Christian McCaffrey"/>
    <n v="12.6"/>
    <n v="2024"/>
  </r>
  <r>
    <x v="0"/>
    <s v="Brenton"/>
    <n v="11"/>
    <x v="2"/>
    <s v="Audric Estime"/>
    <n v="4"/>
    <n v="2024"/>
  </r>
  <r>
    <x v="0"/>
    <s v="Brenton"/>
    <n v="11"/>
    <x v="3"/>
    <s v="Jonnu Smith"/>
    <n v="25.1"/>
    <n v="2024"/>
  </r>
  <r>
    <x v="0"/>
    <s v="Brenton"/>
    <n v="11"/>
    <x v="5"/>
    <s v="Jake Elliott"/>
    <n v="6"/>
    <n v="2024"/>
  </r>
  <r>
    <x v="0"/>
    <s v="Brenton"/>
    <n v="11"/>
    <x v="4"/>
    <s v="Detroit"/>
    <n v="13"/>
    <n v="2024"/>
  </r>
  <r>
    <x v="0"/>
    <s v="Brenton"/>
    <n v="11"/>
    <x v="6"/>
    <s v="Cedric Tillman"/>
    <n v="6.2"/>
    <n v="2024"/>
  </r>
  <r>
    <x v="6"/>
    <s v="Will"/>
    <n v="11"/>
    <x v="0"/>
    <s v="Russell Wilson"/>
    <n v="6.3"/>
    <n v="2024"/>
  </r>
  <r>
    <x v="6"/>
    <s v="Will"/>
    <n v="11"/>
    <x v="1"/>
    <s v="Amon-Ra St. Brown"/>
    <n v="33.200000000000003"/>
    <n v="2024"/>
  </r>
  <r>
    <x v="6"/>
    <s v="Will"/>
    <n v="11"/>
    <x v="1"/>
    <s v="Josh Downs"/>
    <n v="16.899999999999999"/>
    <n v="2024"/>
  </r>
  <r>
    <x v="6"/>
    <s v="Will"/>
    <n v="11"/>
    <x v="1"/>
    <s v="Jaxon Smith-Njigba"/>
    <n v="16.8"/>
    <n v="2024"/>
  </r>
  <r>
    <x v="6"/>
    <s v="Will"/>
    <n v="11"/>
    <x v="2"/>
    <s v="Austin Ekeler"/>
    <n v="13.6"/>
    <n v="2024"/>
  </r>
  <r>
    <x v="6"/>
    <s v="Will"/>
    <n v="11"/>
    <x v="2"/>
    <s v="Tony Pollard"/>
    <n v="3.9"/>
    <n v="2024"/>
  </r>
  <r>
    <x v="6"/>
    <s v="Will"/>
    <n v="11"/>
    <x v="3"/>
    <s v="Travis Kelce"/>
    <n v="1.8"/>
    <n v="2024"/>
  </r>
  <r>
    <x v="6"/>
    <s v="Will"/>
    <n v="11"/>
    <x v="5"/>
    <s v="Jake Moody"/>
    <n v="5"/>
    <n v="2024"/>
  </r>
  <r>
    <x v="6"/>
    <s v="Will"/>
    <n v="11"/>
    <x v="4"/>
    <s v="Houston"/>
    <n v="18"/>
    <n v="2024"/>
  </r>
  <r>
    <x v="6"/>
    <s v="Will"/>
    <n v="11"/>
    <x v="6"/>
    <s v="Drake London"/>
    <n v="7.6"/>
    <n v="2024"/>
  </r>
  <r>
    <x v="2"/>
    <s v="Mike"/>
    <n v="11"/>
    <x v="0"/>
    <s v="Patrick Mahomes"/>
    <n v="15.84"/>
    <n v="2024"/>
  </r>
  <r>
    <x v="2"/>
    <s v="Mike"/>
    <n v="11"/>
    <x v="1"/>
    <s v="Khalil Shakir"/>
    <n v="11"/>
    <n v="2024"/>
  </r>
  <r>
    <x v="2"/>
    <s v="Mike"/>
    <n v="11"/>
    <x v="1"/>
    <s v="Davante Adams"/>
    <n v="10.199999999999999"/>
    <n v="2024"/>
  </r>
  <r>
    <x v="2"/>
    <s v="Mike"/>
    <n v="11"/>
    <x v="1"/>
    <s v="Tank Dell"/>
    <n v="7.8"/>
    <n v="2024"/>
  </r>
  <r>
    <x v="2"/>
    <s v="Mike"/>
    <n v="11"/>
    <x v="2"/>
    <s v="Chase Brown"/>
    <n v="16.8"/>
    <n v="2024"/>
  </r>
  <r>
    <x v="2"/>
    <s v="Mike"/>
    <n v="11"/>
    <x v="2"/>
    <s v="Derrick Henry"/>
    <n v="10.5"/>
    <n v="2024"/>
  </r>
  <r>
    <x v="2"/>
    <s v="Mike"/>
    <n v="11"/>
    <x v="3"/>
    <s v="Jake Ferguson"/>
    <n v="1.6"/>
    <n v="2024"/>
  </r>
  <r>
    <x v="2"/>
    <s v="Mike"/>
    <n v="11"/>
    <x v="5"/>
    <s v="Younghoe Koo"/>
    <n v="9"/>
    <n v="2024"/>
  </r>
  <r>
    <x v="2"/>
    <s v="Mike"/>
    <n v="11"/>
    <x v="4"/>
    <s v="Buffalo"/>
    <n v="7"/>
    <n v="2024"/>
  </r>
  <r>
    <x v="2"/>
    <s v="Mike"/>
    <n v="11"/>
    <x v="7"/>
    <s v="Kareem Hunt"/>
    <n v="6"/>
    <n v="2024"/>
  </r>
  <r>
    <x v="1"/>
    <s v="Todd"/>
    <n v="11"/>
    <x v="0"/>
    <s v="Sam Darnold"/>
    <n v="23.64"/>
    <n v="2024"/>
  </r>
  <r>
    <x v="1"/>
    <s v="Todd"/>
    <n v="11"/>
    <x v="1"/>
    <s v="AJ Brown"/>
    <n v="9"/>
    <n v="2024"/>
  </r>
  <r>
    <x v="1"/>
    <s v="Todd"/>
    <n v="11"/>
    <x v="1"/>
    <s v="Calvin Ridley"/>
    <n v="7.8"/>
    <n v="2024"/>
  </r>
  <r>
    <x v="1"/>
    <s v="Todd"/>
    <n v="11"/>
    <x v="1"/>
    <s v="Deebo Samuel"/>
    <n v="4.0999999999999996"/>
    <n v="2024"/>
  </r>
  <r>
    <x v="1"/>
    <s v="Todd"/>
    <n v="11"/>
    <x v="2"/>
    <s v="De'Von Achane"/>
    <n v="18.5"/>
    <n v="2024"/>
  </r>
  <r>
    <x v="1"/>
    <s v="Todd"/>
    <n v="11"/>
    <x v="2"/>
    <s v="Raheem Mostert"/>
    <n v="-0.2"/>
    <n v="2024"/>
  </r>
  <r>
    <x v="1"/>
    <s v="Todd"/>
    <n v="11"/>
    <x v="3"/>
    <s v="Tucker Kraft"/>
    <n v="0"/>
    <n v="2024"/>
  </r>
  <r>
    <x v="1"/>
    <s v="Todd"/>
    <n v="11"/>
    <x v="5"/>
    <s v="Chris Boswell"/>
    <n v="24"/>
    <n v="2024"/>
  </r>
  <r>
    <x v="1"/>
    <s v="Todd"/>
    <n v="11"/>
    <x v="4"/>
    <s v="Green Bay"/>
    <n v="5"/>
    <n v="2024"/>
  </r>
  <r>
    <x v="1"/>
    <s v="Todd"/>
    <n v="11"/>
    <x v="6"/>
    <s v="Darnell Mooney"/>
    <n v="3.7"/>
    <n v="2024"/>
  </r>
  <r>
    <x v="4"/>
    <s v="Eli"/>
    <n v="11"/>
    <x v="0"/>
    <s v="Jalen Hurts"/>
    <n v="18.739999999999998"/>
    <n v="2024"/>
  </r>
  <r>
    <x v="4"/>
    <s v="Eli"/>
    <n v="11"/>
    <x v="1"/>
    <s v="Justin Jefferson"/>
    <n v="11.1"/>
    <n v="2024"/>
  </r>
  <r>
    <x v="4"/>
    <s v="Eli"/>
    <n v="11"/>
    <x v="1"/>
    <s v="DJ Moore"/>
    <n v="10.199999999999999"/>
    <n v="2024"/>
  </r>
  <r>
    <x v="4"/>
    <s v="Eli"/>
    <n v="11"/>
    <x v="1"/>
    <s v="Marquez Valdes-Scantling"/>
    <n v="15.7"/>
    <n v="2024"/>
  </r>
  <r>
    <x v="4"/>
    <s v="Eli"/>
    <n v="11"/>
    <x v="2"/>
    <s v="Bijan Robinson"/>
    <n v="8.3000000000000007"/>
    <n v="2024"/>
  </r>
  <r>
    <x v="4"/>
    <s v="Eli"/>
    <n v="11"/>
    <x v="2"/>
    <s v="Tyjae Spears"/>
    <n v="1.8"/>
    <n v="2024"/>
  </r>
  <r>
    <x v="4"/>
    <s v="Eli"/>
    <n v="11"/>
    <x v="3"/>
    <s v="David Njoku"/>
    <n v="14.6"/>
    <n v="2024"/>
  </r>
  <r>
    <x v="4"/>
    <s v="Eli"/>
    <n v="11"/>
    <x v="5"/>
    <s v="Tyler Bass"/>
    <n v="5"/>
    <n v="2024"/>
  </r>
  <r>
    <x v="4"/>
    <s v="Eli"/>
    <n v="11"/>
    <x v="4"/>
    <s v="NYJ"/>
    <n v="2"/>
    <n v="2024"/>
  </r>
  <r>
    <x v="4"/>
    <s v="Eli"/>
    <n v="11"/>
    <x v="6"/>
    <s v="Rome Odunze"/>
    <n v="9.5"/>
    <n v="2024"/>
  </r>
  <r>
    <x v="10"/>
    <s v="Brand"/>
    <n v="11"/>
    <x v="0"/>
    <s v="Kirk Cousins"/>
    <n v="4.92"/>
    <n v="2024"/>
  </r>
  <r>
    <x v="10"/>
    <s v="Brand"/>
    <n v="11"/>
    <x v="1"/>
    <s v="Jameson Williams"/>
    <n v="20.6"/>
    <n v="2024"/>
  </r>
  <r>
    <x v="10"/>
    <s v="Brand"/>
    <n v="11"/>
    <x v="1"/>
    <s v="Michael Pittman"/>
    <n v="7.1"/>
    <n v="2024"/>
  </r>
  <r>
    <x v="10"/>
    <s v="Brand"/>
    <n v="11"/>
    <x v="1"/>
    <s v="Keenan Allen"/>
    <n v="6.1"/>
    <n v="2024"/>
  </r>
  <r>
    <x v="10"/>
    <s v="Brand"/>
    <n v="11"/>
    <x v="2"/>
    <s v="Breece Hall"/>
    <n v="27.6"/>
    <n v="2024"/>
  </r>
  <r>
    <x v="10"/>
    <s v="Brand"/>
    <n v="11"/>
    <x v="2"/>
    <s v="Kenneth Walker"/>
    <n v="12.9"/>
    <n v="2024"/>
  </r>
  <r>
    <x v="10"/>
    <s v="Brand"/>
    <n v="11"/>
    <x v="3"/>
    <s v="TJ Hockenson"/>
    <n v="2.2999999999999998"/>
    <n v="2024"/>
  </r>
  <r>
    <x v="10"/>
    <s v="Brand"/>
    <n v="11"/>
    <x v="5"/>
    <s v="Cameron Dicker"/>
    <n v="12"/>
    <n v="2024"/>
  </r>
  <r>
    <x v="10"/>
    <s v="Brand"/>
    <n v="11"/>
    <x v="4"/>
    <s v="Miami"/>
    <n v="5"/>
    <n v="2024"/>
  </r>
  <r>
    <x v="10"/>
    <s v="Brand"/>
    <n v="11"/>
    <x v="6"/>
    <s v="Garrett Wilson"/>
    <n v="3.8"/>
    <n v="2024"/>
  </r>
  <r>
    <x v="8"/>
    <s v="Schulwolf"/>
    <n v="11"/>
    <x v="0"/>
    <s v="Jayden Daniels"/>
    <n v="13.44"/>
    <n v="2024"/>
  </r>
  <r>
    <x v="8"/>
    <s v="Schulwolf"/>
    <n v="11"/>
    <x v="1"/>
    <s v="Cooper Kupp"/>
    <n v="25.6"/>
    <n v="2024"/>
  </r>
  <r>
    <x v="8"/>
    <s v="Schulwolf"/>
    <n v="11"/>
    <x v="1"/>
    <s v="Devonta Smith"/>
    <n v="4.9000000000000004"/>
    <n v="2024"/>
  </r>
  <r>
    <x v="8"/>
    <s v="Schulwolf"/>
    <n v="11"/>
    <x v="1"/>
    <s v="Rashod Bateman"/>
    <n v="4"/>
    <n v="2024"/>
  </r>
  <r>
    <x v="8"/>
    <s v="Schulwolf"/>
    <n v="11"/>
    <x v="2"/>
    <s v="Jahmyr Gibbs"/>
    <n v="18.8"/>
    <n v="2024"/>
  </r>
  <r>
    <x v="8"/>
    <s v="Schulwolf"/>
    <n v="11"/>
    <x v="2"/>
    <s v="James Cook"/>
    <n v="17.2"/>
    <n v="2024"/>
  </r>
  <r>
    <x v="8"/>
    <s v="Schulwolf"/>
    <n v="11"/>
    <x v="3"/>
    <s v="Dawson Knox"/>
    <n v="6"/>
    <n v="2024"/>
  </r>
  <r>
    <x v="8"/>
    <s v="Schulwolf"/>
    <n v="11"/>
    <x v="5"/>
    <s v="Brandon Aubrey"/>
    <n v="5"/>
    <n v="2024"/>
  </r>
  <r>
    <x v="8"/>
    <s v="Schulwolf"/>
    <n v="11"/>
    <x v="4"/>
    <s v="Denver"/>
    <n v="14"/>
    <n v="2024"/>
  </r>
  <r>
    <x v="8"/>
    <s v="Schulwolf"/>
    <n v="11"/>
    <x v="6"/>
    <s v="Terry McLaurin"/>
    <n v="1.5"/>
    <n v="2024"/>
  </r>
  <r>
    <x v="11"/>
    <s v="Cam"/>
    <n v="11"/>
    <x v="0"/>
    <s v="Joe Burrow"/>
    <n v="29.04"/>
    <n v="2024"/>
  </r>
  <r>
    <x v="11"/>
    <s v="Cam"/>
    <n v="11"/>
    <x v="1"/>
    <s v="Ja'Marr Chase"/>
    <n v="23"/>
    <n v="2024"/>
  </r>
  <r>
    <x v="11"/>
    <s v="Cam"/>
    <n v="11"/>
    <x v="1"/>
    <s v="Nico Collins"/>
    <n v="7.4"/>
    <n v="2024"/>
  </r>
  <r>
    <x v="11"/>
    <s v="Cam"/>
    <n v="11"/>
    <x v="1"/>
    <s v="Jakobi Meyers"/>
    <n v="6.8"/>
    <n v="2024"/>
  </r>
  <r>
    <x v="11"/>
    <s v="Cam"/>
    <n v="11"/>
    <x v="2"/>
    <s v="JK Dobbins"/>
    <n v="18.399999999999999"/>
    <n v="2024"/>
  </r>
  <r>
    <x v="11"/>
    <s v="Cam"/>
    <n v="11"/>
    <x v="2"/>
    <s v="Rhamondre Stevenson"/>
    <n v="10.9"/>
    <n v="2024"/>
  </r>
  <r>
    <x v="11"/>
    <s v="Cam"/>
    <n v="11"/>
    <x v="3"/>
    <s v="Dalton Schultz"/>
    <n v="5.8"/>
    <n v="2024"/>
  </r>
  <r>
    <x v="11"/>
    <s v="Cam"/>
    <n v="11"/>
    <x v="5"/>
    <s v="Jason Sanders"/>
    <n v="11"/>
    <n v="2024"/>
  </r>
  <r>
    <x v="11"/>
    <s v="Cam"/>
    <n v="11"/>
    <x v="4"/>
    <s v="Washington"/>
    <n v="-2"/>
    <n v="2024"/>
  </r>
  <r>
    <x v="11"/>
    <s v="Cam"/>
    <n v="11"/>
    <x v="7"/>
    <s v="Aaron Jones"/>
    <n v="4.8"/>
    <n v="2024"/>
  </r>
  <r>
    <x v="7"/>
    <s v="Jay"/>
    <n v="11"/>
    <x v="0"/>
    <s v="Lamar Jackson"/>
    <n v="14.88"/>
    <n v="2024"/>
  </r>
  <r>
    <x v="7"/>
    <s v="Jay"/>
    <n v="11"/>
    <x v="1"/>
    <s v="Tee Higgins"/>
    <n v="25.3"/>
    <n v="2024"/>
  </r>
  <r>
    <x v="7"/>
    <s v="Jay"/>
    <n v="11"/>
    <x v="1"/>
    <s v="Jauan Jennings"/>
    <n v="20.100000000000001"/>
    <n v="2024"/>
  </r>
  <r>
    <x v="7"/>
    <s v="Jay"/>
    <n v="11"/>
    <x v="1"/>
    <s v="Amari Cooper"/>
    <n v="6.5"/>
    <n v="2024"/>
  </r>
  <r>
    <x v="7"/>
    <s v="Jay"/>
    <n v="11"/>
    <x v="2"/>
    <s v="Brian Robinson"/>
    <n v="13.7"/>
    <n v="2024"/>
  </r>
  <r>
    <x v="7"/>
    <s v="Jay"/>
    <n v="11"/>
    <x v="2"/>
    <s v="Alvin Kamara"/>
    <n v="10.9"/>
    <n v="2024"/>
  </r>
  <r>
    <x v="7"/>
    <s v="Jay"/>
    <n v="11"/>
    <x v="3"/>
    <s v="Evan Engram"/>
    <n v="5.3"/>
    <n v="2024"/>
  </r>
  <r>
    <x v="7"/>
    <s v="Jay"/>
    <n v="11"/>
    <x v="5"/>
    <s v="Ka'imi Fairbairn"/>
    <n v="10"/>
    <n v="2024"/>
  </r>
  <r>
    <x v="7"/>
    <s v="Jay"/>
    <n v="11"/>
    <x v="4"/>
    <s v="New Orleans"/>
    <n v="0"/>
    <n v="2024"/>
  </r>
  <r>
    <x v="7"/>
    <s v="Jay"/>
    <n v="11"/>
    <x v="7"/>
    <s v="Jonathan Taylor"/>
    <n v="6.5"/>
    <n v="2024"/>
  </r>
  <r>
    <x v="5"/>
    <s v="Burnett/Jasjaap"/>
    <n v="11"/>
    <x v="0"/>
    <s v="Brock Purdy"/>
    <n v="18.36"/>
    <n v="2024"/>
  </r>
  <r>
    <x v="5"/>
    <s v="Burnett/Jasjaap"/>
    <n v="11"/>
    <x v="1"/>
    <s v="CeeDee Lamb"/>
    <n v="14.6"/>
    <n v="2024"/>
  </r>
  <r>
    <x v="5"/>
    <s v="Burnett/Jasjaap"/>
    <n v="11"/>
    <x v="1"/>
    <s v="Puka Nacua"/>
    <n v="21.8"/>
    <n v="2024"/>
  </r>
  <r>
    <x v="5"/>
    <s v="Burnett/Jasjaap"/>
    <n v="11"/>
    <x v="1"/>
    <s v="Jaylen Waddle"/>
    <n v="4.7"/>
    <n v="2024"/>
  </r>
  <r>
    <x v="5"/>
    <s v="Burnett/Jasjaap"/>
    <n v="11"/>
    <x v="2"/>
    <s v="David Montgomery"/>
    <n v="23"/>
    <n v="2024"/>
  </r>
  <r>
    <x v="5"/>
    <s v="Burnett/Jasjaap"/>
    <n v="11"/>
    <x v="2"/>
    <s v="Josh Jacobs"/>
    <n v="21.4"/>
    <n v="2024"/>
  </r>
  <r>
    <x v="5"/>
    <s v="Burnett/Jasjaap"/>
    <n v="11"/>
    <x v="3"/>
    <s v="Brock Bowers"/>
    <n v="24.8"/>
    <n v="2024"/>
  </r>
  <r>
    <x v="5"/>
    <s v="Burnett/Jasjaap"/>
    <n v="11"/>
    <x v="5"/>
    <s v="Jake Bates"/>
    <n v="12"/>
    <n v="2024"/>
  </r>
  <r>
    <x v="5"/>
    <s v="Burnett/Jasjaap"/>
    <n v="11"/>
    <x v="4"/>
    <s v="Kansas City"/>
    <n v="0"/>
    <n v="2024"/>
  </r>
  <r>
    <x v="5"/>
    <s v="Burnett/Jasjaap"/>
    <n v="11"/>
    <x v="7"/>
    <s v="Rico Dowdle"/>
    <n v="4.4000000000000004"/>
    <n v="2024"/>
  </r>
  <r>
    <x v="3"/>
    <s v="Kevin"/>
    <n v="11"/>
    <x v="0"/>
    <s v="Justin Herbert"/>
    <n v="24.38"/>
    <n v="2024"/>
  </r>
  <r>
    <x v="3"/>
    <s v="Kevin"/>
    <n v="11"/>
    <x v="1"/>
    <s v="George Pickens"/>
    <n v="12.9"/>
    <n v="2024"/>
  </r>
  <r>
    <x v="3"/>
    <s v="Kevin"/>
    <n v="11"/>
    <x v="1"/>
    <s v="Jordan Addison"/>
    <n v="13.6"/>
    <n v="2024"/>
  </r>
  <r>
    <x v="3"/>
    <s v="Kevin"/>
    <n v="11"/>
    <x v="1"/>
    <s v="DeAndre Hopkins"/>
    <n v="4.4000000000000004"/>
    <n v="2024"/>
  </r>
  <r>
    <x v="3"/>
    <s v="Kevin"/>
    <n v="11"/>
    <x v="2"/>
    <s v="Joe Mixon"/>
    <n v="34.299999999999997"/>
    <n v="2024"/>
  </r>
  <r>
    <x v="3"/>
    <s v="Kevin"/>
    <n v="11"/>
    <x v="2"/>
    <s v="Najee Harris"/>
    <n v="11.3"/>
    <n v="2024"/>
  </r>
  <r>
    <x v="3"/>
    <s v="Kevin"/>
    <n v="11"/>
    <x v="3"/>
    <s v="Hunter Henry"/>
    <n v="9.3000000000000007"/>
    <n v="2024"/>
  </r>
  <r>
    <x v="3"/>
    <s v="Kevin"/>
    <n v="11"/>
    <x v="5"/>
    <s v="Justin Tucker"/>
    <n v="5"/>
    <n v="2024"/>
  </r>
  <r>
    <x v="3"/>
    <s v="Kevin"/>
    <n v="11"/>
    <x v="4"/>
    <s v="LA Rams"/>
    <n v="8"/>
    <n v="2024"/>
  </r>
  <r>
    <x v="3"/>
    <s v="Kevin"/>
    <n v="11"/>
    <x v="6"/>
    <s v="Gabe Davis"/>
    <n v="0.8"/>
    <n v="2024"/>
  </r>
  <r>
    <x v="9"/>
    <s v="Tommy"/>
    <n v="11"/>
    <x v="0"/>
    <s v="Josh Allen"/>
    <n v="23.98"/>
    <n v="2024"/>
  </r>
  <r>
    <x v="9"/>
    <s v="Tommy"/>
    <n v="11"/>
    <x v="1"/>
    <s v="Xavier Worthy"/>
    <n v="14.8"/>
    <n v="2024"/>
  </r>
  <r>
    <x v="9"/>
    <s v="Tommy"/>
    <n v="11"/>
    <x v="1"/>
    <s v="DK Metcalf"/>
    <n v="10.5"/>
    <n v="2024"/>
  </r>
  <r>
    <x v="9"/>
    <s v="Tommy"/>
    <n v="11"/>
    <x v="1"/>
    <s v="Romeo Doubs"/>
    <n v="2.2000000000000002"/>
    <n v="2024"/>
  </r>
  <r>
    <x v="9"/>
    <s v="Tommy"/>
    <n v="11"/>
    <x v="2"/>
    <s v="Saquon Barkley"/>
    <n v="32.799999999999997"/>
    <n v="2024"/>
  </r>
  <r>
    <x v="9"/>
    <s v="Tommy"/>
    <n v="11"/>
    <x v="2"/>
    <s v="Kyren Williams"/>
    <n v="8.6"/>
    <n v="2024"/>
  </r>
  <r>
    <x v="9"/>
    <s v="Tommy"/>
    <n v="11"/>
    <x v="3"/>
    <s v="Mark Andrews"/>
    <n v="3.2"/>
    <n v="2024"/>
  </r>
  <r>
    <x v="9"/>
    <s v="Tommy"/>
    <n v="11"/>
    <x v="5"/>
    <s v="Brandon McManus"/>
    <n v="2"/>
    <n v="2024"/>
  </r>
  <r>
    <x v="9"/>
    <s v="Tommy"/>
    <n v="11"/>
    <x v="4"/>
    <s v="Minnesota"/>
    <n v="12"/>
    <n v="2024"/>
  </r>
  <r>
    <x v="9"/>
    <s v="Tommy"/>
    <n v="11"/>
    <x v="6"/>
    <s v="Noah Brown"/>
    <n v="0.9"/>
    <n v="2024"/>
  </r>
  <r>
    <x v="0"/>
    <s v="Brenton"/>
    <n v="12"/>
    <x v="0"/>
    <s v="Baker Mayfield"/>
    <n v="18.66"/>
    <n v="2024"/>
  </r>
  <r>
    <x v="0"/>
    <s v="Brenton"/>
    <n v="12"/>
    <x v="1"/>
    <s v="Courtland Sutton"/>
    <n v="25.7"/>
    <n v="2024"/>
  </r>
  <r>
    <x v="0"/>
    <s v="Brenton"/>
    <n v="12"/>
    <x v="1"/>
    <s v="Zay Flowers"/>
    <n v="8.6999999999999993"/>
    <n v="2024"/>
  </r>
  <r>
    <x v="0"/>
    <s v="Brenton"/>
    <n v="12"/>
    <x v="1"/>
    <s v="Tyreek Hill"/>
    <n v="7.3"/>
    <n v="2024"/>
  </r>
  <r>
    <x v="0"/>
    <s v="Brenton"/>
    <n v="12"/>
    <x v="2"/>
    <s v="Tyrone Tracy"/>
    <n v="7"/>
    <n v="2024"/>
  </r>
  <r>
    <x v="0"/>
    <s v="Brenton"/>
    <n v="12"/>
    <x v="2"/>
    <s v="Christian McCaffrey"/>
    <n v="6.3"/>
    <n v="2024"/>
  </r>
  <r>
    <x v="0"/>
    <s v="Brenton"/>
    <n v="12"/>
    <x v="3"/>
    <s v="Jonnu Smith"/>
    <n v="19.2"/>
    <n v="2024"/>
  </r>
  <r>
    <x v="0"/>
    <s v="Brenton"/>
    <n v="12"/>
    <x v="5"/>
    <s v="Jake Elliott"/>
    <n v="13"/>
    <n v="2024"/>
  </r>
  <r>
    <x v="0"/>
    <s v="Brenton"/>
    <n v="12"/>
    <x v="4"/>
    <s v="Detroit"/>
    <n v="8"/>
    <n v="2024"/>
  </r>
  <r>
    <x v="0"/>
    <s v="Brenton"/>
    <n v="12"/>
    <x v="6"/>
    <s v="Jayden Reed"/>
    <n v="4.0999999999999996"/>
    <n v="2024"/>
  </r>
  <r>
    <x v="1"/>
    <s v="Todd"/>
    <n v="12"/>
    <x v="0"/>
    <s v="Anthony Richardson"/>
    <n v="12.98"/>
    <n v="2024"/>
  </r>
  <r>
    <x v="1"/>
    <s v="Todd"/>
    <n v="12"/>
    <x v="1"/>
    <s v="AJ Brown"/>
    <n v="19.899999999999999"/>
    <n v="2024"/>
  </r>
  <r>
    <x v="1"/>
    <s v="Todd"/>
    <n v="12"/>
    <x v="1"/>
    <s v="Calvin Ridley"/>
    <n v="11.8"/>
    <n v="2024"/>
  </r>
  <r>
    <x v="1"/>
    <s v="Todd"/>
    <n v="12"/>
    <x v="1"/>
    <s v="Deebo Samuel"/>
    <n v="2.6"/>
    <n v="2024"/>
  </r>
  <r>
    <x v="1"/>
    <s v="Todd"/>
    <n v="12"/>
    <x v="2"/>
    <s v="De'Von Achane"/>
    <n v="19.100000000000001"/>
    <n v="2024"/>
  </r>
  <r>
    <x v="1"/>
    <s v="Todd"/>
    <n v="12"/>
    <x v="2"/>
    <s v="James Conner"/>
    <n v="7.4"/>
    <n v="2024"/>
  </r>
  <r>
    <x v="1"/>
    <s v="Todd"/>
    <n v="12"/>
    <x v="3"/>
    <s v="Tucker Kraft"/>
    <n v="9.6"/>
    <n v="2024"/>
  </r>
  <r>
    <x v="1"/>
    <s v="Todd"/>
    <n v="12"/>
    <x v="5"/>
    <s v="Chris Boswell"/>
    <n v="8"/>
    <n v="2024"/>
  </r>
  <r>
    <x v="1"/>
    <s v="Todd"/>
    <n v="12"/>
    <x v="4"/>
    <s v="Chicago"/>
    <n v="0"/>
    <n v="2024"/>
  </r>
  <r>
    <x v="1"/>
    <s v="Todd"/>
    <n v="12"/>
    <x v="6"/>
    <s v="Diontae Johnson"/>
    <n v="0"/>
    <n v="2024"/>
  </r>
  <r>
    <x v="2"/>
    <s v="Mike"/>
    <n v="12"/>
    <x v="0"/>
    <s v="Patrick Mahomes"/>
    <n v="28.76"/>
    <n v="2024"/>
  </r>
  <r>
    <x v="2"/>
    <s v="Mike"/>
    <n v="12"/>
    <x v="1"/>
    <s v="Devaughn Vele"/>
    <n v="11"/>
    <n v="2024"/>
  </r>
  <r>
    <x v="2"/>
    <s v="Mike"/>
    <n v="12"/>
    <x v="1"/>
    <s v="Mike Evans"/>
    <n v="9.3000000000000007"/>
    <n v="2024"/>
  </r>
  <r>
    <x v="2"/>
    <s v="Mike"/>
    <n v="12"/>
    <x v="1"/>
    <s v="Tank Dell"/>
    <n v="8.6999999999999993"/>
    <n v="2024"/>
  </r>
  <r>
    <x v="2"/>
    <s v="Mike"/>
    <n v="12"/>
    <x v="2"/>
    <s v="Nick Chubb"/>
    <n v="18.5"/>
    <n v="2024"/>
  </r>
  <r>
    <x v="2"/>
    <s v="Mike"/>
    <n v="12"/>
    <x v="2"/>
    <s v="Derrick Henry"/>
    <n v="14"/>
    <n v="2024"/>
  </r>
  <r>
    <x v="2"/>
    <s v="Mike"/>
    <n v="12"/>
    <x v="3"/>
    <s v="Sam LaPorta"/>
    <n v="3.4"/>
    <n v="2024"/>
  </r>
  <r>
    <x v="2"/>
    <s v="Mike"/>
    <n v="12"/>
    <x v="5"/>
    <s v="Chase McLaughlin"/>
    <n v="5"/>
    <n v="2024"/>
  </r>
  <r>
    <x v="2"/>
    <s v="Mike"/>
    <n v="12"/>
    <x v="4"/>
    <s v="Tampa Bay"/>
    <n v="11"/>
    <n v="2024"/>
  </r>
  <r>
    <x v="2"/>
    <s v="Mike"/>
    <n v="12"/>
    <x v="7"/>
    <s v="Kareem Hunt"/>
    <n v="10.199999999999999"/>
    <n v="2024"/>
  </r>
  <r>
    <x v="3"/>
    <s v="Kevin"/>
    <n v="12"/>
    <x v="0"/>
    <s v="CJ Stroud"/>
    <n v="15.68"/>
    <n v="2024"/>
  </r>
  <r>
    <x v="3"/>
    <s v="Kevin"/>
    <n v="12"/>
    <x v="1"/>
    <s v="DeAndre Hopkins"/>
    <n v="12"/>
    <n v="2024"/>
  </r>
  <r>
    <x v="3"/>
    <s v="Kevin"/>
    <n v="12"/>
    <x v="1"/>
    <s v="George Pickens"/>
    <n v="6.8"/>
    <n v="2024"/>
  </r>
  <r>
    <x v="3"/>
    <s v="Kevin"/>
    <n v="12"/>
    <x v="1"/>
    <s v="Marvin Harrison Jr"/>
    <n v="6.2"/>
    <n v="2024"/>
  </r>
  <r>
    <x v="3"/>
    <s v="Kevin"/>
    <n v="12"/>
    <x v="2"/>
    <s v="Chuba Hubbard"/>
    <n v="14.5"/>
    <n v="2024"/>
  </r>
  <r>
    <x v="3"/>
    <s v="Kevin"/>
    <n v="12"/>
    <x v="2"/>
    <s v="Joe Mixon"/>
    <n v="7"/>
    <n v="2024"/>
  </r>
  <r>
    <x v="3"/>
    <s v="Kevin"/>
    <n v="12"/>
    <x v="3"/>
    <s v="Hunter Henry"/>
    <n v="6.9"/>
    <n v="2024"/>
  </r>
  <r>
    <x v="3"/>
    <s v="Kevin"/>
    <n v="12"/>
    <x v="5"/>
    <s v="Justin Tucker"/>
    <n v="7"/>
    <n v="2024"/>
  </r>
  <r>
    <x v="3"/>
    <s v="Kevin"/>
    <n v="12"/>
    <x v="4"/>
    <s v="Philadelphia"/>
    <n v="9"/>
    <n v="2024"/>
  </r>
  <r>
    <x v="3"/>
    <s v="Kevin"/>
    <n v="12"/>
    <x v="7"/>
    <s v="Najee Harris"/>
    <n v="6.4"/>
    <n v="2024"/>
  </r>
  <r>
    <x v="4"/>
    <s v="Eli"/>
    <n v="12"/>
    <x v="0"/>
    <s v="Jalen Hurts"/>
    <n v="15.06"/>
    <n v="2024"/>
  </r>
  <r>
    <x v="4"/>
    <s v="Eli"/>
    <n v="12"/>
    <x v="1"/>
    <s v="DJ Moore"/>
    <n v="23.4"/>
    <n v="2024"/>
  </r>
  <r>
    <x v="4"/>
    <s v="Eli"/>
    <n v="12"/>
    <x v="1"/>
    <s v="Rome Odunze"/>
    <n v="6.4"/>
    <n v="2024"/>
  </r>
  <r>
    <x v="4"/>
    <s v="Eli"/>
    <n v="12"/>
    <x v="1"/>
    <s v="Xavier Legette"/>
    <n v="7.6"/>
    <n v="2024"/>
  </r>
  <r>
    <x v="4"/>
    <s v="Eli"/>
    <n v="12"/>
    <x v="2"/>
    <s v="Gus Edwards"/>
    <n v="7.1"/>
    <n v="2024"/>
  </r>
  <r>
    <x v="4"/>
    <s v="Eli"/>
    <n v="12"/>
    <x v="2"/>
    <s v="Tyjae Spears"/>
    <n v="0"/>
    <n v="2024"/>
  </r>
  <r>
    <x v="4"/>
    <s v="Eli"/>
    <n v="12"/>
    <x v="3"/>
    <s v="David Njoku"/>
    <n v="3.4"/>
    <n v="2024"/>
  </r>
  <r>
    <x v="4"/>
    <s v="Eli"/>
    <n v="12"/>
    <x v="5"/>
    <s v="Tyler Bass"/>
    <n v="0"/>
    <n v="2024"/>
  </r>
  <r>
    <x v="4"/>
    <s v="Eli"/>
    <n v="12"/>
    <x v="4"/>
    <s v="NYJ"/>
    <n v="0"/>
    <n v="2024"/>
  </r>
  <r>
    <x v="4"/>
    <s v="Eli"/>
    <n v="12"/>
    <x v="6"/>
    <s v="Justin Jefferson"/>
    <n v="3.7"/>
    <n v="2024"/>
  </r>
  <r>
    <x v="5"/>
    <s v="Burnett/Jasjaap"/>
    <n v="12"/>
    <x v="0"/>
    <s v="Bo Nix"/>
    <n v="19.420000000000002"/>
    <n v="2024"/>
  </r>
  <r>
    <x v="5"/>
    <s v="Burnett/Jasjaap"/>
    <n v="12"/>
    <x v="1"/>
    <s v="CeeDee Lamb"/>
    <n v="11.8"/>
    <n v="2024"/>
  </r>
  <r>
    <x v="5"/>
    <s v="Burnett/Jasjaap"/>
    <n v="12"/>
    <x v="1"/>
    <s v="Puka Nacua"/>
    <n v="16.2"/>
    <n v="2024"/>
  </r>
  <r>
    <x v="5"/>
    <s v="Burnett/Jasjaap"/>
    <n v="12"/>
    <x v="1"/>
    <s v="Jaylen Waddle"/>
    <n v="24.4"/>
    <n v="2024"/>
  </r>
  <r>
    <x v="5"/>
    <s v="Burnett/Jasjaap"/>
    <n v="12"/>
    <x v="2"/>
    <s v="Josh Jacobs"/>
    <n v="28.6"/>
    <n v="2024"/>
  </r>
  <r>
    <x v="5"/>
    <s v="Burnett/Jasjaap"/>
    <n v="12"/>
    <x v="2"/>
    <s v="David Montgomery"/>
    <n v="14.8"/>
    <n v="2024"/>
  </r>
  <r>
    <x v="5"/>
    <s v="Burnett/Jasjaap"/>
    <n v="12"/>
    <x v="3"/>
    <s v="Brock Bowers"/>
    <n v="5.8"/>
    <n v="2024"/>
  </r>
  <r>
    <x v="5"/>
    <s v="Burnett/Jasjaap"/>
    <n v="12"/>
    <x v="5"/>
    <s v="Austin Seibert"/>
    <n v="7"/>
    <n v="2024"/>
  </r>
  <r>
    <x v="5"/>
    <s v="Burnett/Jasjaap"/>
    <n v="12"/>
    <x v="4"/>
    <s v="Kansas City"/>
    <n v="1"/>
    <n v="2024"/>
  </r>
  <r>
    <x v="5"/>
    <s v="Burnett/Jasjaap"/>
    <n v="12"/>
    <x v="7"/>
    <s v="Rico Dowdle"/>
    <n v="9.3000000000000007"/>
    <n v="2024"/>
  </r>
  <r>
    <x v="6"/>
    <s v="Will"/>
    <n v="12"/>
    <x v="0"/>
    <s v="Geno Smith"/>
    <n v="12.36"/>
    <n v="2024"/>
  </r>
  <r>
    <x v="6"/>
    <s v="Will"/>
    <n v="12"/>
    <x v="1"/>
    <s v="Jaxon Smith-Njigba"/>
    <n v="16.7"/>
    <n v="2024"/>
  </r>
  <r>
    <x v="6"/>
    <s v="Will"/>
    <n v="12"/>
    <x v="1"/>
    <s v="Amon-Ra St. Brown"/>
    <n v="9.1999999999999993"/>
    <n v="2024"/>
  </r>
  <r>
    <x v="6"/>
    <s v="Will"/>
    <n v="12"/>
    <x v="1"/>
    <s v="Ladd McConkey"/>
    <n v="11.3"/>
    <n v="2024"/>
  </r>
  <r>
    <x v="6"/>
    <s v="Will"/>
    <n v="12"/>
    <x v="2"/>
    <s v="Tony Pollard"/>
    <n v="20.399999999999999"/>
    <n v="2024"/>
  </r>
  <r>
    <x v="6"/>
    <s v="Will"/>
    <n v="12"/>
    <x v="2"/>
    <s v="Austin Ekeler"/>
    <n v="3.4"/>
    <n v="2024"/>
  </r>
  <r>
    <x v="6"/>
    <s v="Will"/>
    <n v="12"/>
    <x v="3"/>
    <s v="Travis Kelce"/>
    <n v="9.1999999999999993"/>
    <n v="2024"/>
  </r>
  <r>
    <x v="6"/>
    <s v="Will"/>
    <n v="12"/>
    <x v="5"/>
    <s v="Jake Moody"/>
    <n v="5"/>
    <n v="2024"/>
  </r>
  <r>
    <x v="6"/>
    <s v="Will"/>
    <n v="12"/>
    <x v="4"/>
    <s v="Houston"/>
    <n v="18"/>
    <n v="2024"/>
  </r>
  <r>
    <x v="6"/>
    <s v="Will"/>
    <n v="12"/>
    <x v="6"/>
    <s v="Josh Downs"/>
    <n v="4.2"/>
    <n v="2024"/>
  </r>
  <r>
    <x v="7"/>
    <s v="Jay"/>
    <n v="12"/>
    <x v="0"/>
    <s v="Lamar Jackson"/>
    <n v="22.58"/>
    <n v="2024"/>
  </r>
  <r>
    <x v="7"/>
    <s v="Jay"/>
    <n v="12"/>
    <x v="1"/>
    <s v="Jauan Jennings"/>
    <n v="6.5"/>
    <n v="2024"/>
  </r>
  <r>
    <x v="7"/>
    <s v="Jay"/>
    <n v="12"/>
    <x v="1"/>
    <s v="Kayshon Boutte"/>
    <n v="1.1000000000000001"/>
    <n v="2024"/>
  </r>
  <r>
    <x v="7"/>
    <s v="Jay"/>
    <n v="12"/>
    <x v="1"/>
    <s v="Elijah Moore"/>
    <n v="3.6"/>
    <n v="2024"/>
  </r>
  <r>
    <x v="7"/>
    <s v="Jay"/>
    <n v="12"/>
    <x v="2"/>
    <s v="Brian Robinson"/>
    <n v="2.9"/>
    <n v="2024"/>
  </r>
  <r>
    <x v="7"/>
    <s v="Jay"/>
    <n v="12"/>
    <x v="2"/>
    <s v="Jonathan Taylor"/>
    <n v="3.5"/>
    <n v="2024"/>
  </r>
  <r>
    <x v="7"/>
    <s v="Jay"/>
    <n v="12"/>
    <x v="3"/>
    <s v="Zach Ertz"/>
    <n v="12.8"/>
    <n v="2024"/>
  </r>
  <r>
    <x v="7"/>
    <s v="Jay"/>
    <n v="12"/>
    <x v="5"/>
    <s v="Ka'imi Fairbairn"/>
    <n v="10"/>
    <n v="2024"/>
  </r>
  <r>
    <x v="7"/>
    <s v="Jay"/>
    <n v="12"/>
    <x v="4"/>
    <s v="Cleveland"/>
    <n v="6"/>
    <n v="2024"/>
  </r>
  <r>
    <x v="7"/>
    <s v="Jay"/>
    <n v="12"/>
    <x v="6"/>
    <s v="Quentin Johnston"/>
    <n v="0"/>
    <n v="2024"/>
  </r>
  <r>
    <x v="8"/>
    <s v="Schulwolf"/>
    <n v="12"/>
    <x v="0"/>
    <s v="Jayden Daniels"/>
    <n v="30.4"/>
    <n v="2024"/>
  </r>
  <r>
    <x v="8"/>
    <s v="Schulwolf"/>
    <n v="12"/>
    <x v="1"/>
    <s v="Terry McLaurin"/>
    <n v="18.7"/>
    <n v="2024"/>
  </r>
  <r>
    <x v="8"/>
    <s v="Schulwolf"/>
    <n v="12"/>
    <x v="1"/>
    <s v="Cooper Kupp"/>
    <n v="16"/>
    <n v="2024"/>
  </r>
  <r>
    <x v="8"/>
    <s v="Schulwolf"/>
    <n v="12"/>
    <x v="1"/>
    <s v="Rashod Bateman"/>
    <n v="11.3"/>
    <n v="2024"/>
  </r>
  <r>
    <x v="8"/>
    <s v="Schulwolf"/>
    <n v="12"/>
    <x v="2"/>
    <s v="Jahmyr Gibbs"/>
    <n v="23.4"/>
    <n v="2024"/>
  </r>
  <r>
    <x v="8"/>
    <s v="Schulwolf"/>
    <n v="12"/>
    <x v="2"/>
    <s v="Jaylen Warren"/>
    <n v="13.9"/>
    <n v="2024"/>
  </r>
  <r>
    <x v="8"/>
    <s v="Schulwolf"/>
    <n v="12"/>
    <x v="3"/>
    <s v="Will Dissly"/>
    <n v="6.7"/>
    <n v="2024"/>
  </r>
  <r>
    <x v="8"/>
    <s v="Schulwolf"/>
    <n v="12"/>
    <x v="5"/>
    <s v="Brandon Aubrey"/>
    <n v="10"/>
    <n v="2024"/>
  </r>
  <r>
    <x v="8"/>
    <s v="Schulwolf"/>
    <n v="12"/>
    <x v="4"/>
    <s v="Denver"/>
    <n v="9"/>
    <n v="2024"/>
  </r>
  <r>
    <x v="8"/>
    <s v="Schulwolf"/>
    <n v="12"/>
    <x v="6"/>
    <s v="DeMario Douglas"/>
    <n v="8.8000000000000007"/>
    <n v="2024"/>
  </r>
  <r>
    <x v="9"/>
    <s v="Tommy"/>
    <n v="12"/>
    <x v="0"/>
    <s v="Jared Goff"/>
    <n v="10.76"/>
    <n v="2024"/>
  </r>
  <r>
    <x v="9"/>
    <s v="Tommy"/>
    <n v="12"/>
    <x v="1"/>
    <s v="Malik Nabers"/>
    <n v="9.4"/>
    <n v="2024"/>
  </r>
  <r>
    <x v="9"/>
    <s v="Tommy"/>
    <n v="12"/>
    <x v="1"/>
    <s v="DK Metcalf"/>
    <n v="7.9"/>
    <n v="2024"/>
  </r>
  <r>
    <x v="9"/>
    <s v="Tommy"/>
    <n v="12"/>
    <x v="1"/>
    <s v="Xavier Worthy"/>
    <n v="7.1"/>
    <n v="2024"/>
  </r>
  <r>
    <x v="9"/>
    <s v="Tommy"/>
    <n v="12"/>
    <x v="2"/>
    <s v="Saquon Barkley"/>
    <n v="44.2"/>
    <n v="2024"/>
  </r>
  <r>
    <x v="9"/>
    <s v="Tommy"/>
    <n v="12"/>
    <x v="2"/>
    <s v="Kyren Williams"/>
    <n v="11.2"/>
    <n v="2024"/>
  </r>
  <r>
    <x v="9"/>
    <s v="Tommy"/>
    <n v="12"/>
    <x v="3"/>
    <s v="Mark Andrews"/>
    <n v="13.1"/>
    <n v="2024"/>
  </r>
  <r>
    <x v="9"/>
    <s v="Tommy"/>
    <n v="12"/>
    <x v="5"/>
    <s v="Jason Myers"/>
    <n v="5"/>
    <n v="2024"/>
  </r>
  <r>
    <x v="9"/>
    <s v="Tommy"/>
    <n v="12"/>
    <x v="4"/>
    <s v="Minnesota"/>
    <n v="6"/>
    <n v="2024"/>
  </r>
  <r>
    <x v="9"/>
    <s v="Tommy"/>
    <n v="12"/>
    <x v="7"/>
    <s v="Rachaad White"/>
    <n v="11.2"/>
    <n v="2024"/>
  </r>
  <r>
    <x v="10"/>
    <s v="Brand"/>
    <n v="12"/>
    <x v="0"/>
    <s v="Tommy DeVito"/>
    <n v="10.76"/>
    <n v="2024"/>
  </r>
  <r>
    <x v="10"/>
    <s v="Brand"/>
    <n v="12"/>
    <x v="1"/>
    <s v="Keenan Allen"/>
    <n v="19.100000000000001"/>
    <n v="2024"/>
  </r>
  <r>
    <x v="10"/>
    <s v="Brand"/>
    <n v="12"/>
    <x v="1"/>
    <s v="Michael Pittman"/>
    <n v="12.6"/>
    <n v="2024"/>
  </r>
  <r>
    <x v="10"/>
    <s v="Brand"/>
    <n v="12"/>
    <x v="1"/>
    <s v="Jameson Williams"/>
    <n v="9.3000000000000007"/>
    <n v="2024"/>
  </r>
  <r>
    <x v="10"/>
    <s v="Brand"/>
    <n v="12"/>
    <x v="2"/>
    <s v="Bucky Irving"/>
    <n v="24.2"/>
    <n v="2024"/>
  </r>
  <r>
    <x v="10"/>
    <s v="Brand"/>
    <n v="12"/>
    <x v="2"/>
    <s v="Kenneth Walker"/>
    <n v="11.3"/>
    <n v="2024"/>
  </r>
  <r>
    <x v="10"/>
    <s v="Brand"/>
    <n v="12"/>
    <x v="3"/>
    <s v="Dallas Goedert"/>
    <n v="3.9"/>
    <n v="2024"/>
  </r>
  <r>
    <x v="10"/>
    <s v="Brand"/>
    <n v="12"/>
    <x v="5"/>
    <s v="Cameron Dicker"/>
    <n v="16"/>
    <n v="2024"/>
  </r>
  <r>
    <x v="10"/>
    <s v="Brand"/>
    <n v="12"/>
    <x v="4"/>
    <s v="Miami"/>
    <n v="13"/>
    <n v="2024"/>
  </r>
  <r>
    <x v="10"/>
    <s v="Brand"/>
    <n v="12"/>
    <x v="6"/>
    <s v="Christian Watson"/>
    <n v="0.4"/>
    <n v="2024"/>
  </r>
  <r>
    <x v="11"/>
    <s v="Cam"/>
    <n v="12"/>
    <x v="0"/>
    <s v="Kyler Murray"/>
    <n v="10.3"/>
    <n v="2024"/>
  </r>
  <r>
    <x v="11"/>
    <s v="Cam"/>
    <n v="12"/>
    <x v="1"/>
    <s v="Jakobi Meyers"/>
    <n v="17.100000000000001"/>
    <n v="2024"/>
  </r>
  <r>
    <x v="11"/>
    <s v="Cam"/>
    <n v="12"/>
    <x v="1"/>
    <s v="Nico Collins"/>
    <n v="17.7"/>
    <n v="2024"/>
  </r>
  <r>
    <x v="11"/>
    <s v="Cam"/>
    <n v="12"/>
    <x v="1"/>
    <s v="Wan'Dale Robinson"/>
    <n v="7.2"/>
    <n v="2024"/>
  </r>
  <r>
    <x v="11"/>
    <s v="Cam"/>
    <n v="12"/>
    <x v="2"/>
    <s v="Aaron Jones"/>
    <n v="18.399999999999999"/>
    <n v="2024"/>
  </r>
  <r>
    <x v="11"/>
    <s v="Cam"/>
    <n v="12"/>
    <x v="2"/>
    <s v="JK Dobbins"/>
    <n v="7.4"/>
    <n v="2024"/>
  </r>
  <r>
    <x v="11"/>
    <s v="Cam"/>
    <n v="12"/>
    <x v="3"/>
    <s v="George Kittle"/>
    <n v="17.2"/>
    <n v="2024"/>
  </r>
  <r>
    <x v="11"/>
    <s v="Cam"/>
    <n v="12"/>
    <x v="5"/>
    <s v="Jason Sanders"/>
    <n v="12"/>
    <n v="2024"/>
  </r>
  <r>
    <x v="11"/>
    <s v="Cam"/>
    <n v="12"/>
    <x v="4"/>
    <s v="Washington"/>
    <n v="3"/>
    <n v="2024"/>
  </r>
  <r>
    <x v="11"/>
    <s v="Cam"/>
    <n v="12"/>
    <x v="7"/>
    <s v="Rhamondre Stevenson"/>
    <n v="3.3"/>
    <n v="2024"/>
  </r>
  <r>
    <x v="0"/>
    <s v="Brenton"/>
    <n v="13"/>
    <x v="0"/>
    <s v="Baker Mayfield"/>
    <n v="10.199999999999999"/>
    <n v="2024"/>
  </r>
  <r>
    <x v="0"/>
    <s v="Brenton"/>
    <n v="13"/>
    <x v="1"/>
    <s v="Tyreek Hill"/>
    <n v="17.3"/>
    <n v="2024"/>
  </r>
  <r>
    <x v="0"/>
    <s v="Brenton"/>
    <n v="13"/>
    <x v="1"/>
    <s v="Courtland Sutton"/>
    <n v="13.2"/>
    <n v="2024"/>
  </r>
  <r>
    <x v="0"/>
    <s v="Brenton"/>
    <n v="13"/>
    <x v="1"/>
    <s v="Zay Flowers"/>
    <n v="8.6"/>
    <n v="2024"/>
  </r>
  <r>
    <x v="0"/>
    <s v="Brenton"/>
    <n v="13"/>
    <x v="2"/>
    <s v="Tyrone Tracy"/>
    <n v="13.5"/>
    <n v="2024"/>
  </r>
  <r>
    <x v="0"/>
    <s v="Brenton"/>
    <n v="13"/>
    <x v="2"/>
    <s v="Christian McCaffrey"/>
    <n v="7.7"/>
    <n v="2024"/>
  </r>
  <r>
    <x v="0"/>
    <s v="Brenton"/>
    <n v="13"/>
    <x v="3"/>
    <s v="Jonnu Smith"/>
    <n v="16.3"/>
    <n v="2024"/>
  </r>
  <r>
    <x v="0"/>
    <s v="Brenton"/>
    <n v="13"/>
    <x v="5"/>
    <s v="Jake Elliott"/>
    <n v="6"/>
    <n v="2024"/>
  </r>
  <r>
    <x v="0"/>
    <s v="Brenton"/>
    <n v="13"/>
    <x v="4"/>
    <s v="Detroit"/>
    <n v="5"/>
    <n v="2024"/>
  </r>
  <r>
    <x v="0"/>
    <s v="Brenton"/>
    <n v="13"/>
    <x v="8"/>
    <s v="Trey McBride"/>
    <n v="15.6"/>
    <n v="2024"/>
  </r>
  <r>
    <x v="2"/>
    <s v="Mike"/>
    <n v="13"/>
    <x v="0"/>
    <s v="Patrick Mahomes"/>
    <n v="16.64"/>
    <n v="2024"/>
  </r>
  <r>
    <x v="2"/>
    <s v="Mike"/>
    <n v="13"/>
    <x v="1"/>
    <s v="Mike Evans"/>
    <n v="21.8"/>
    <n v="2024"/>
  </r>
  <r>
    <x v="2"/>
    <s v="Mike"/>
    <n v="13"/>
    <x v="1"/>
    <s v="Khalil Shakir"/>
    <n v="5"/>
    <n v="2024"/>
  </r>
  <r>
    <x v="2"/>
    <s v="Mike"/>
    <n v="13"/>
    <x v="1"/>
    <s v="Tank Dell"/>
    <n v="2.8"/>
    <n v="2024"/>
  </r>
  <r>
    <x v="2"/>
    <s v="Mike"/>
    <n v="13"/>
    <x v="2"/>
    <s v="Chase Brown"/>
    <n v="17.5"/>
    <n v="2024"/>
  </r>
  <r>
    <x v="2"/>
    <s v="Mike"/>
    <n v="13"/>
    <x v="2"/>
    <s v="Derrick Henry"/>
    <n v="12.6"/>
    <n v="2024"/>
  </r>
  <r>
    <x v="2"/>
    <s v="Mike"/>
    <n v="13"/>
    <x v="3"/>
    <s v="Sam LaPorta"/>
    <n v="14.1"/>
    <n v="2024"/>
  </r>
  <r>
    <x v="2"/>
    <s v="Mike"/>
    <n v="13"/>
    <x v="5"/>
    <s v="Chase McLaughlin"/>
    <n v="16"/>
    <n v="2024"/>
  </r>
  <r>
    <x v="2"/>
    <s v="Mike"/>
    <n v="13"/>
    <x v="4"/>
    <s v="Tampa Bay"/>
    <n v="2"/>
    <n v="2024"/>
  </r>
  <r>
    <x v="2"/>
    <s v="Mike"/>
    <n v="13"/>
    <x v="7"/>
    <s v="Nick Chubb"/>
    <n v="11.5"/>
    <n v="2024"/>
  </r>
  <r>
    <x v="1"/>
    <s v="Todd"/>
    <n v="13"/>
    <x v="0"/>
    <s v="Sam Darnold"/>
    <n v="19.600000000000001"/>
    <n v="2024"/>
  </r>
  <r>
    <x v="1"/>
    <s v="Todd"/>
    <n v="13"/>
    <x v="1"/>
    <s v="Brian Thomas Jr"/>
    <n v="16.7"/>
    <n v="2024"/>
  </r>
  <r>
    <x v="1"/>
    <s v="Todd"/>
    <n v="13"/>
    <x v="1"/>
    <s v="AJ Brown"/>
    <n v="9.1"/>
    <n v="2024"/>
  </r>
  <r>
    <x v="1"/>
    <s v="Todd"/>
    <n v="13"/>
    <x v="1"/>
    <s v="Darnell Mooney"/>
    <n v="3.5"/>
    <n v="2024"/>
  </r>
  <r>
    <x v="1"/>
    <s v="Todd"/>
    <n v="13"/>
    <x v="2"/>
    <s v="De'Von Achane"/>
    <n v="17"/>
    <n v="2024"/>
  </r>
  <r>
    <x v="1"/>
    <s v="Todd"/>
    <n v="13"/>
    <x v="2"/>
    <s v="James Conner"/>
    <n v="9.6"/>
    <n v="2024"/>
  </r>
  <r>
    <x v="1"/>
    <s v="Todd"/>
    <n v="13"/>
    <x v="3"/>
    <s v="Tucker Kraft"/>
    <n v="10.8"/>
    <n v="2024"/>
  </r>
  <r>
    <x v="1"/>
    <s v="Todd"/>
    <n v="13"/>
    <x v="5"/>
    <s v="Chris Boswell"/>
    <n v="15"/>
    <n v="2024"/>
  </r>
  <r>
    <x v="1"/>
    <s v="Todd"/>
    <n v="13"/>
    <x v="4"/>
    <s v="Dallas"/>
    <n v="18"/>
    <n v="2024"/>
  </r>
  <r>
    <x v="1"/>
    <s v="Todd"/>
    <n v="13"/>
    <x v="6"/>
    <s v="Deebo Samuel"/>
    <n v="2"/>
    <n v="2024"/>
  </r>
  <r>
    <x v="7"/>
    <s v="Jay"/>
    <n v="13"/>
    <x v="0"/>
    <s v="Lamar Jackson"/>
    <n v="25.38"/>
    <n v="2024"/>
  </r>
  <r>
    <x v="7"/>
    <s v="Jay"/>
    <n v="13"/>
    <x v="1"/>
    <s v="Tee Higgins"/>
    <n v="15.4"/>
    <n v="2024"/>
  </r>
  <r>
    <x v="7"/>
    <s v="Jay"/>
    <n v="13"/>
    <x v="1"/>
    <s v="Jauan Jennings"/>
    <n v="7.1"/>
    <n v="2024"/>
  </r>
  <r>
    <x v="7"/>
    <s v="Jay"/>
    <n v="13"/>
    <x v="1"/>
    <s v="Amari Cooper"/>
    <n v="2.7"/>
    <n v="2024"/>
  </r>
  <r>
    <x v="7"/>
    <s v="Jay"/>
    <n v="13"/>
    <x v="2"/>
    <s v="Jonathan Taylor"/>
    <n v="16.8"/>
    <n v="2024"/>
  </r>
  <r>
    <x v="7"/>
    <s v="Jay"/>
    <n v="13"/>
    <x v="2"/>
    <s v="Brian Robinson"/>
    <n v="17.399999999999999"/>
    <n v="2024"/>
  </r>
  <r>
    <x v="7"/>
    <s v="Jay"/>
    <n v="13"/>
    <x v="3"/>
    <s v="Zach Ertz"/>
    <n v="11"/>
    <n v="2024"/>
  </r>
  <r>
    <x v="7"/>
    <s v="Jay"/>
    <n v="13"/>
    <x v="5"/>
    <s v="Ka'imi Fairbairn"/>
    <n v="13"/>
    <n v="2024"/>
  </r>
  <r>
    <x v="7"/>
    <s v="Jay"/>
    <n v="13"/>
    <x v="4"/>
    <s v="Blank"/>
    <n v="0"/>
    <n v="2024"/>
  </r>
  <r>
    <x v="7"/>
    <s v="Jay"/>
    <n v="13"/>
    <x v="7"/>
    <s v="Alvin Kamara"/>
    <n v="13.9"/>
    <n v="2024"/>
  </r>
  <r>
    <x v="4"/>
    <s v="Eli"/>
    <n v="13"/>
    <x v="0"/>
    <s v="Jalen Hurts"/>
    <n v="17.62"/>
    <n v="2024"/>
  </r>
  <r>
    <x v="4"/>
    <s v="Eli"/>
    <n v="13"/>
    <x v="1"/>
    <s v="DJ Moore"/>
    <n v="19.7"/>
    <n v="2024"/>
  </r>
  <r>
    <x v="4"/>
    <s v="Eli"/>
    <n v="13"/>
    <x v="1"/>
    <s v="Justin Jefferson"/>
    <n v="13.4"/>
    <n v="2024"/>
  </r>
  <r>
    <x v="4"/>
    <s v="Eli"/>
    <n v="13"/>
    <x v="1"/>
    <s v="Xavier Legette"/>
    <n v="7.3"/>
    <n v="2024"/>
  </r>
  <r>
    <x v="4"/>
    <s v="Eli"/>
    <n v="13"/>
    <x v="2"/>
    <s v="Bijan Robinson"/>
    <n v="22.5"/>
    <n v="2024"/>
  </r>
  <r>
    <x v="4"/>
    <s v="Eli"/>
    <n v="13"/>
    <x v="2"/>
    <s v="Gus Edwards"/>
    <n v="3.8"/>
    <n v="2024"/>
  </r>
  <r>
    <x v="4"/>
    <s v="Eli"/>
    <n v="13"/>
    <x v="3"/>
    <s v="David Njoku"/>
    <n v="21.7"/>
    <n v="2024"/>
  </r>
  <r>
    <x v="4"/>
    <s v="Eli"/>
    <n v="13"/>
    <x v="5"/>
    <s v="Tyler Bass"/>
    <n v="4"/>
    <n v="2024"/>
  </r>
  <r>
    <x v="4"/>
    <s v="Eli"/>
    <n v="13"/>
    <x v="4"/>
    <s v="NYJ"/>
    <n v="17"/>
    <n v="2024"/>
  </r>
  <r>
    <x v="4"/>
    <s v="Eli"/>
    <n v="13"/>
    <x v="6"/>
    <s v="Rome Odunze"/>
    <n v="3.5"/>
    <n v="2024"/>
  </r>
  <r>
    <x v="6"/>
    <s v="Will"/>
    <n v="13"/>
    <x v="0"/>
    <s v="Caleb Williams"/>
    <n v="26.14"/>
    <n v="2024"/>
  </r>
  <r>
    <x v="6"/>
    <s v="Will"/>
    <n v="13"/>
    <x v="1"/>
    <s v="Ladd McConkey"/>
    <n v="16.2"/>
    <n v="2024"/>
  </r>
  <r>
    <x v="6"/>
    <s v="Will"/>
    <n v="13"/>
    <x v="1"/>
    <s v="Drake London"/>
    <n v="12.8"/>
    <n v="2024"/>
  </r>
  <r>
    <x v="6"/>
    <s v="Will"/>
    <n v="13"/>
    <x v="1"/>
    <s v="Jaxon Smith-Njigba"/>
    <n v="9.9"/>
    <n v="2024"/>
  </r>
  <r>
    <x v="6"/>
    <s v="Will"/>
    <n v="13"/>
    <x v="2"/>
    <s v="Tony Pollard"/>
    <n v="6.8"/>
    <n v="2024"/>
  </r>
  <r>
    <x v="6"/>
    <s v="Will"/>
    <n v="13"/>
    <x v="2"/>
    <s v="Travis Etienne"/>
    <n v="7.3"/>
    <n v="2024"/>
  </r>
  <r>
    <x v="6"/>
    <s v="Will"/>
    <n v="13"/>
    <x v="3"/>
    <s v="Travis Kelce"/>
    <n v="10.3"/>
    <n v="2024"/>
  </r>
  <r>
    <x v="6"/>
    <s v="Will"/>
    <n v="13"/>
    <x v="5"/>
    <s v="Jake Moody"/>
    <n v="3"/>
    <n v="2024"/>
  </r>
  <r>
    <x v="6"/>
    <s v="Will"/>
    <n v="13"/>
    <x v="4"/>
    <s v="Houston"/>
    <n v="2"/>
    <n v="2024"/>
  </r>
  <r>
    <x v="6"/>
    <s v="Will"/>
    <n v="13"/>
    <x v="6"/>
    <s v="Amon-Ra St. Brown"/>
    <n v="9.8000000000000007"/>
    <n v="2024"/>
  </r>
  <r>
    <x v="8"/>
    <s v="Schulwolf"/>
    <n v="13"/>
    <x v="0"/>
    <s v="Jayden Daniels"/>
    <n v="27.64"/>
    <n v="2024"/>
  </r>
  <r>
    <x v="8"/>
    <s v="Schulwolf"/>
    <n v="13"/>
    <x v="1"/>
    <s v="Terry McLaurin"/>
    <n v="23.3"/>
    <n v="2024"/>
  </r>
  <r>
    <x v="8"/>
    <s v="Schulwolf"/>
    <n v="13"/>
    <x v="1"/>
    <s v="Cooper Kupp"/>
    <n v="3.2"/>
    <n v="2024"/>
  </r>
  <r>
    <x v="8"/>
    <s v="Schulwolf"/>
    <n v="13"/>
    <x v="1"/>
    <s v="Rashod Bateman"/>
    <n v="0"/>
    <n v="2024"/>
  </r>
  <r>
    <x v="8"/>
    <s v="Schulwolf"/>
    <n v="13"/>
    <x v="2"/>
    <s v="James Cook"/>
    <n v="18.5"/>
    <n v="2024"/>
  </r>
  <r>
    <x v="8"/>
    <s v="Schulwolf"/>
    <n v="13"/>
    <x v="2"/>
    <s v="Jahmyr Gibbs"/>
    <n v="9.4"/>
    <n v="2024"/>
  </r>
  <r>
    <x v="8"/>
    <s v="Schulwolf"/>
    <n v="13"/>
    <x v="3"/>
    <s v="Will Dissly"/>
    <n v="0"/>
    <n v="2024"/>
  </r>
  <r>
    <x v="8"/>
    <s v="Schulwolf"/>
    <n v="13"/>
    <x v="5"/>
    <s v="Brandon Aubrey"/>
    <n v="9"/>
    <n v="2024"/>
  </r>
  <r>
    <x v="8"/>
    <s v="Schulwolf"/>
    <n v="13"/>
    <x v="4"/>
    <s v="Denver"/>
    <n v="14"/>
    <n v="2024"/>
  </r>
  <r>
    <x v="8"/>
    <s v="Schulwolf"/>
    <n v="13"/>
    <x v="7"/>
    <s v="Jaylen Warren"/>
    <n v="8.4"/>
    <n v="2024"/>
  </r>
  <r>
    <x v="3"/>
    <s v="Kevin"/>
    <n v="13"/>
    <x v="0"/>
    <s v="Justin Herbert"/>
    <n v="7.98"/>
    <n v="2024"/>
  </r>
  <r>
    <x v="3"/>
    <s v="Kevin"/>
    <n v="13"/>
    <x v="1"/>
    <s v="DeAndre Hopkins"/>
    <n v="11"/>
    <n v="2024"/>
  </r>
  <r>
    <x v="3"/>
    <s v="Kevin"/>
    <n v="13"/>
    <x v="1"/>
    <s v="George Pickens"/>
    <n v="14.9"/>
    <n v="2024"/>
  </r>
  <r>
    <x v="3"/>
    <s v="Kevin"/>
    <n v="13"/>
    <x v="1"/>
    <s v="Marvin Harrison Jr"/>
    <n v="14.5"/>
    <n v="2024"/>
  </r>
  <r>
    <x v="3"/>
    <s v="Kevin"/>
    <n v="13"/>
    <x v="2"/>
    <s v="Joe Mixon"/>
    <n v="19.899999999999999"/>
    <n v="2024"/>
  </r>
  <r>
    <x v="3"/>
    <s v="Kevin"/>
    <n v="13"/>
    <x v="2"/>
    <s v="Isiah Pacheco"/>
    <n v="5.4"/>
    <n v="2024"/>
  </r>
  <r>
    <x v="3"/>
    <s v="Kevin"/>
    <n v="13"/>
    <x v="3"/>
    <s v="Hunter Henry"/>
    <n v="11"/>
    <n v="2024"/>
  </r>
  <r>
    <x v="3"/>
    <s v="Kevin"/>
    <n v="13"/>
    <x v="5"/>
    <s v="Justin Tucker"/>
    <n v="7"/>
    <n v="2024"/>
  </r>
  <r>
    <x v="3"/>
    <s v="Kevin"/>
    <n v="13"/>
    <x v="4"/>
    <s v="Green Bay"/>
    <n v="7"/>
    <n v="2024"/>
  </r>
  <r>
    <x v="3"/>
    <s v="Kevin"/>
    <n v="13"/>
    <x v="7"/>
    <s v="Chuba Hubbard"/>
    <n v="2.2999999999999998"/>
    <n v="2024"/>
  </r>
  <r>
    <x v="10"/>
    <s v="Brand"/>
    <n v="13"/>
    <x v="0"/>
    <s v="Kirk Cousins"/>
    <n v="2.1"/>
    <n v="2024"/>
  </r>
  <r>
    <x v="10"/>
    <s v="Brand"/>
    <n v="13"/>
    <x v="1"/>
    <s v="Jameson Williams"/>
    <n v="7.1"/>
    <n v="2024"/>
  </r>
  <r>
    <x v="10"/>
    <s v="Brand"/>
    <n v="13"/>
    <x v="1"/>
    <s v="Michael Pittman"/>
    <n v="6.7"/>
    <n v="2024"/>
  </r>
  <r>
    <x v="10"/>
    <s v="Brand"/>
    <n v="13"/>
    <x v="1"/>
    <s v="Garrett Wilson"/>
    <n v="6.6"/>
    <n v="2024"/>
  </r>
  <r>
    <x v="10"/>
    <s v="Brand"/>
    <n v="13"/>
    <x v="2"/>
    <s v="Bucky Irving"/>
    <n v="26"/>
    <n v="2024"/>
  </r>
  <r>
    <x v="10"/>
    <s v="Brand"/>
    <n v="13"/>
    <x v="2"/>
    <s v="Breece Hall"/>
    <n v="6"/>
    <n v="2024"/>
  </r>
  <r>
    <x v="10"/>
    <s v="Brand"/>
    <n v="13"/>
    <x v="3"/>
    <s v="Taysom Hill"/>
    <n v="7.2"/>
    <n v="2024"/>
  </r>
  <r>
    <x v="10"/>
    <s v="Brand"/>
    <n v="13"/>
    <x v="5"/>
    <s v="Cameron Dicker"/>
    <n v="12"/>
    <n v="2024"/>
  </r>
  <r>
    <x v="10"/>
    <s v="Brand"/>
    <n v="13"/>
    <x v="4"/>
    <s v="Indianapolis"/>
    <n v="2"/>
    <n v="2024"/>
  </r>
  <r>
    <x v="10"/>
    <s v="Brand"/>
    <n v="13"/>
    <x v="7"/>
    <s v="Kenneth Walker"/>
    <n v="5.6"/>
    <n v="2024"/>
  </r>
  <r>
    <x v="9"/>
    <s v="Tommy"/>
    <n v="13"/>
    <x v="0"/>
    <s v="Josh Allen"/>
    <n v="28.42"/>
    <n v="2024"/>
  </r>
  <r>
    <x v="9"/>
    <s v="Tommy"/>
    <n v="13"/>
    <x v="1"/>
    <s v="Xavier Worthy"/>
    <n v="7.9"/>
    <n v="2024"/>
  </r>
  <r>
    <x v="9"/>
    <s v="Tommy"/>
    <n v="13"/>
    <x v="1"/>
    <s v="DK Metcalf"/>
    <n v="8.6"/>
    <n v="2024"/>
  </r>
  <r>
    <x v="9"/>
    <s v="Tommy"/>
    <n v="13"/>
    <x v="1"/>
    <s v="Malik Nabers"/>
    <n v="11.3"/>
    <n v="2024"/>
  </r>
  <r>
    <x v="9"/>
    <s v="Tommy"/>
    <n v="13"/>
    <x v="2"/>
    <s v="Saquon Barkley"/>
    <n v="18.7"/>
    <n v="2024"/>
  </r>
  <r>
    <x v="9"/>
    <s v="Tommy"/>
    <n v="13"/>
    <x v="2"/>
    <s v="Kyren Williams"/>
    <n v="17.8"/>
    <n v="2024"/>
  </r>
  <r>
    <x v="9"/>
    <s v="Tommy"/>
    <n v="13"/>
    <x v="3"/>
    <s v="Mark Andrews"/>
    <n v="15.9"/>
    <n v="2024"/>
  </r>
  <r>
    <x v="9"/>
    <s v="Tommy"/>
    <n v="13"/>
    <x v="5"/>
    <s v="Jason Myers"/>
    <n v="10"/>
    <n v="2024"/>
  </r>
  <r>
    <x v="9"/>
    <s v="Tommy"/>
    <n v="13"/>
    <x v="4"/>
    <s v="Minnesota"/>
    <n v="1"/>
    <n v="2024"/>
  </r>
  <r>
    <x v="9"/>
    <s v="Tommy"/>
    <n v="13"/>
    <x v="7"/>
    <s v="Rachaad White"/>
    <n v="8.3000000000000007"/>
    <n v="2024"/>
  </r>
  <r>
    <x v="11"/>
    <s v="Cam"/>
    <n v="13"/>
    <x v="0"/>
    <s v="Joe Burrow"/>
    <n v="19.260000000000002"/>
    <n v="2024"/>
  </r>
  <r>
    <x v="11"/>
    <s v="Cam"/>
    <n v="13"/>
    <x v="1"/>
    <s v="Jakobi Meyers"/>
    <n v="12.7"/>
    <n v="2024"/>
  </r>
  <r>
    <x v="11"/>
    <s v="Cam"/>
    <n v="13"/>
    <x v="1"/>
    <s v="Nico Collins"/>
    <n v="15.9"/>
    <n v="2024"/>
  </r>
  <r>
    <x v="11"/>
    <s v="Cam"/>
    <n v="13"/>
    <x v="1"/>
    <s v="Ja'Marr Chase"/>
    <n v="17.600000000000001"/>
    <n v="2024"/>
  </r>
  <r>
    <x v="11"/>
    <s v="Cam"/>
    <n v="13"/>
    <x v="2"/>
    <s v="Rhamondre Stevenson"/>
    <n v="10.9"/>
    <n v="2024"/>
  </r>
  <r>
    <x v="11"/>
    <s v="Cam"/>
    <n v="13"/>
    <x v="2"/>
    <s v="D'Andre Swift"/>
    <n v="8.4"/>
    <n v="2024"/>
  </r>
  <r>
    <x v="11"/>
    <s v="Cam"/>
    <n v="13"/>
    <x v="3"/>
    <s v="George Kittle"/>
    <n v="1.2"/>
    <n v="2024"/>
  </r>
  <r>
    <x v="11"/>
    <s v="Cam"/>
    <n v="13"/>
    <x v="5"/>
    <s v="Jake Bates"/>
    <n v="11"/>
    <n v="2024"/>
  </r>
  <r>
    <x v="11"/>
    <s v="Cam"/>
    <n v="13"/>
    <x v="4"/>
    <s v="Washington"/>
    <n v="8"/>
    <n v="2024"/>
  </r>
  <r>
    <x v="11"/>
    <s v="Cam"/>
    <n v="13"/>
    <x v="7"/>
    <s v="Aaron Jones"/>
    <n v="8.3000000000000007"/>
    <n v="2024"/>
  </r>
  <r>
    <x v="5"/>
    <s v="Burnett/Jasjaap"/>
    <n v="13"/>
    <x v="0"/>
    <s v="Bo Nix"/>
    <n v="12.16"/>
    <n v="2024"/>
  </r>
  <r>
    <x v="5"/>
    <s v="Burnett/Jasjaap"/>
    <n v="13"/>
    <x v="1"/>
    <s v="Puka Nacua"/>
    <n v="14.8"/>
    <n v="2024"/>
  </r>
  <r>
    <x v="5"/>
    <s v="Burnett/Jasjaap"/>
    <n v="13"/>
    <x v="1"/>
    <s v="CeeDee Lamb"/>
    <n v="4.9000000000000004"/>
    <n v="2024"/>
  </r>
  <r>
    <x v="5"/>
    <s v="Burnett/Jasjaap"/>
    <n v="13"/>
    <x v="1"/>
    <s v="Jaylen Waddle"/>
    <n v="9.3000000000000007"/>
    <n v="2024"/>
  </r>
  <r>
    <x v="5"/>
    <s v="Burnett/Jasjaap"/>
    <n v="13"/>
    <x v="2"/>
    <s v="Rico Dowdle"/>
    <n v="19.8"/>
    <n v="2024"/>
  </r>
  <r>
    <x v="5"/>
    <s v="Burnett/Jasjaap"/>
    <n v="13"/>
    <x v="2"/>
    <s v="Josh Jacobs"/>
    <n v="19.7"/>
    <n v="2024"/>
  </r>
  <r>
    <x v="5"/>
    <s v="Burnett/Jasjaap"/>
    <n v="13"/>
    <x v="3"/>
    <s v="Brock Bowers"/>
    <n v="25.2"/>
    <n v="2024"/>
  </r>
  <r>
    <x v="5"/>
    <s v="Burnett/Jasjaap"/>
    <n v="13"/>
    <x v="5"/>
    <s v="John Parker Romo"/>
    <n v="13"/>
    <n v="2024"/>
  </r>
  <r>
    <x v="5"/>
    <s v="Burnett/Jasjaap"/>
    <n v="13"/>
    <x v="4"/>
    <s v="Kansas City"/>
    <n v="2"/>
    <n v="2024"/>
  </r>
  <r>
    <x v="5"/>
    <s v="Burnett/Jasjaap"/>
    <n v="13"/>
    <x v="7"/>
    <s v="David Montgomery"/>
    <n v="13.9"/>
    <n v="2024"/>
  </r>
  <r>
    <x v="0"/>
    <s v="Brenton"/>
    <n v="14"/>
    <x v="0"/>
    <s v="Baker Mayfield"/>
    <n v="19"/>
    <n v="2024"/>
  </r>
  <r>
    <x v="0"/>
    <s v="Brenton"/>
    <n v="14"/>
    <x v="1"/>
    <s v="Tyreek Hill"/>
    <n v="23.1"/>
    <n v="2024"/>
  </r>
  <r>
    <x v="0"/>
    <s v="Brenton"/>
    <n v="14"/>
    <x v="1"/>
    <s v="Nick Westbrook-Ikhine"/>
    <n v="2.4"/>
    <n v="2024"/>
  </r>
  <r>
    <x v="0"/>
    <s v="Brenton"/>
    <n v="14"/>
    <x v="1"/>
    <s v="Jayden Reed"/>
    <n v="0"/>
    <n v="2024"/>
  </r>
  <r>
    <x v="0"/>
    <s v="Brenton"/>
    <n v="14"/>
    <x v="2"/>
    <s v="Tyrone Tracy"/>
    <n v="16.8"/>
    <n v="2024"/>
  </r>
  <r>
    <x v="0"/>
    <s v="Brenton"/>
    <n v="14"/>
    <x v="2"/>
    <s v="Sincere McCormick"/>
    <n v="9.9"/>
    <n v="2024"/>
  </r>
  <r>
    <x v="0"/>
    <s v="Brenton"/>
    <n v="14"/>
    <x v="3"/>
    <s v="Jonnu Smith"/>
    <n v="11.9"/>
    <n v="2024"/>
  </r>
  <r>
    <x v="0"/>
    <s v="Brenton"/>
    <n v="14"/>
    <x v="5"/>
    <s v="Jake Elliott"/>
    <n v="2"/>
    <n v="2024"/>
  </r>
  <r>
    <x v="0"/>
    <s v="Brenton"/>
    <n v="14"/>
    <x v="4"/>
    <s v="Philadelphia"/>
    <n v="3"/>
    <n v="2024"/>
  </r>
  <r>
    <x v="0"/>
    <s v="Brenton"/>
    <n v="14"/>
    <x v="8"/>
    <s v="Trey McBride"/>
    <n v="10.5"/>
    <n v="2024"/>
  </r>
  <r>
    <x v="3"/>
    <s v="Kevin"/>
    <n v="14"/>
    <x v="0"/>
    <s v="Justin Herbert"/>
    <n v="13.72"/>
    <n v="2024"/>
  </r>
  <r>
    <x v="3"/>
    <s v="Kevin"/>
    <n v="14"/>
    <x v="1"/>
    <s v="DeAndre Hopkins"/>
    <n v="11.2"/>
    <n v="2024"/>
  </r>
  <r>
    <x v="3"/>
    <s v="Kevin"/>
    <n v="14"/>
    <x v="1"/>
    <s v="Jordan Addison"/>
    <n v="35.299999999999997"/>
    <n v="2024"/>
  </r>
  <r>
    <x v="3"/>
    <s v="Kevin"/>
    <n v="14"/>
    <x v="1"/>
    <s v="Marvin Harrison Jr"/>
    <n v="6.9"/>
    <n v="2024"/>
  </r>
  <r>
    <x v="3"/>
    <s v="Kevin"/>
    <n v="14"/>
    <x v="2"/>
    <s v="Najee Harris"/>
    <n v="11.3"/>
    <n v="2024"/>
  </r>
  <r>
    <x v="3"/>
    <s v="Kevin"/>
    <n v="14"/>
    <x v="2"/>
    <s v="Chuba Hubbard"/>
    <n v="18.7"/>
    <n v="2024"/>
  </r>
  <r>
    <x v="3"/>
    <s v="Kevin"/>
    <n v="14"/>
    <x v="3"/>
    <s v="Evan Engram"/>
    <n v="5.3"/>
    <n v="2024"/>
  </r>
  <r>
    <x v="3"/>
    <s v="Kevin"/>
    <n v="14"/>
    <x v="5"/>
    <s v="Jason Sanders"/>
    <n v="15"/>
    <n v="2024"/>
  </r>
  <r>
    <x v="3"/>
    <s v="Kevin"/>
    <n v="14"/>
    <x v="4"/>
    <s v="Tennessee"/>
    <n v="10"/>
    <n v="2024"/>
  </r>
  <r>
    <x v="3"/>
    <s v="Kevin"/>
    <n v="14"/>
    <x v="7"/>
    <s v="Isiah Pacheco"/>
    <n v="7.1"/>
    <n v="2024"/>
  </r>
  <r>
    <x v="2"/>
    <s v="Mike"/>
    <n v="14"/>
    <x v="0"/>
    <s v="Patrick Mahomes"/>
    <n v="14.1"/>
    <n v="2024"/>
  </r>
  <r>
    <x v="2"/>
    <s v="Mike"/>
    <n v="14"/>
    <x v="1"/>
    <s v="Davante Adams"/>
    <n v="21.4"/>
    <n v="2024"/>
  </r>
  <r>
    <x v="2"/>
    <s v="Mike"/>
    <n v="14"/>
    <x v="1"/>
    <s v="Khalil Shakir"/>
    <n v="19.100000000000001"/>
    <n v="2024"/>
  </r>
  <r>
    <x v="2"/>
    <s v="Mike"/>
    <n v="14"/>
    <x v="1"/>
    <s v="Mike Evans"/>
    <n v="8.9"/>
    <n v="2024"/>
  </r>
  <r>
    <x v="2"/>
    <s v="Mike"/>
    <n v="14"/>
    <x v="2"/>
    <s v="Chase Brown"/>
    <n v="21.3"/>
    <n v="2024"/>
  </r>
  <r>
    <x v="2"/>
    <s v="Mike"/>
    <n v="14"/>
    <x v="2"/>
    <s v="Nick Chubb"/>
    <n v="4.8"/>
    <n v="2024"/>
  </r>
  <r>
    <x v="2"/>
    <s v="Mike"/>
    <n v="14"/>
    <x v="3"/>
    <s v="Sam LaPorta"/>
    <n v="7.9"/>
    <n v="2024"/>
  </r>
  <r>
    <x v="2"/>
    <s v="Mike"/>
    <n v="14"/>
    <x v="5"/>
    <s v="Chase McLaughlin"/>
    <n v="4"/>
    <n v="2024"/>
  </r>
  <r>
    <x v="2"/>
    <s v="Mike"/>
    <n v="14"/>
    <x v="4"/>
    <s v="Tampa Bay"/>
    <n v="11"/>
    <n v="2024"/>
  </r>
  <r>
    <x v="2"/>
    <s v="Mike"/>
    <n v="14"/>
    <x v="7"/>
    <s v="Kareem Hunt"/>
    <n v="3.4"/>
    <n v="2024"/>
  </r>
  <r>
    <x v="7"/>
    <s v="Jay"/>
    <n v="14"/>
    <x v="0"/>
    <s v="Will Levis"/>
    <n v="7.02"/>
    <n v="2024"/>
  </r>
  <r>
    <x v="7"/>
    <s v="Jay"/>
    <n v="14"/>
    <x v="1"/>
    <s v="Jauan Jennings"/>
    <n v="24.5"/>
    <n v="2024"/>
  </r>
  <r>
    <x v="7"/>
    <s v="Jay"/>
    <n v="14"/>
    <x v="1"/>
    <s v="Amari Cooper"/>
    <n v="12.5"/>
    <n v="2024"/>
  </r>
  <r>
    <x v="7"/>
    <s v="Jay"/>
    <n v="14"/>
    <x v="1"/>
    <s v="Tee Higgins"/>
    <n v="3.3"/>
    <n v="2024"/>
  </r>
  <r>
    <x v="7"/>
    <s v="Jay"/>
    <n v="14"/>
    <x v="2"/>
    <s v="Alvin Kamara"/>
    <n v="10.4"/>
    <n v="2024"/>
  </r>
  <r>
    <x v="7"/>
    <s v="Jay"/>
    <n v="14"/>
    <x v="2"/>
    <s v="Ameer Abdullah"/>
    <n v="0.3"/>
    <n v="2024"/>
  </r>
  <r>
    <x v="7"/>
    <s v="Jay"/>
    <n v="14"/>
    <x v="3"/>
    <s v="Noah Gray"/>
    <n v="4.5999999999999996"/>
    <n v="2024"/>
  </r>
  <r>
    <x v="7"/>
    <s v="Jay"/>
    <n v="14"/>
    <x v="5"/>
    <s v="Will Reichard"/>
    <n v="5"/>
    <n v="2024"/>
  </r>
  <r>
    <x v="7"/>
    <s v="Jay"/>
    <n v="14"/>
    <x v="4"/>
    <s v="New Orleans"/>
    <n v="9"/>
    <n v="2024"/>
  </r>
  <r>
    <x v="7"/>
    <s v="Jay"/>
    <n v="14"/>
    <x v="6"/>
    <s v="Demarcus Robinson"/>
    <n v="0"/>
    <n v="2024"/>
  </r>
  <r>
    <x v="1"/>
    <s v="Todd"/>
    <n v="14"/>
    <x v="0"/>
    <s v="Sam Darnold"/>
    <n v="34.58"/>
    <n v="2024"/>
  </r>
  <r>
    <x v="1"/>
    <s v="Todd"/>
    <n v="14"/>
    <x v="1"/>
    <s v="Darnell Mooney"/>
    <n v="17.2"/>
    <n v="2024"/>
  </r>
  <r>
    <x v="1"/>
    <s v="Todd"/>
    <n v="14"/>
    <x v="1"/>
    <s v="Brian Thomas Jr"/>
    <n v="12.6"/>
    <n v="2024"/>
  </r>
  <r>
    <x v="1"/>
    <s v="Todd"/>
    <n v="14"/>
    <x v="1"/>
    <s v="Calvin Ridley"/>
    <n v="9.4"/>
    <n v="2024"/>
  </r>
  <r>
    <x v="1"/>
    <s v="Todd"/>
    <n v="14"/>
    <x v="2"/>
    <s v="James Conner"/>
    <n v="20.2"/>
    <n v="2024"/>
  </r>
  <r>
    <x v="1"/>
    <s v="Todd"/>
    <n v="14"/>
    <x v="2"/>
    <s v="De'Von Achane"/>
    <n v="15.9"/>
    <n v="2024"/>
  </r>
  <r>
    <x v="1"/>
    <s v="Todd"/>
    <n v="14"/>
    <x v="3"/>
    <s v="Tucker Kraft"/>
    <n v="11.6"/>
    <n v="2024"/>
  </r>
  <r>
    <x v="1"/>
    <s v="Todd"/>
    <n v="14"/>
    <x v="5"/>
    <s v="Chris Boswell"/>
    <n v="11"/>
    <n v="2024"/>
  </r>
  <r>
    <x v="1"/>
    <s v="Todd"/>
    <n v="14"/>
    <x v="4"/>
    <s v="Chicago"/>
    <n v="-5"/>
    <n v="2024"/>
  </r>
  <r>
    <x v="1"/>
    <s v="Todd"/>
    <n v="14"/>
    <x v="6"/>
    <s v="AJ Brown"/>
    <n v="6.3"/>
    <n v="2024"/>
  </r>
  <r>
    <x v="4"/>
    <s v="Eli"/>
    <n v="14"/>
    <x v="0"/>
    <s v="Jalen Hurts"/>
    <n v="24.22"/>
    <n v="2024"/>
  </r>
  <r>
    <x v="4"/>
    <s v="Eli"/>
    <n v="14"/>
    <x v="1"/>
    <s v="Justin Jefferson"/>
    <n v="28.7"/>
    <n v="2024"/>
  </r>
  <r>
    <x v="4"/>
    <s v="Eli"/>
    <n v="14"/>
    <x v="1"/>
    <s v="Rome Odunze"/>
    <n v="18.2"/>
    <n v="2024"/>
  </r>
  <r>
    <x v="4"/>
    <s v="Eli"/>
    <n v="14"/>
    <x v="1"/>
    <s v="DJ Moore"/>
    <n v="7.9"/>
    <n v="2024"/>
  </r>
  <r>
    <x v="4"/>
    <s v="Eli"/>
    <n v="14"/>
    <x v="2"/>
    <s v="Bijan Robinson"/>
    <n v="19.100000000000001"/>
    <n v="2024"/>
  </r>
  <r>
    <x v="4"/>
    <s v="Eli"/>
    <n v="14"/>
    <x v="2"/>
    <s v="Gus Edwards"/>
    <n v="9.6"/>
    <n v="2024"/>
  </r>
  <r>
    <x v="4"/>
    <s v="Eli"/>
    <n v="14"/>
    <x v="3"/>
    <s v="David Njoku"/>
    <n v="13.7"/>
    <n v="2024"/>
  </r>
  <r>
    <x v="4"/>
    <s v="Eli"/>
    <n v="14"/>
    <x v="5"/>
    <s v="Tyler Bass"/>
    <n v="6"/>
    <n v="2024"/>
  </r>
  <r>
    <x v="4"/>
    <s v="Eli"/>
    <n v="14"/>
    <x v="4"/>
    <s v="NYJ"/>
    <n v="-2"/>
    <n v="2024"/>
  </r>
  <r>
    <x v="4"/>
    <s v="Eli"/>
    <n v="14"/>
    <x v="6"/>
    <s v="Marquez Valdes-Scantling"/>
    <n v="7.1"/>
    <n v="2024"/>
  </r>
  <r>
    <x v="6"/>
    <s v="Will"/>
    <n v="14"/>
    <x v="0"/>
    <s v="Caleb Williams"/>
    <n v="14.06"/>
    <n v="2024"/>
  </r>
  <r>
    <x v="6"/>
    <s v="Will"/>
    <n v="14"/>
    <x v="1"/>
    <s v="Jaxon Smith-Njigba"/>
    <n v="17.100000000000001"/>
    <n v="2024"/>
  </r>
  <r>
    <x v="6"/>
    <s v="Will"/>
    <n v="14"/>
    <x v="1"/>
    <s v="Joshua Palmer"/>
    <n v="10.8"/>
    <n v="2024"/>
  </r>
  <r>
    <x v="6"/>
    <s v="Will"/>
    <n v="14"/>
    <x v="1"/>
    <s v="Drake London"/>
    <n v="9.5"/>
    <n v="2024"/>
  </r>
  <r>
    <x v="6"/>
    <s v="Will"/>
    <n v="14"/>
    <x v="2"/>
    <s v="Zach Charbonnet"/>
    <n v="34.799999999999997"/>
    <n v="2024"/>
  </r>
  <r>
    <x v="6"/>
    <s v="Will"/>
    <n v="14"/>
    <x v="2"/>
    <s v="Tony Pollard"/>
    <n v="13.4"/>
    <n v="2024"/>
  </r>
  <r>
    <x v="6"/>
    <s v="Will"/>
    <n v="14"/>
    <x v="3"/>
    <s v="Travis Kelce"/>
    <n v="7"/>
    <n v="2024"/>
  </r>
  <r>
    <x v="6"/>
    <s v="Will"/>
    <n v="14"/>
    <x v="5"/>
    <s v="Jake Moody"/>
    <n v="8"/>
    <n v="2024"/>
  </r>
  <r>
    <x v="6"/>
    <s v="Will"/>
    <n v="14"/>
    <x v="4"/>
    <s v="Seattle"/>
    <n v="6"/>
    <n v="2024"/>
  </r>
  <r>
    <x v="6"/>
    <s v="Will"/>
    <n v="14"/>
    <x v="6"/>
    <s v="Amon-Ra St. Brown"/>
    <n v="7.8"/>
    <n v="2024"/>
  </r>
  <r>
    <x v="11"/>
    <s v="Cam"/>
    <n v="14"/>
    <x v="0"/>
    <s v="Joe Burrow"/>
    <n v="24.56"/>
    <n v="2024"/>
  </r>
  <r>
    <x v="11"/>
    <s v="Cam"/>
    <n v="14"/>
    <x v="1"/>
    <s v="Ja'Marr Chase"/>
    <n v="38.1"/>
    <n v="2024"/>
  </r>
  <r>
    <x v="11"/>
    <s v="Cam"/>
    <n v="14"/>
    <x v="1"/>
    <s v="Jakobi Meyers"/>
    <n v="10.199999999999999"/>
    <n v="2024"/>
  </r>
  <r>
    <x v="11"/>
    <s v="Cam"/>
    <n v="14"/>
    <x v="1"/>
    <s v="Ray-Ray McCloud"/>
    <n v="12.1"/>
    <n v="2024"/>
  </r>
  <r>
    <x v="11"/>
    <s v="Cam"/>
    <n v="14"/>
    <x v="2"/>
    <s v="Aaron Jones"/>
    <n v="15.4"/>
    <n v="2024"/>
  </r>
  <r>
    <x v="11"/>
    <s v="Cam"/>
    <n v="14"/>
    <x v="2"/>
    <s v="D'Andre Swift"/>
    <n v="4.5"/>
    <n v="2024"/>
  </r>
  <r>
    <x v="11"/>
    <s v="Cam"/>
    <n v="14"/>
    <x v="3"/>
    <s v="George Kittle"/>
    <n v="18.100000000000001"/>
    <n v="2024"/>
  </r>
  <r>
    <x v="11"/>
    <s v="Cam"/>
    <n v="14"/>
    <x v="5"/>
    <s v="Jake Bates"/>
    <n v="11"/>
    <n v="2024"/>
  </r>
  <r>
    <x v="11"/>
    <s v="Cam"/>
    <n v="14"/>
    <x v="4"/>
    <s v="San Francisco"/>
    <n v="16"/>
    <n v="2024"/>
  </r>
  <r>
    <x v="11"/>
    <s v="Cam"/>
    <n v="14"/>
    <x v="8"/>
    <s v="Jake Ferguson"/>
    <n v="4.7"/>
    <n v="2024"/>
  </r>
  <r>
    <x v="8"/>
    <s v="Schulwolf"/>
    <n v="14"/>
    <x v="0"/>
    <s v="Jordan Love"/>
    <n v="14.54"/>
    <n v="2024"/>
  </r>
  <r>
    <x v="8"/>
    <s v="Schulwolf"/>
    <n v="14"/>
    <x v="1"/>
    <s v="Cooper Kupp"/>
    <n v="17.7"/>
    <n v="2024"/>
  </r>
  <r>
    <x v="8"/>
    <s v="Schulwolf"/>
    <n v="14"/>
    <x v="1"/>
    <s v="DeVonta Smith"/>
    <n v="11.7"/>
    <n v="2024"/>
  </r>
  <r>
    <x v="8"/>
    <s v="Schulwolf"/>
    <n v="14"/>
    <x v="1"/>
    <s v="Adam Thielen"/>
    <n v="14.7"/>
    <n v="2024"/>
  </r>
  <r>
    <x v="8"/>
    <s v="Schulwolf"/>
    <n v="14"/>
    <x v="2"/>
    <s v="Jahmyr Gibbs"/>
    <n v="16.3"/>
    <n v="2024"/>
  </r>
  <r>
    <x v="8"/>
    <s v="Schulwolf"/>
    <n v="14"/>
    <x v="2"/>
    <s v="James Cook"/>
    <n v="3.9"/>
    <n v="2024"/>
  </r>
  <r>
    <x v="8"/>
    <s v="Schulwolf"/>
    <n v="14"/>
    <x v="3"/>
    <s v="Pat Freiermuth"/>
    <n v="12.3"/>
    <n v="2024"/>
  </r>
  <r>
    <x v="8"/>
    <s v="Schulwolf"/>
    <n v="14"/>
    <x v="5"/>
    <s v="Brandon Aubrey"/>
    <n v="9"/>
    <n v="2024"/>
  </r>
  <r>
    <x v="8"/>
    <s v="Schulwolf"/>
    <n v="14"/>
    <x v="4"/>
    <s v="Miami"/>
    <n v="-1"/>
    <n v="2024"/>
  </r>
  <r>
    <x v="8"/>
    <s v="Schulwolf"/>
    <n v="14"/>
    <x v="7"/>
    <s v="Jaylen Warren"/>
    <n v="8.1999999999999993"/>
    <n v="2024"/>
  </r>
  <r>
    <x v="10"/>
    <s v="Brand"/>
    <n v="14"/>
    <x v="0"/>
    <s v="Kirk Cousins"/>
    <n v="9.76"/>
    <n v="2024"/>
  </r>
  <r>
    <x v="10"/>
    <s v="Brand"/>
    <n v="14"/>
    <x v="1"/>
    <s v="Jameson Williams"/>
    <n v="10.5"/>
    <n v="2024"/>
  </r>
  <r>
    <x v="10"/>
    <s v="Brand"/>
    <n v="14"/>
    <x v="1"/>
    <s v="Garrett Wilson"/>
    <n v="14.9"/>
    <n v="2024"/>
  </r>
  <r>
    <x v="10"/>
    <s v="Brand"/>
    <n v="14"/>
    <x v="1"/>
    <s v="Keenan Allen"/>
    <n v="4.5"/>
    <n v="2024"/>
  </r>
  <r>
    <x v="10"/>
    <s v="Brand"/>
    <n v="14"/>
    <x v="2"/>
    <s v="Bucky Irving"/>
    <n v="2.2999999999999998"/>
    <n v="2024"/>
  </r>
  <r>
    <x v="10"/>
    <s v="Brand"/>
    <n v="14"/>
    <x v="2"/>
    <s v="Kenneth Walker"/>
    <n v="0"/>
    <n v="2024"/>
  </r>
  <r>
    <x v="10"/>
    <s v="Brand"/>
    <n v="14"/>
    <x v="3"/>
    <s v="TJ Hockenson"/>
    <n v="6.5"/>
    <n v="2024"/>
  </r>
  <r>
    <x v="10"/>
    <s v="Brand"/>
    <n v="14"/>
    <x v="5"/>
    <s v="Cameron Dicker"/>
    <n v="5"/>
    <n v="2024"/>
  </r>
  <r>
    <x v="10"/>
    <s v="Brand"/>
    <n v="14"/>
    <x v="4"/>
    <s v="Arizona"/>
    <n v="-5"/>
    <n v="2024"/>
  </r>
  <r>
    <x v="10"/>
    <s v="Brand"/>
    <n v="14"/>
    <x v="7"/>
    <s v="Breece Hall"/>
    <n v="0"/>
    <n v="2024"/>
  </r>
  <r>
    <x v="9"/>
    <s v="Tommy"/>
    <n v="14"/>
    <x v="0"/>
    <s v="Josh Allen"/>
    <n v="51.88"/>
    <n v="2024"/>
  </r>
  <r>
    <x v="9"/>
    <s v="Tommy"/>
    <n v="14"/>
    <x v="1"/>
    <s v="Malik Nabers"/>
    <n v="12.4"/>
    <n v="2024"/>
  </r>
  <r>
    <x v="9"/>
    <s v="Tommy"/>
    <n v="14"/>
    <x v="1"/>
    <s v="Xavier Worthy"/>
    <n v="7.1"/>
    <n v="2024"/>
  </r>
  <r>
    <x v="9"/>
    <s v="Tommy"/>
    <n v="14"/>
    <x v="1"/>
    <s v="DK Metcalf"/>
    <n v="6.9"/>
    <n v="2024"/>
  </r>
  <r>
    <x v="9"/>
    <s v="Tommy"/>
    <n v="14"/>
    <x v="2"/>
    <s v="Rachaad White"/>
    <n v="23.9"/>
    <n v="2024"/>
  </r>
  <r>
    <x v="9"/>
    <s v="Tommy"/>
    <n v="14"/>
    <x v="2"/>
    <s v="Kyren Williams"/>
    <n v="22.7"/>
    <n v="2024"/>
  </r>
  <r>
    <x v="9"/>
    <s v="Tommy"/>
    <n v="14"/>
    <x v="3"/>
    <s v="Cade Otton"/>
    <n v="8.5"/>
    <n v="2024"/>
  </r>
  <r>
    <x v="9"/>
    <s v="Tommy"/>
    <n v="14"/>
    <x v="5"/>
    <s v="Jason Myers"/>
    <n v="12"/>
    <n v="2024"/>
  </r>
  <r>
    <x v="9"/>
    <s v="Tommy"/>
    <n v="14"/>
    <x v="4"/>
    <s v="Minnesota"/>
    <n v="3"/>
    <n v="2024"/>
  </r>
  <r>
    <x v="9"/>
    <s v="Tommy"/>
    <n v="14"/>
    <x v="7"/>
    <s v="Saquon Barkley"/>
    <n v="14.4"/>
    <n v="2024"/>
  </r>
  <r>
    <x v="5"/>
    <s v="Burnett/Jasjaap"/>
    <n v="14"/>
    <x v="0"/>
    <s v="Brock Purdy"/>
    <n v="22.1"/>
    <n v="2024"/>
  </r>
  <r>
    <x v="5"/>
    <s v="Burnett/Jasjaap"/>
    <n v="14"/>
    <x v="1"/>
    <s v="Puka Nacua"/>
    <n v="35.799999999999997"/>
    <n v="2024"/>
  </r>
  <r>
    <x v="5"/>
    <s v="Burnett/Jasjaap"/>
    <n v="14"/>
    <x v="1"/>
    <s v="CeeDee Lamb"/>
    <n v="18.399999999999999"/>
    <n v="2024"/>
  </r>
  <r>
    <x v="5"/>
    <s v="Burnett/Jasjaap"/>
    <n v="14"/>
    <x v="1"/>
    <s v="Jaylen Waddle"/>
    <n v="16.399999999999999"/>
    <n v="2024"/>
  </r>
  <r>
    <x v="5"/>
    <s v="Burnett/Jasjaap"/>
    <n v="14"/>
    <x v="2"/>
    <s v="Josh Jacobs"/>
    <n v="24.6"/>
    <n v="2024"/>
  </r>
  <r>
    <x v="5"/>
    <s v="Burnett/Jasjaap"/>
    <n v="14"/>
    <x v="2"/>
    <s v="David Montgomery"/>
    <n v="16.899999999999999"/>
    <n v="2024"/>
  </r>
  <r>
    <x v="5"/>
    <s v="Burnett/Jasjaap"/>
    <n v="14"/>
    <x v="3"/>
    <s v="Brock Bowers"/>
    <n v="6.7"/>
    <n v="2024"/>
  </r>
  <r>
    <x v="5"/>
    <s v="Burnett/Jasjaap"/>
    <n v="14"/>
    <x v="5"/>
    <s v="Nick Folk"/>
    <n v="7"/>
    <n v="2024"/>
  </r>
  <r>
    <x v="5"/>
    <s v="Burnett/Jasjaap"/>
    <n v="14"/>
    <x v="4"/>
    <s v="Pittsburgh"/>
    <n v="9"/>
    <n v="2024"/>
  </r>
  <r>
    <x v="5"/>
    <s v="Burnett/Jasjaap"/>
    <n v="14"/>
    <x v="7"/>
    <s v="Rico Dowdle"/>
    <n v="14.6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17" firstHeaderRow="1" firstDataRow="2" firstDataCol="1"/>
  <pivotFields count="7">
    <pivotField axis="axisRow" showAll="0">
      <items count="13">
        <item x="1"/>
        <item x="4"/>
        <item x="6"/>
        <item x="0"/>
        <item x="8"/>
        <item x="3"/>
        <item x="10"/>
        <item x="7"/>
        <item x="11"/>
        <item x="2"/>
        <item x="9"/>
        <item x="5"/>
        <item t="default"/>
      </items>
    </pivotField>
    <pivotField showAll="0"/>
    <pivotField showAll="0"/>
    <pivotField axis="axisCol" showAll="0">
      <items count="7">
        <item x="4"/>
        <item x="5"/>
        <item x="0"/>
        <item x="2"/>
        <item x="3"/>
        <item x="1"/>
        <item t="default"/>
      </items>
    </pivotField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Points" fld="5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17" firstHeaderRow="1" firstDataRow="2" firstDataCol="1"/>
  <pivotFields count="7">
    <pivotField axis="axisRow" showAll="0">
      <items count="13">
        <item x="1"/>
        <item x="4"/>
        <item x="6"/>
        <item x="0"/>
        <item x="8"/>
        <item x="3"/>
        <item x="10"/>
        <item x="7"/>
        <item x="11"/>
        <item x="2"/>
        <item x="9"/>
        <item x="5"/>
        <item t="default"/>
      </items>
    </pivotField>
    <pivotField showAll="0"/>
    <pivotField showAll="0"/>
    <pivotField axis="axisCol" showAll="0">
      <items count="7">
        <item x="4"/>
        <item x="5"/>
        <item x="0"/>
        <item x="2"/>
        <item x="3"/>
        <item x="1"/>
        <item t="default"/>
      </items>
    </pivotField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Points" fld="5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PivotTable3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17" firstHeaderRow="1" firstDataRow="2" firstDataCol="1"/>
  <pivotFields count="7">
    <pivotField axis="axisRow" showAll="0">
      <items count="13">
        <item x="1"/>
        <item x="4"/>
        <item x="6"/>
        <item x="0"/>
        <item x="8"/>
        <item x="3"/>
        <item x="10"/>
        <item x="7"/>
        <item x="11"/>
        <item x="2"/>
        <item x="9"/>
        <item x="5"/>
        <item t="default"/>
      </items>
    </pivotField>
    <pivotField showAll="0"/>
    <pivotField showAll="0"/>
    <pivotField axis="axisCol" multipleItemSelectionAllowed="1" showAll="0">
      <items count="10">
        <item x="4"/>
        <item x="5"/>
        <item x="0"/>
        <item x="2"/>
        <item h="1" x="7"/>
        <item x="3"/>
        <item h="1" x="8"/>
        <item x="1"/>
        <item h="1" x="6"/>
        <item t="default"/>
      </items>
    </pivotField>
    <pivotField showAll="0"/>
    <pivotField dataField="1" showAll="0">
      <items count="236">
        <item x="172"/>
        <item x="188"/>
        <item x="129"/>
        <item x="41"/>
        <item x="215"/>
        <item x="230"/>
        <item x="146"/>
        <item x="105"/>
        <item x="29"/>
        <item x="78"/>
        <item x="121"/>
        <item x="171"/>
        <item x="202"/>
        <item x="70"/>
        <item x="213"/>
        <item x="160"/>
        <item x="139"/>
        <item x="28"/>
        <item x="37"/>
        <item x="98"/>
        <item x="61"/>
        <item x="52"/>
        <item x="59"/>
        <item x="5"/>
        <item x="7"/>
        <item x="115"/>
        <item x="143"/>
        <item x="232"/>
        <item x="58"/>
        <item x="54"/>
        <item x="206"/>
        <item x="154"/>
        <item x="132"/>
        <item x="16"/>
        <item x="86"/>
        <item x="91"/>
        <item x="75"/>
        <item x="163"/>
        <item x="15"/>
        <item x="219"/>
        <item x="103"/>
        <item x="189"/>
        <item x="82"/>
        <item x="22"/>
        <item x="231"/>
        <item x="128"/>
        <item x="167"/>
        <item x="6"/>
        <item x="90"/>
        <item x="96"/>
        <item x="225"/>
        <item x="178"/>
        <item x="25"/>
        <item x="45"/>
        <item x="149"/>
        <item x="39"/>
        <item x="23"/>
        <item x="184"/>
        <item x="92"/>
        <item x="76"/>
        <item x="108"/>
        <item x="210"/>
        <item x="50"/>
        <item x="170"/>
        <item x="223"/>
        <item x="36"/>
        <item x="133"/>
        <item x="153"/>
        <item x="32"/>
        <item x="83"/>
        <item x="3"/>
        <item x="136"/>
        <item x="112"/>
        <item x="18"/>
        <item x="157"/>
        <item x="161"/>
        <item x="48"/>
        <item x="155"/>
        <item x="24"/>
        <item x="74"/>
        <item x="84"/>
        <item x="156"/>
        <item x="218"/>
        <item x="140"/>
        <item x="158"/>
        <item x="135"/>
        <item x="191"/>
        <item x="221"/>
        <item x="8"/>
        <item x="55"/>
        <item x="208"/>
        <item x="204"/>
        <item x="42"/>
        <item x="27"/>
        <item x="21"/>
        <item x="60"/>
        <item x="53"/>
        <item x="173"/>
        <item x="138"/>
        <item x="43"/>
        <item x="174"/>
        <item x="0"/>
        <item x="177"/>
        <item x="46"/>
        <item x="9"/>
        <item x="187"/>
        <item x="20"/>
        <item x="69"/>
        <item x="66"/>
        <item x="122"/>
        <item x="175"/>
        <item x="51"/>
        <item x="224"/>
        <item x="229"/>
        <item x="234"/>
        <item x="233"/>
        <item x="99"/>
        <item x="94"/>
        <item x="49"/>
        <item x="152"/>
        <item x="145"/>
        <item x="120"/>
        <item x="123"/>
        <item x="201"/>
        <item x="38"/>
        <item x="44"/>
        <item x="12"/>
        <item x="35"/>
        <item x="151"/>
        <item x="100"/>
        <item x="127"/>
        <item x="113"/>
        <item x="130"/>
        <item x="118"/>
        <item x="107"/>
        <item x="211"/>
        <item x="17"/>
        <item x="85"/>
        <item x="31"/>
        <item x="134"/>
        <item x="166"/>
        <item x="63"/>
        <item x="228"/>
        <item x="68"/>
        <item x="144"/>
        <item x="93"/>
        <item x="47"/>
        <item x="4"/>
        <item x="101"/>
        <item x="97"/>
        <item x="11"/>
        <item x="190"/>
        <item x="216"/>
        <item x="104"/>
        <item x="64"/>
        <item x="34"/>
        <item x="186"/>
        <item x="220"/>
        <item x="114"/>
        <item x="62"/>
        <item x="125"/>
        <item x="117"/>
        <item x="217"/>
        <item x="159"/>
        <item x="119"/>
        <item x="227"/>
        <item x="14"/>
        <item x="116"/>
        <item x="81"/>
        <item x="72"/>
        <item x="185"/>
        <item x="67"/>
        <item x="194"/>
        <item x="89"/>
        <item x="26"/>
        <item x="88"/>
        <item x="57"/>
        <item x="176"/>
        <item x="212"/>
        <item x="13"/>
        <item x="150"/>
        <item x="198"/>
        <item x="209"/>
        <item x="109"/>
        <item x="87"/>
        <item x="10"/>
        <item x="19"/>
        <item x="137"/>
        <item x="71"/>
        <item x="124"/>
        <item x="111"/>
        <item x="205"/>
        <item x="95"/>
        <item x="226"/>
        <item x="80"/>
        <item x="192"/>
        <item x="2"/>
        <item x="102"/>
        <item x="33"/>
        <item x="169"/>
        <item x="182"/>
        <item x="148"/>
        <item x="200"/>
        <item x="203"/>
        <item x="142"/>
        <item x="110"/>
        <item x="141"/>
        <item x="207"/>
        <item x="165"/>
        <item x="179"/>
        <item x="65"/>
        <item x="56"/>
        <item x="30"/>
        <item x="180"/>
        <item x="197"/>
        <item x="164"/>
        <item x="40"/>
        <item x="79"/>
        <item x="181"/>
        <item x="131"/>
        <item x="222"/>
        <item x="126"/>
        <item x="183"/>
        <item x="147"/>
        <item x="199"/>
        <item x="168"/>
        <item x="162"/>
        <item x="196"/>
        <item x="193"/>
        <item x="1"/>
        <item x="73"/>
        <item x="195"/>
        <item x="77"/>
        <item x="214"/>
        <item x="106"/>
        <item t="default"/>
      </items>
    </pivotField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5"/>
    </i>
    <i>
      <x v="7"/>
    </i>
    <i t="grand">
      <x/>
    </i>
  </colItems>
  <dataFields count="1">
    <dataField name="Sum of Points" fld="5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PivotTable4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17" firstHeaderRow="1" firstDataRow="2" firstDataCol="1"/>
  <pivotFields count="7">
    <pivotField axis="axisRow" showAll="0">
      <items count="13">
        <item x="1"/>
        <item x="4"/>
        <item x="6"/>
        <item x="0"/>
        <item x="8"/>
        <item x="3"/>
        <item x="10"/>
        <item x="7"/>
        <item x="11"/>
        <item x="2"/>
        <item x="9"/>
        <item x="5"/>
        <item t="default"/>
      </items>
    </pivotField>
    <pivotField showAll="0"/>
    <pivotField showAll="0"/>
    <pivotField axis="axisCol" showAll="0">
      <items count="10">
        <item x="4"/>
        <item x="5"/>
        <item x="0"/>
        <item x="2"/>
        <item h="1" x="7"/>
        <item x="3"/>
        <item h="1" x="8"/>
        <item x="1"/>
        <item h="1" x="6"/>
        <item t="default"/>
      </items>
    </pivotField>
    <pivotField showAll="0"/>
    <pivotField dataField="1" showAll="0">
      <items count="263">
        <item x="172"/>
        <item x="188"/>
        <item x="246"/>
        <item x="129"/>
        <item x="41"/>
        <item x="215"/>
        <item x="230"/>
        <item x="146"/>
        <item x="105"/>
        <item x="29"/>
        <item x="78"/>
        <item x="121"/>
        <item x="236"/>
        <item x="171"/>
        <item x="202"/>
        <item x="70"/>
        <item x="213"/>
        <item x="160"/>
        <item x="139"/>
        <item x="28"/>
        <item x="37"/>
        <item x="98"/>
        <item x="61"/>
        <item x="52"/>
        <item x="59"/>
        <item x="5"/>
        <item x="7"/>
        <item x="115"/>
        <item x="143"/>
        <item x="232"/>
        <item x="58"/>
        <item x="54"/>
        <item x="206"/>
        <item x="154"/>
        <item x="132"/>
        <item x="16"/>
        <item x="86"/>
        <item x="91"/>
        <item x="256"/>
        <item x="75"/>
        <item x="254"/>
        <item x="163"/>
        <item x="15"/>
        <item x="245"/>
        <item x="219"/>
        <item x="103"/>
        <item x="189"/>
        <item x="82"/>
        <item x="22"/>
        <item x="231"/>
        <item x="128"/>
        <item x="167"/>
        <item x="6"/>
        <item x="90"/>
        <item x="96"/>
        <item x="225"/>
        <item x="178"/>
        <item x="25"/>
        <item x="45"/>
        <item x="149"/>
        <item x="39"/>
        <item x="23"/>
        <item x="249"/>
        <item x="184"/>
        <item x="92"/>
        <item x="76"/>
        <item x="108"/>
        <item x="210"/>
        <item x="50"/>
        <item x="170"/>
        <item x="223"/>
        <item x="36"/>
        <item x="133"/>
        <item x="153"/>
        <item x="32"/>
        <item x="83"/>
        <item x="3"/>
        <item x="136"/>
        <item x="112"/>
        <item x="18"/>
        <item x="157"/>
        <item x="161"/>
        <item x="48"/>
        <item x="155"/>
        <item x="24"/>
        <item x="74"/>
        <item x="84"/>
        <item x="156"/>
        <item x="239"/>
        <item x="260"/>
        <item x="218"/>
        <item x="140"/>
        <item x="158"/>
        <item x="135"/>
        <item x="191"/>
        <item x="221"/>
        <item x="8"/>
        <item x="55"/>
        <item x="208"/>
        <item x="204"/>
        <item x="42"/>
        <item x="27"/>
        <item x="21"/>
        <item x="252"/>
        <item x="60"/>
        <item x="53"/>
        <item x="173"/>
        <item x="138"/>
        <item x="43"/>
        <item x="174"/>
        <item x="0"/>
        <item x="177"/>
        <item x="46"/>
        <item x="9"/>
        <item x="253"/>
        <item x="187"/>
        <item x="20"/>
        <item x="69"/>
        <item x="66"/>
        <item x="122"/>
        <item x="175"/>
        <item x="51"/>
        <item x="224"/>
        <item x="229"/>
        <item x="234"/>
        <item x="233"/>
        <item x="99"/>
        <item x="94"/>
        <item x="49"/>
        <item x="247"/>
        <item x="152"/>
        <item x="145"/>
        <item x="120"/>
        <item x="123"/>
        <item x="201"/>
        <item x="38"/>
        <item x="44"/>
        <item x="12"/>
        <item x="35"/>
        <item x="151"/>
        <item x="100"/>
        <item x="127"/>
        <item x="113"/>
        <item x="130"/>
        <item x="118"/>
        <item x="107"/>
        <item x="211"/>
        <item x="17"/>
        <item x="85"/>
        <item x="31"/>
        <item x="134"/>
        <item x="166"/>
        <item x="63"/>
        <item x="228"/>
        <item x="259"/>
        <item x="68"/>
        <item x="261"/>
        <item x="144"/>
        <item x="93"/>
        <item x="47"/>
        <item x="4"/>
        <item x="237"/>
        <item x="101"/>
        <item x="97"/>
        <item x="11"/>
        <item x="190"/>
        <item x="216"/>
        <item x="104"/>
        <item x="64"/>
        <item x="34"/>
        <item x="248"/>
        <item x="186"/>
        <item x="220"/>
        <item x="114"/>
        <item x="62"/>
        <item x="125"/>
        <item x="117"/>
        <item x="217"/>
        <item x="159"/>
        <item x="119"/>
        <item x="227"/>
        <item x="14"/>
        <item x="116"/>
        <item x="81"/>
        <item x="72"/>
        <item x="185"/>
        <item x="67"/>
        <item x="194"/>
        <item x="89"/>
        <item x="26"/>
        <item x="242"/>
        <item x="88"/>
        <item x="57"/>
        <item x="176"/>
        <item x="212"/>
        <item x="13"/>
        <item x="150"/>
        <item x="198"/>
        <item x="255"/>
        <item x="209"/>
        <item x="109"/>
        <item x="87"/>
        <item x="10"/>
        <item x="19"/>
        <item x="238"/>
        <item x="137"/>
        <item x="71"/>
        <item x="124"/>
        <item x="111"/>
        <item x="205"/>
        <item x="95"/>
        <item x="226"/>
        <item x="80"/>
        <item x="192"/>
        <item x="2"/>
        <item x="250"/>
        <item x="244"/>
        <item x="102"/>
        <item x="257"/>
        <item x="33"/>
        <item x="169"/>
        <item x="182"/>
        <item x="235"/>
        <item x="148"/>
        <item x="200"/>
        <item x="203"/>
        <item x="142"/>
        <item x="110"/>
        <item x="141"/>
        <item x="207"/>
        <item x="165"/>
        <item x="179"/>
        <item x="65"/>
        <item x="56"/>
        <item x="30"/>
        <item x="180"/>
        <item x="197"/>
        <item x="164"/>
        <item x="40"/>
        <item x="79"/>
        <item x="243"/>
        <item x="181"/>
        <item x="131"/>
        <item x="222"/>
        <item x="251"/>
        <item x="126"/>
        <item x="183"/>
        <item x="147"/>
        <item x="199"/>
        <item x="168"/>
        <item x="162"/>
        <item x="196"/>
        <item x="193"/>
        <item x="1"/>
        <item x="73"/>
        <item x="195"/>
        <item x="77"/>
        <item x="258"/>
        <item x="240"/>
        <item x="214"/>
        <item x="241"/>
        <item x="106"/>
        <item t="default"/>
      </items>
    </pivotField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5"/>
    </i>
    <i>
      <x v="7"/>
    </i>
    <i t="grand">
      <x/>
    </i>
  </colItems>
  <dataFields count="1">
    <dataField name="Sum of Points" fld="5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4000000}" name="PivotTable5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17" firstHeaderRow="1" firstDataRow="2" firstDataCol="1"/>
  <pivotFields count="7">
    <pivotField axis="axisRow" showAll="0">
      <items count="14">
        <item x="1"/>
        <item x="4"/>
        <item x="6"/>
        <item x="0"/>
        <item x="8"/>
        <item x="3"/>
        <item x="10"/>
        <item x="7"/>
        <item x="11"/>
        <item x="2"/>
        <item x="9"/>
        <item x="5"/>
        <item x="12"/>
        <item t="default"/>
      </items>
    </pivotField>
    <pivotField showAll="0"/>
    <pivotField showAll="0"/>
    <pivotField axis="axisCol" showAll="0">
      <items count="11">
        <item x="4"/>
        <item x="5"/>
        <item x="0"/>
        <item x="2"/>
        <item h="1" x="7"/>
        <item x="3"/>
        <item h="1" x="8"/>
        <item x="1"/>
        <item h="1" x="6"/>
        <item h="1" x="9"/>
        <item t="default"/>
      </items>
    </pivotField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5"/>
    </i>
    <i>
      <x v="7"/>
    </i>
    <i t="grand">
      <x/>
    </i>
  </colItems>
  <dataFields count="1">
    <dataField name="Sum of Points" fld="5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5000000}" name="PivotTable7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17" firstHeaderRow="1" firstDataRow="2" firstDataCol="1"/>
  <pivotFields count="7">
    <pivotField axis="axisRow" showAll="0">
      <items count="13">
        <item x="1"/>
        <item x="4"/>
        <item x="6"/>
        <item x="0"/>
        <item x="8"/>
        <item x="3"/>
        <item x="10"/>
        <item x="7"/>
        <item x="11"/>
        <item x="2"/>
        <item x="9"/>
        <item x="5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10">
        <item x="4"/>
        <item x="5"/>
        <item x="0"/>
        <item x="2"/>
        <item h="1" x="7"/>
        <item x="3"/>
        <item h="1" x="8"/>
        <item x="1"/>
        <item h="1" x="6"/>
        <item t="default"/>
      </items>
    </pivotField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5"/>
    </i>
    <i>
      <x v="7"/>
    </i>
    <i t="grand">
      <x/>
    </i>
  </colItems>
  <dataFields count="1">
    <dataField name="Sum of Points" fld="5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ivotTable8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17" firstHeaderRow="1" firstDataRow="2" firstDataCol="1"/>
  <pivotFields count="7">
    <pivotField axis="axisRow" showAll="0">
      <items count="13">
        <item x="1"/>
        <item x="4"/>
        <item x="6"/>
        <item x="0"/>
        <item x="8"/>
        <item x="3"/>
        <item x="10"/>
        <item x="7"/>
        <item x="11"/>
        <item x="2"/>
        <item x="9"/>
        <item x="5"/>
        <item t="default"/>
      </items>
    </pivotField>
    <pivotField showAll="0"/>
    <pivotField showAll="0"/>
    <pivotField axis="axisCol" showAll="0">
      <items count="10">
        <item x="4"/>
        <item x="5"/>
        <item x="0"/>
        <item x="2"/>
        <item h="1" x="7"/>
        <item x="3"/>
        <item h="1" x="8"/>
        <item x="1"/>
        <item h="1" x="6"/>
        <item t="default"/>
      </items>
    </pivotField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5"/>
    </i>
    <i>
      <x v="7"/>
    </i>
    <i t="grand">
      <x/>
    </i>
  </colItems>
  <dataFields count="1">
    <dataField name="Sum of Points" fld="5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7000000}" name="PivotTable10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17" firstHeaderRow="1" firstDataRow="2" firstDataCol="1"/>
  <pivotFields count="7">
    <pivotField axis="axisRow" showAll="0">
      <items count="13">
        <item x="1"/>
        <item x="4"/>
        <item x="6"/>
        <item x="0"/>
        <item x="8"/>
        <item x="3"/>
        <item x="10"/>
        <item x="7"/>
        <item x="11"/>
        <item x="2"/>
        <item x="9"/>
        <item x="5"/>
        <item t="default"/>
      </items>
    </pivotField>
    <pivotField showAll="0"/>
    <pivotField showAll="0"/>
    <pivotField axis="axisCol" showAll="0">
      <items count="10">
        <item x="4"/>
        <item x="5"/>
        <item x="0"/>
        <item x="2"/>
        <item h="1" x="7"/>
        <item x="3"/>
        <item h="1" x="8"/>
        <item x="1"/>
        <item h="1" x="6"/>
        <item t="default"/>
      </items>
    </pivotField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5"/>
    </i>
    <i>
      <x v="7"/>
    </i>
    <i t="grand">
      <x/>
    </i>
  </colItems>
  <dataFields count="1">
    <dataField name="Sum of Points" fld="5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8000000}" name="PivotTable11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17" firstHeaderRow="1" firstDataRow="2" firstDataCol="1"/>
  <pivotFields count="7">
    <pivotField axis="axisRow" showAll="0">
      <items count="13">
        <item x="1"/>
        <item x="4"/>
        <item x="6"/>
        <item x="0"/>
        <item x="8"/>
        <item x="3"/>
        <item x="10"/>
        <item x="7"/>
        <item x="11"/>
        <item x="2"/>
        <item x="9"/>
        <item x="5"/>
        <item t="default"/>
      </items>
    </pivotField>
    <pivotField showAll="0"/>
    <pivotField showAll="0"/>
    <pivotField axis="axisCol" showAll="0">
      <items count="10">
        <item x="4"/>
        <item x="5"/>
        <item x="0"/>
        <item x="2"/>
        <item h="1" x="7"/>
        <item x="3"/>
        <item h="1" x="8"/>
        <item x="1"/>
        <item h="1" x="6"/>
        <item t="default"/>
      </items>
    </pivotField>
    <pivotField showAll="0"/>
    <pivotField dataField="1" showAll="0">
      <items count="359">
        <item x="301"/>
        <item x="172"/>
        <item x="188"/>
        <item x="246"/>
        <item x="129"/>
        <item x="41"/>
        <item x="284"/>
        <item x="215"/>
        <item x="230"/>
        <item x="281"/>
        <item x="146"/>
        <item x="297"/>
        <item x="294"/>
        <item x="105"/>
        <item x="353"/>
        <item x="271"/>
        <item x="29"/>
        <item x="78"/>
        <item x="121"/>
        <item x="236"/>
        <item x="171"/>
        <item x="202"/>
        <item x="70"/>
        <item x="344"/>
        <item x="213"/>
        <item x="160"/>
        <item x="139"/>
        <item x="28"/>
        <item x="37"/>
        <item x="98"/>
        <item x="61"/>
        <item x="52"/>
        <item x="59"/>
        <item x="276"/>
        <item x="5"/>
        <item x="278"/>
        <item x="7"/>
        <item x="115"/>
        <item x="143"/>
        <item x="269"/>
        <item x="309"/>
        <item x="232"/>
        <item x="58"/>
        <item x="54"/>
        <item x="206"/>
        <item x="154"/>
        <item x="132"/>
        <item x="16"/>
        <item x="86"/>
        <item x="91"/>
        <item x="256"/>
        <item x="75"/>
        <item x="254"/>
        <item x="163"/>
        <item x="15"/>
        <item x="245"/>
        <item x="219"/>
        <item x="103"/>
        <item x="189"/>
        <item x="82"/>
        <item x="22"/>
        <item x="314"/>
        <item x="231"/>
        <item x="128"/>
        <item x="302"/>
        <item x="167"/>
        <item x="6"/>
        <item x="90"/>
        <item x="96"/>
        <item x="312"/>
        <item x="225"/>
        <item x="178"/>
        <item x="25"/>
        <item x="289"/>
        <item x="45"/>
        <item x="149"/>
        <item x="39"/>
        <item x="346"/>
        <item x="23"/>
        <item x="249"/>
        <item x="184"/>
        <item x="283"/>
        <item x="92"/>
        <item x="76"/>
        <item x="108"/>
        <item x="210"/>
        <item x="50"/>
        <item x="170"/>
        <item x="223"/>
        <item x="36"/>
        <item x="287"/>
        <item x="322"/>
        <item x="280"/>
        <item x="133"/>
        <item x="153"/>
        <item x="32"/>
        <item x="83"/>
        <item x="3"/>
        <item x="136"/>
        <item x="112"/>
        <item x="18"/>
        <item x="157"/>
        <item x="352"/>
        <item x="161"/>
        <item x="296"/>
        <item x="48"/>
        <item x="155"/>
        <item x="343"/>
        <item x="24"/>
        <item x="74"/>
        <item x="333"/>
        <item x="84"/>
        <item x="156"/>
        <item x="239"/>
        <item x="260"/>
        <item x="218"/>
        <item x="140"/>
        <item x="347"/>
        <item x="158"/>
        <item x="135"/>
        <item x="191"/>
        <item x="320"/>
        <item x="221"/>
        <item x="8"/>
        <item x="55"/>
        <item x="208"/>
        <item x="354"/>
        <item x="204"/>
        <item x="42"/>
        <item x="316"/>
        <item x="27"/>
        <item x="21"/>
        <item x="252"/>
        <item x="60"/>
        <item x="53"/>
        <item x="173"/>
        <item x="138"/>
        <item x="43"/>
        <item x="174"/>
        <item x="0"/>
        <item x="349"/>
        <item x="177"/>
        <item x="46"/>
        <item x="9"/>
        <item x="253"/>
        <item x="340"/>
        <item x="187"/>
        <item x="20"/>
        <item x="69"/>
        <item x="66"/>
        <item x="122"/>
        <item x="292"/>
        <item x="324"/>
        <item x="175"/>
        <item x="51"/>
        <item x="279"/>
        <item x="224"/>
        <item x="229"/>
        <item x="234"/>
        <item x="233"/>
        <item x="319"/>
        <item x="99"/>
        <item x="94"/>
        <item x="49"/>
        <item x="247"/>
        <item x="152"/>
        <item x="311"/>
        <item x="145"/>
        <item x="120"/>
        <item x="267"/>
        <item x="123"/>
        <item x="201"/>
        <item x="38"/>
        <item x="44"/>
        <item x="12"/>
        <item x="35"/>
        <item x="151"/>
        <item x="100"/>
        <item x="127"/>
        <item x="113"/>
        <item x="130"/>
        <item x="118"/>
        <item x="317"/>
        <item x="107"/>
        <item x="306"/>
        <item x="211"/>
        <item x="17"/>
        <item x="313"/>
        <item x="85"/>
        <item x="31"/>
        <item x="134"/>
        <item x="166"/>
        <item x="307"/>
        <item x="63"/>
        <item x="308"/>
        <item x="228"/>
        <item x="259"/>
        <item x="68"/>
        <item x="261"/>
        <item x="144"/>
        <item x="93"/>
        <item x="47"/>
        <item x="4"/>
        <item x="237"/>
        <item x="101"/>
        <item x="97"/>
        <item x="11"/>
        <item x="295"/>
        <item x="190"/>
        <item x="216"/>
        <item x="104"/>
        <item x="64"/>
        <item x="34"/>
        <item x="326"/>
        <item x="345"/>
        <item x="248"/>
        <item x="186"/>
        <item x="220"/>
        <item x="114"/>
        <item x="62"/>
        <item x="125"/>
        <item x="304"/>
        <item x="264"/>
        <item x="330"/>
        <item x="331"/>
        <item x="117"/>
        <item x="217"/>
        <item x="159"/>
        <item x="119"/>
        <item x="227"/>
        <item x="14"/>
        <item x="116"/>
        <item x="81"/>
        <item x="72"/>
        <item x="334"/>
        <item x="291"/>
        <item x="185"/>
        <item x="67"/>
        <item x="282"/>
        <item x="194"/>
        <item x="89"/>
        <item x="26"/>
        <item x="242"/>
        <item x="88"/>
        <item x="57"/>
        <item x="277"/>
        <item x="176"/>
        <item x="310"/>
        <item x="270"/>
        <item x="212"/>
        <item x="13"/>
        <item x="150"/>
        <item x="198"/>
        <item x="255"/>
        <item x="325"/>
        <item x="209"/>
        <item x="262"/>
        <item x="337"/>
        <item x="263"/>
        <item x="109"/>
        <item x="87"/>
        <item x="342"/>
        <item x="265"/>
        <item x="10"/>
        <item x="285"/>
        <item x="19"/>
        <item x="238"/>
        <item x="137"/>
        <item x="272"/>
        <item x="71"/>
        <item x="288"/>
        <item x="124"/>
        <item x="111"/>
        <item x="205"/>
        <item x="95"/>
        <item x="226"/>
        <item x="300"/>
        <item x="274"/>
        <item x="80"/>
        <item x="192"/>
        <item x="335"/>
        <item x="298"/>
        <item x="2"/>
        <item x="250"/>
        <item x="244"/>
        <item x="102"/>
        <item x="299"/>
        <item x="257"/>
        <item x="348"/>
        <item x="33"/>
        <item x="169"/>
        <item x="182"/>
        <item x="235"/>
        <item x="148"/>
        <item x="200"/>
        <item x="203"/>
        <item x="142"/>
        <item x="286"/>
        <item x="110"/>
        <item x="141"/>
        <item x="275"/>
        <item x="207"/>
        <item x="165"/>
        <item x="323"/>
        <item x="179"/>
        <item x="268"/>
        <item x="338"/>
        <item x="328"/>
        <item x="341"/>
        <item x="293"/>
        <item x="65"/>
        <item x="56"/>
        <item x="266"/>
        <item x="30"/>
        <item x="180"/>
        <item x="303"/>
        <item x="327"/>
        <item x="290"/>
        <item x="197"/>
        <item x="329"/>
        <item x="164"/>
        <item x="40"/>
        <item x="79"/>
        <item x="321"/>
        <item x="243"/>
        <item x="181"/>
        <item x="131"/>
        <item x="222"/>
        <item x="251"/>
        <item x="351"/>
        <item x="126"/>
        <item x="183"/>
        <item x="332"/>
        <item x="147"/>
        <item x="199"/>
        <item x="339"/>
        <item x="350"/>
        <item x="168"/>
        <item x="162"/>
        <item x="273"/>
        <item x="196"/>
        <item x="193"/>
        <item x="1"/>
        <item x="73"/>
        <item x="336"/>
        <item x="195"/>
        <item x="77"/>
        <item x="355"/>
        <item x="315"/>
        <item x="258"/>
        <item x="356"/>
        <item x="240"/>
        <item x="214"/>
        <item x="305"/>
        <item x="318"/>
        <item x="241"/>
        <item x="106"/>
        <item x="357"/>
        <item t="default"/>
      </items>
    </pivotField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5"/>
    </i>
    <i>
      <x v="7"/>
    </i>
    <i t="grand">
      <x/>
    </i>
  </colItems>
  <dataFields count="1">
    <dataField name="Sum of Points" fld="5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9000000}" name="PivotTable12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17" firstHeaderRow="1" firstDataRow="2" firstDataCol="1"/>
  <pivotFields count="7">
    <pivotField axis="axisRow" showAll="0">
      <items count="13">
        <item x="1"/>
        <item x="4"/>
        <item x="6"/>
        <item x="0"/>
        <item x="8"/>
        <item x="3"/>
        <item x="10"/>
        <item x="7"/>
        <item x="11"/>
        <item x="2"/>
        <item x="9"/>
        <item x="5"/>
        <item t="default"/>
      </items>
    </pivotField>
    <pivotField showAll="0"/>
    <pivotField showAll="0"/>
    <pivotField axis="axisCol" showAll="0">
      <items count="10">
        <item x="4"/>
        <item x="5"/>
        <item x="0"/>
        <item x="2"/>
        <item h="1" x="7"/>
        <item x="3"/>
        <item h="1" x="8"/>
        <item x="1"/>
        <item h="1" x="6"/>
        <item t="default"/>
      </items>
    </pivotField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5"/>
    </i>
    <i>
      <x v="7"/>
    </i>
    <i t="grand">
      <x/>
    </i>
  </colItems>
  <dataFields count="1">
    <dataField name="Sum of Points" fld="5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A000000}" name="PivotTable13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17" firstHeaderRow="1" firstDataRow="2" firstDataCol="1"/>
  <pivotFields count="7">
    <pivotField axis="axisRow" showAll="0">
      <items count="13">
        <item x="1"/>
        <item x="4"/>
        <item x="6"/>
        <item x="0"/>
        <item x="8"/>
        <item x="3"/>
        <item x="10"/>
        <item x="7"/>
        <item x="11"/>
        <item x="2"/>
        <item x="9"/>
        <item x="5"/>
        <item t="default"/>
      </items>
    </pivotField>
    <pivotField showAll="0"/>
    <pivotField showAll="0"/>
    <pivotField axis="axisCol" showAll="0">
      <items count="10">
        <item x="4"/>
        <item x="5"/>
        <item x="0"/>
        <item x="2"/>
        <item h="1" x="7"/>
        <item x="3"/>
        <item h="1" x="8"/>
        <item x="1"/>
        <item h="1" x="6"/>
        <item t="default"/>
      </items>
    </pivotField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5"/>
    </i>
    <i>
      <x v="7"/>
    </i>
    <i t="grand">
      <x/>
    </i>
  </colItems>
  <dataFields count="1">
    <dataField name="Sum of Points" fld="5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B000000}" name="PivotTable14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17" firstHeaderRow="1" firstDataRow="2" firstDataCol="1"/>
  <pivotFields count="7">
    <pivotField axis="axisRow" showAll="0">
      <items count="13">
        <item x="1"/>
        <item x="4"/>
        <item x="6"/>
        <item x="0"/>
        <item x="8"/>
        <item x="3"/>
        <item x="10"/>
        <item x="7"/>
        <item x="11"/>
        <item x="2"/>
        <item x="9"/>
        <item x="5"/>
        <item t="default"/>
      </items>
    </pivotField>
    <pivotField showAll="0"/>
    <pivotField showAll="0"/>
    <pivotField axis="axisCol" showAll="0">
      <items count="10">
        <item x="4"/>
        <item x="5"/>
        <item x="0"/>
        <item x="2"/>
        <item h="1" x="7"/>
        <item x="3"/>
        <item h="1" x="8"/>
        <item x="1"/>
        <item h="1" x="6"/>
        <item t="default"/>
      </items>
    </pivotField>
    <pivotField showAll="0"/>
    <pivotField dataField="1" showAll="0">
      <items count="402">
        <item x="301"/>
        <item x="172"/>
        <item x="188"/>
        <item x="246"/>
        <item x="129"/>
        <item x="41"/>
        <item x="284"/>
        <item x="215"/>
        <item x="230"/>
        <item x="364"/>
        <item x="281"/>
        <item x="146"/>
        <item x="297"/>
        <item x="294"/>
        <item x="105"/>
        <item x="353"/>
        <item x="271"/>
        <item x="29"/>
        <item x="78"/>
        <item x="121"/>
        <item x="399"/>
        <item x="236"/>
        <item x="171"/>
        <item x="202"/>
        <item x="70"/>
        <item x="344"/>
        <item x="213"/>
        <item x="160"/>
        <item x="139"/>
        <item x="28"/>
        <item x="37"/>
        <item x="98"/>
        <item x="61"/>
        <item x="52"/>
        <item x="59"/>
        <item x="276"/>
        <item x="5"/>
        <item x="278"/>
        <item x="7"/>
        <item x="115"/>
        <item x="143"/>
        <item x="269"/>
        <item x="309"/>
        <item x="232"/>
        <item x="58"/>
        <item x="54"/>
        <item x="206"/>
        <item x="154"/>
        <item x="132"/>
        <item x="16"/>
        <item x="86"/>
        <item x="91"/>
        <item x="256"/>
        <item x="75"/>
        <item x="254"/>
        <item x="163"/>
        <item x="15"/>
        <item x="245"/>
        <item x="219"/>
        <item x="366"/>
        <item x="103"/>
        <item x="189"/>
        <item x="82"/>
        <item x="22"/>
        <item x="314"/>
        <item x="231"/>
        <item x="128"/>
        <item x="302"/>
        <item x="167"/>
        <item x="6"/>
        <item x="90"/>
        <item x="96"/>
        <item x="312"/>
        <item x="225"/>
        <item x="178"/>
        <item x="25"/>
        <item x="289"/>
        <item x="45"/>
        <item x="149"/>
        <item x="39"/>
        <item x="346"/>
        <item x="23"/>
        <item x="249"/>
        <item x="184"/>
        <item x="283"/>
        <item x="92"/>
        <item x="76"/>
        <item x="108"/>
        <item x="210"/>
        <item x="50"/>
        <item x="170"/>
        <item x="223"/>
        <item x="36"/>
        <item x="287"/>
        <item x="322"/>
        <item x="280"/>
        <item x="133"/>
        <item x="153"/>
        <item x="32"/>
        <item x="83"/>
        <item x="3"/>
        <item x="136"/>
        <item x="112"/>
        <item x="18"/>
        <item x="157"/>
        <item x="352"/>
        <item x="379"/>
        <item x="161"/>
        <item x="296"/>
        <item x="48"/>
        <item x="155"/>
        <item x="343"/>
        <item x="24"/>
        <item x="74"/>
        <item x="333"/>
        <item x="84"/>
        <item x="376"/>
        <item x="156"/>
        <item x="239"/>
        <item x="260"/>
        <item x="218"/>
        <item x="140"/>
        <item x="347"/>
        <item x="158"/>
        <item x="135"/>
        <item x="191"/>
        <item x="320"/>
        <item x="221"/>
        <item x="8"/>
        <item x="55"/>
        <item x="208"/>
        <item x="354"/>
        <item x="204"/>
        <item x="42"/>
        <item x="316"/>
        <item x="27"/>
        <item x="21"/>
        <item x="252"/>
        <item x="389"/>
        <item x="60"/>
        <item x="53"/>
        <item x="173"/>
        <item x="138"/>
        <item x="43"/>
        <item x="174"/>
        <item x="0"/>
        <item x="349"/>
        <item x="177"/>
        <item x="46"/>
        <item x="9"/>
        <item x="253"/>
        <item x="340"/>
        <item x="187"/>
        <item x="20"/>
        <item x="69"/>
        <item x="66"/>
        <item x="122"/>
        <item x="292"/>
        <item x="324"/>
        <item x="400"/>
        <item x="175"/>
        <item x="386"/>
        <item x="51"/>
        <item x="279"/>
        <item x="224"/>
        <item x="229"/>
        <item x="234"/>
        <item x="233"/>
        <item x="319"/>
        <item x="368"/>
        <item x="99"/>
        <item x="94"/>
        <item x="380"/>
        <item x="49"/>
        <item x="247"/>
        <item x="152"/>
        <item x="311"/>
        <item x="145"/>
        <item x="120"/>
        <item x="267"/>
        <item x="123"/>
        <item x="201"/>
        <item x="38"/>
        <item x="44"/>
        <item x="12"/>
        <item x="35"/>
        <item x="151"/>
        <item x="100"/>
        <item x="127"/>
        <item x="113"/>
        <item x="130"/>
        <item x="118"/>
        <item x="317"/>
        <item x="107"/>
        <item x="306"/>
        <item x="211"/>
        <item x="17"/>
        <item x="313"/>
        <item x="85"/>
        <item x="31"/>
        <item x="371"/>
        <item x="134"/>
        <item x="166"/>
        <item x="307"/>
        <item x="63"/>
        <item x="383"/>
        <item x="308"/>
        <item x="228"/>
        <item x="259"/>
        <item x="68"/>
        <item x="261"/>
        <item x="144"/>
        <item x="382"/>
        <item x="93"/>
        <item x="47"/>
        <item x="362"/>
        <item x="4"/>
        <item x="237"/>
        <item x="101"/>
        <item x="97"/>
        <item x="11"/>
        <item x="295"/>
        <item x="190"/>
        <item x="216"/>
        <item x="104"/>
        <item x="64"/>
        <item x="34"/>
        <item x="326"/>
        <item x="345"/>
        <item x="248"/>
        <item x="391"/>
        <item x="186"/>
        <item x="220"/>
        <item x="361"/>
        <item x="114"/>
        <item x="62"/>
        <item x="125"/>
        <item x="304"/>
        <item x="264"/>
        <item x="330"/>
        <item x="331"/>
        <item x="117"/>
        <item x="217"/>
        <item x="159"/>
        <item x="393"/>
        <item x="119"/>
        <item x="227"/>
        <item x="14"/>
        <item x="116"/>
        <item x="81"/>
        <item x="72"/>
        <item x="334"/>
        <item x="291"/>
        <item x="185"/>
        <item x="67"/>
        <item x="372"/>
        <item x="282"/>
        <item x="194"/>
        <item x="363"/>
        <item x="89"/>
        <item x="26"/>
        <item x="242"/>
        <item x="365"/>
        <item x="88"/>
        <item x="57"/>
        <item x="277"/>
        <item x="176"/>
        <item x="310"/>
        <item x="270"/>
        <item x="398"/>
        <item x="212"/>
        <item x="384"/>
        <item x="13"/>
        <item x="150"/>
        <item x="198"/>
        <item x="255"/>
        <item x="325"/>
        <item x="209"/>
        <item x="262"/>
        <item x="337"/>
        <item x="263"/>
        <item x="109"/>
        <item x="87"/>
        <item x="342"/>
        <item x="265"/>
        <item x="10"/>
        <item x="285"/>
        <item x="19"/>
        <item x="238"/>
        <item x="137"/>
        <item x="272"/>
        <item x="71"/>
        <item x="288"/>
        <item x="124"/>
        <item x="111"/>
        <item x="205"/>
        <item x="95"/>
        <item x="226"/>
        <item x="394"/>
        <item x="300"/>
        <item x="274"/>
        <item x="80"/>
        <item x="192"/>
        <item x="335"/>
        <item x="298"/>
        <item x="2"/>
        <item x="250"/>
        <item x="387"/>
        <item x="244"/>
        <item x="102"/>
        <item x="299"/>
        <item x="257"/>
        <item x="348"/>
        <item x="33"/>
        <item x="169"/>
        <item x="182"/>
        <item x="235"/>
        <item x="148"/>
        <item x="358"/>
        <item x="200"/>
        <item x="203"/>
        <item x="142"/>
        <item x="286"/>
        <item x="110"/>
        <item x="141"/>
        <item x="377"/>
        <item x="275"/>
        <item x="207"/>
        <item x="165"/>
        <item x="323"/>
        <item x="179"/>
        <item x="374"/>
        <item x="268"/>
        <item x="338"/>
        <item x="328"/>
        <item x="341"/>
        <item x="293"/>
        <item x="373"/>
        <item x="65"/>
        <item x="359"/>
        <item x="56"/>
        <item x="266"/>
        <item x="30"/>
        <item x="180"/>
        <item x="392"/>
        <item x="303"/>
        <item x="327"/>
        <item x="369"/>
        <item x="290"/>
        <item x="197"/>
        <item x="329"/>
        <item x="164"/>
        <item x="40"/>
        <item x="79"/>
        <item x="321"/>
        <item x="395"/>
        <item x="243"/>
        <item x="181"/>
        <item x="131"/>
        <item x="222"/>
        <item x="251"/>
        <item x="367"/>
        <item x="396"/>
        <item x="351"/>
        <item x="126"/>
        <item x="183"/>
        <item x="332"/>
        <item x="397"/>
        <item x="147"/>
        <item x="385"/>
        <item x="381"/>
        <item x="199"/>
        <item x="370"/>
        <item x="339"/>
        <item x="350"/>
        <item x="168"/>
        <item x="162"/>
        <item x="273"/>
        <item x="388"/>
        <item x="196"/>
        <item x="193"/>
        <item x="1"/>
        <item x="73"/>
        <item x="336"/>
        <item x="195"/>
        <item x="77"/>
        <item x="378"/>
        <item x="355"/>
        <item x="315"/>
        <item x="360"/>
        <item x="258"/>
        <item x="356"/>
        <item x="240"/>
        <item x="375"/>
        <item x="214"/>
        <item x="305"/>
        <item x="318"/>
        <item x="241"/>
        <item x="106"/>
        <item x="390"/>
        <item x="357"/>
        <item t="default"/>
      </items>
    </pivotField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5"/>
    </i>
    <i>
      <x v="7"/>
    </i>
    <i t="grand">
      <x/>
    </i>
  </colItems>
  <dataFields count="1">
    <dataField name="Sum of Points" fld="5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C000000}" name="PivotTable15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H17" firstHeaderRow="1" firstDataRow="2" firstDataCol="1"/>
  <pivotFields count="7">
    <pivotField axis="axisRow" showAll="0">
      <items count="13">
        <item x="1"/>
        <item x="4"/>
        <item x="6"/>
        <item x="0"/>
        <item x="8"/>
        <item x="3"/>
        <item x="10"/>
        <item x="7"/>
        <item x="11"/>
        <item x="2"/>
        <item x="9"/>
        <item x="5"/>
        <item t="default"/>
      </items>
    </pivotField>
    <pivotField showAll="0"/>
    <pivotField showAll="0"/>
    <pivotField axis="axisCol" showAll="0">
      <items count="10">
        <item x="4"/>
        <item x="5"/>
        <item x="0"/>
        <item x="2"/>
        <item h="1" x="7"/>
        <item x="3"/>
        <item h="1" x="8"/>
        <item x="1"/>
        <item h="1" x="6"/>
        <item t="default"/>
      </items>
    </pivotField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5"/>
    </i>
    <i>
      <x v="7"/>
    </i>
    <i t="grand">
      <x/>
    </i>
  </colItems>
  <dataFields count="1">
    <dataField name="Sum of Points" fld="5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workbookViewId="0">
      <selection activeCell="D28" sqref="D28"/>
    </sheetView>
  </sheetViews>
  <sheetFormatPr baseColWidth="10" defaultRowHeight="16" x14ac:dyDescent="0.2"/>
  <cols>
    <col min="1" max="1" width="10.83203125" style="27"/>
    <col min="2" max="2" width="3.33203125" customWidth="1"/>
    <col min="3" max="3" width="31.1640625" customWidth="1"/>
    <col min="6" max="6" width="13.1640625" customWidth="1"/>
    <col min="8" max="8" width="12" customWidth="1"/>
    <col min="9" max="9" width="2.6640625" customWidth="1"/>
    <col min="10" max="10" width="25.33203125" customWidth="1"/>
  </cols>
  <sheetData>
    <row r="1" spans="2:12" s="27" customFormat="1" x14ac:dyDescent="0.2"/>
    <row r="2" spans="2:12" s="27" customFormat="1" x14ac:dyDescent="0.2">
      <c r="C2" s="281" t="s">
        <v>409</v>
      </c>
      <c r="D2" s="282"/>
      <c r="E2" s="282"/>
      <c r="F2" s="282"/>
      <c r="G2" s="282"/>
      <c r="H2" s="283"/>
      <c r="J2" s="279" t="s">
        <v>620</v>
      </c>
      <c r="K2" s="280"/>
    </row>
    <row r="3" spans="2:12" ht="16" customHeight="1" x14ac:dyDescent="0.2">
      <c r="B3" s="27"/>
      <c r="C3" s="284"/>
      <c r="D3" s="285"/>
      <c r="E3" s="285"/>
      <c r="F3" s="285"/>
      <c r="G3" s="285"/>
      <c r="H3" s="286"/>
      <c r="I3" s="27"/>
      <c r="J3" s="32" t="s">
        <v>521</v>
      </c>
      <c r="K3" s="33">
        <v>79.959999999999994</v>
      </c>
      <c r="L3" s="27"/>
    </row>
    <row r="4" spans="2:12" x14ac:dyDescent="0.2">
      <c r="B4" s="27"/>
      <c r="C4" s="28" t="s">
        <v>78</v>
      </c>
      <c r="D4" s="29" t="s">
        <v>410</v>
      </c>
      <c r="E4" s="29" t="s">
        <v>411</v>
      </c>
      <c r="F4" s="29" t="s">
        <v>80</v>
      </c>
      <c r="G4" s="29" t="s">
        <v>412</v>
      </c>
      <c r="H4" s="30" t="s">
        <v>413</v>
      </c>
      <c r="I4" s="27"/>
      <c r="J4" s="36" t="s">
        <v>31</v>
      </c>
      <c r="K4" s="48">
        <v>99.18</v>
      </c>
      <c r="L4" s="27"/>
    </row>
    <row r="5" spans="2:12" x14ac:dyDescent="0.2">
      <c r="B5" s="37">
        <v>1</v>
      </c>
      <c r="C5" s="152" t="s">
        <v>18</v>
      </c>
      <c r="D5" s="52" t="s">
        <v>598</v>
      </c>
      <c r="E5" s="153">
        <v>1721.36</v>
      </c>
      <c r="F5" s="62">
        <v>1528.9</v>
      </c>
      <c r="G5" s="61">
        <f>E5/14</f>
        <v>122.9542857142857</v>
      </c>
      <c r="H5" s="154" t="s">
        <v>599</v>
      </c>
      <c r="I5" s="27"/>
      <c r="J5" s="205" t="s">
        <v>524</v>
      </c>
      <c r="K5" s="206">
        <v>148.91999999999999</v>
      </c>
      <c r="L5" s="27"/>
    </row>
    <row r="6" spans="2:12" x14ac:dyDescent="0.2">
      <c r="B6" s="1">
        <v>2</v>
      </c>
      <c r="C6" s="155" t="s">
        <v>35</v>
      </c>
      <c r="D6" s="170" t="s">
        <v>598</v>
      </c>
      <c r="E6" s="171">
        <v>1707.1</v>
      </c>
      <c r="F6" s="171">
        <v>1508.74</v>
      </c>
      <c r="G6" s="172">
        <f>E6/14</f>
        <v>121.93571428571428</v>
      </c>
      <c r="H6" s="156" t="s">
        <v>599</v>
      </c>
      <c r="I6" s="27"/>
      <c r="J6" s="24" t="s">
        <v>46</v>
      </c>
      <c r="K6" s="17">
        <v>122.7</v>
      </c>
      <c r="L6" s="27"/>
    </row>
    <row r="7" spans="2:12" x14ac:dyDescent="0.2">
      <c r="B7" s="27"/>
      <c r="C7" s="34" t="s">
        <v>521</v>
      </c>
      <c r="D7" s="173" t="s">
        <v>599</v>
      </c>
      <c r="E7" s="174">
        <v>1696.04</v>
      </c>
      <c r="F7" s="174">
        <v>1531.72</v>
      </c>
      <c r="G7" s="175">
        <f>E7/14</f>
        <v>121.14571428571428</v>
      </c>
      <c r="H7" s="35" t="s">
        <v>599</v>
      </c>
      <c r="I7" s="27"/>
      <c r="J7" s="96"/>
      <c r="K7" s="201"/>
      <c r="L7" s="27"/>
    </row>
    <row r="8" spans="2:12" x14ac:dyDescent="0.2">
      <c r="B8" s="27"/>
      <c r="C8" s="34" t="s">
        <v>46</v>
      </c>
      <c r="D8" s="173" t="s">
        <v>599</v>
      </c>
      <c r="E8" s="174">
        <v>1582.24</v>
      </c>
      <c r="F8" s="174">
        <v>1448.88</v>
      </c>
      <c r="G8" s="175">
        <f t="shared" ref="G8:G10" si="0">E8/14</f>
        <v>113.01714285714286</v>
      </c>
      <c r="H8" s="35" t="s">
        <v>600</v>
      </c>
      <c r="I8" s="27"/>
      <c r="J8" s="279" t="s">
        <v>414</v>
      </c>
      <c r="K8" s="280"/>
      <c r="L8" s="27"/>
    </row>
    <row r="9" spans="2:12" x14ac:dyDescent="0.2">
      <c r="B9" s="31">
        <v>3</v>
      </c>
      <c r="C9" s="34" t="s">
        <v>524</v>
      </c>
      <c r="D9" s="173" t="s">
        <v>600</v>
      </c>
      <c r="E9" s="174">
        <v>1611.8</v>
      </c>
      <c r="F9" s="174">
        <v>1609.44</v>
      </c>
      <c r="G9" s="175">
        <f t="shared" si="0"/>
        <v>115.12857142857142</v>
      </c>
      <c r="H9" s="35" t="s">
        <v>600</v>
      </c>
      <c r="I9" s="27"/>
      <c r="J9" s="36" t="s">
        <v>18</v>
      </c>
      <c r="K9" s="48">
        <v>156.06</v>
      </c>
      <c r="L9" s="27"/>
    </row>
    <row r="10" spans="2:12" x14ac:dyDescent="0.2">
      <c r="B10" s="27"/>
      <c r="C10" s="176" t="s">
        <v>31</v>
      </c>
      <c r="D10" s="38" t="s">
        <v>600</v>
      </c>
      <c r="E10" s="177">
        <v>1498.52</v>
      </c>
      <c r="F10" s="177">
        <v>1511.58</v>
      </c>
      <c r="G10" s="39">
        <f t="shared" si="0"/>
        <v>107.03714285714285</v>
      </c>
      <c r="H10" s="178" t="s">
        <v>601</v>
      </c>
      <c r="I10" s="27"/>
      <c r="J10" s="32" t="s">
        <v>31</v>
      </c>
      <c r="K10" s="33">
        <v>105.72</v>
      </c>
      <c r="L10" s="27"/>
    </row>
    <row r="11" spans="2:12" x14ac:dyDescent="0.2">
      <c r="B11" s="27"/>
      <c r="C11" s="46" t="s">
        <v>526</v>
      </c>
      <c r="D11" s="66" t="s">
        <v>601</v>
      </c>
      <c r="E11" s="67">
        <v>1466.72</v>
      </c>
      <c r="F11" s="67">
        <v>1627.48</v>
      </c>
      <c r="G11" s="65">
        <f>E11/14</f>
        <v>104.76571428571428</v>
      </c>
      <c r="H11" s="179" t="s">
        <v>602</v>
      </c>
      <c r="I11" s="27"/>
      <c r="J11" s="46" t="s">
        <v>524</v>
      </c>
      <c r="K11" s="47">
        <v>93.1</v>
      </c>
      <c r="L11" s="27"/>
    </row>
    <row r="12" spans="2:12" x14ac:dyDescent="0.2">
      <c r="B12" s="27"/>
      <c r="C12" s="32" t="s">
        <v>77</v>
      </c>
      <c r="D12" s="41" t="s">
        <v>601</v>
      </c>
      <c r="E12" s="4">
        <v>1441.6</v>
      </c>
      <c r="F12" s="4">
        <v>1678.9</v>
      </c>
      <c r="G12" s="42">
        <f t="shared" ref="G12:G16" si="1">E12/14</f>
        <v>102.97142857142856</v>
      </c>
      <c r="H12" s="43" t="s">
        <v>602</v>
      </c>
      <c r="I12" s="27"/>
      <c r="J12" s="45" t="s">
        <v>35</v>
      </c>
      <c r="K12" s="157">
        <v>143.69999999999999</v>
      </c>
      <c r="L12" s="27"/>
    </row>
    <row r="13" spans="2:12" x14ac:dyDescent="0.2">
      <c r="B13" s="27"/>
      <c r="C13" s="32" t="s">
        <v>525</v>
      </c>
      <c r="D13" s="41" t="s">
        <v>602</v>
      </c>
      <c r="E13" s="4">
        <v>1670.96</v>
      </c>
      <c r="F13" s="4">
        <v>1638.46</v>
      </c>
      <c r="G13" s="42">
        <f t="shared" si="1"/>
        <v>119.35428571428572</v>
      </c>
      <c r="H13" s="43" t="s">
        <v>617</v>
      </c>
      <c r="I13" s="27"/>
      <c r="J13" s="27"/>
      <c r="K13" s="27"/>
      <c r="L13" s="27"/>
    </row>
    <row r="14" spans="2:12" x14ac:dyDescent="0.2">
      <c r="B14" s="27"/>
      <c r="C14" s="32" t="s">
        <v>14</v>
      </c>
      <c r="D14" s="41" t="s">
        <v>602</v>
      </c>
      <c r="E14" s="4">
        <v>1531.08</v>
      </c>
      <c r="F14" s="4">
        <v>1589.38</v>
      </c>
      <c r="G14" s="42">
        <f t="shared" si="1"/>
        <v>109.36285714285714</v>
      </c>
      <c r="H14" s="43" t="s">
        <v>601</v>
      </c>
      <c r="I14" s="27"/>
      <c r="J14" s="279" t="s">
        <v>416</v>
      </c>
      <c r="K14" s="280"/>
      <c r="L14" s="27"/>
    </row>
    <row r="15" spans="2:12" x14ac:dyDescent="0.2">
      <c r="B15" s="27"/>
      <c r="C15" s="32" t="s">
        <v>42</v>
      </c>
      <c r="D15" s="41" t="s">
        <v>602</v>
      </c>
      <c r="E15" s="4">
        <v>1525.36</v>
      </c>
      <c r="F15" s="4">
        <v>1569.6</v>
      </c>
      <c r="G15" s="42">
        <f t="shared" si="1"/>
        <v>108.9542857142857</v>
      </c>
      <c r="H15" s="43" t="s">
        <v>601</v>
      </c>
      <c r="I15" s="27"/>
      <c r="J15" s="205" t="s">
        <v>18</v>
      </c>
      <c r="K15" s="206">
        <v>138</v>
      </c>
      <c r="L15" s="27"/>
    </row>
    <row r="16" spans="2:12" x14ac:dyDescent="0.2">
      <c r="B16" s="27"/>
      <c r="C16" s="74" t="s">
        <v>26</v>
      </c>
      <c r="D16" s="57" t="s">
        <v>602</v>
      </c>
      <c r="E16" s="75">
        <v>1465.36</v>
      </c>
      <c r="F16" s="16">
        <v>1675.06</v>
      </c>
      <c r="G16" s="25">
        <f t="shared" si="1"/>
        <v>104.66857142857143</v>
      </c>
      <c r="H16" s="95" t="s">
        <v>602</v>
      </c>
      <c r="I16" s="27"/>
      <c r="J16" s="24" t="s">
        <v>35</v>
      </c>
      <c r="K16" s="17">
        <v>100.9</v>
      </c>
      <c r="L16" s="27"/>
    </row>
    <row r="17" spans="10:12" s="27" customFormat="1" x14ac:dyDescent="0.2">
      <c r="J17" s="207"/>
      <c r="K17" s="208"/>
    </row>
    <row r="18" spans="10:12" x14ac:dyDescent="0.2">
      <c r="J18" s="203"/>
      <c r="K18" s="204"/>
      <c r="L18" s="27"/>
    </row>
    <row r="19" spans="10:12" x14ac:dyDescent="0.2">
      <c r="J19" s="278"/>
      <c r="K19" s="278"/>
    </row>
    <row r="20" spans="10:12" x14ac:dyDescent="0.2">
      <c r="J20" s="90"/>
      <c r="K20" s="90"/>
    </row>
    <row r="22" spans="10:12" x14ac:dyDescent="0.2">
      <c r="K22" s="4"/>
    </row>
    <row r="23" spans="10:12" x14ac:dyDescent="0.2">
      <c r="J23" s="202"/>
      <c r="K23" s="115"/>
    </row>
    <row r="25" spans="10:12" x14ac:dyDescent="0.2">
      <c r="J25" s="278"/>
      <c r="K25" s="278"/>
    </row>
    <row r="26" spans="10:12" x14ac:dyDescent="0.2">
      <c r="J26" s="90"/>
      <c r="K26" s="115"/>
    </row>
    <row r="27" spans="10:12" x14ac:dyDescent="0.2">
      <c r="J27" s="6"/>
      <c r="K27" s="4"/>
    </row>
  </sheetData>
  <mergeCells count="6">
    <mergeCell ref="J19:K19"/>
    <mergeCell ref="J25:K25"/>
    <mergeCell ref="J8:K8"/>
    <mergeCell ref="J14:K14"/>
    <mergeCell ref="C2:H3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503"/>
  <sheetViews>
    <sheetView workbookViewId="0">
      <selection activeCell="C450" sqref="C450"/>
    </sheetView>
  </sheetViews>
  <sheetFormatPr baseColWidth="10" defaultRowHeight="16" x14ac:dyDescent="0.2"/>
  <cols>
    <col min="3" max="3" width="25.83203125" customWidth="1"/>
    <col min="4" max="4" width="24" customWidth="1"/>
    <col min="7" max="7" width="14.3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">
      <c r="A2">
        <v>2021</v>
      </c>
      <c r="B2">
        <v>2</v>
      </c>
      <c r="C2" t="s">
        <v>18</v>
      </c>
      <c r="D2" t="s">
        <v>15</v>
      </c>
      <c r="E2">
        <v>163.80000000000001</v>
      </c>
      <c r="F2">
        <v>51.38</v>
      </c>
      <c r="G2">
        <f t="shared" ref="G2:G65" si="0">E2+F2</f>
        <v>215.18</v>
      </c>
      <c r="H2">
        <f t="shared" ref="H2:H65" si="1">E2-F2</f>
        <v>112.42000000000002</v>
      </c>
      <c r="I2" t="s">
        <v>20</v>
      </c>
      <c r="J2" t="s">
        <v>17</v>
      </c>
      <c r="K2" t="str">
        <f t="shared" ref="K2:K65" si="2">_xlfn.CONCAT(_xlfn.CONCAT(I2,"|"), J2)</f>
        <v>Schulwolf|Mike</v>
      </c>
      <c r="L2">
        <v>0</v>
      </c>
      <c r="M2">
        <v>0</v>
      </c>
      <c r="N2">
        <v>0</v>
      </c>
    </row>
    <row r="3" spans="1:14" hidden="1" x14ac:dyDescent="0.2">
      <c r="A3">
        <v>2023</v>
      </c>
      <c r="B3">
        <v>8</v>
      </c>
      <c r="C3" t="s">
        <v>48</v>
      </c>
      <c r="D3" t="s">
        <v>52</v>
      </c>
      <c r="E3">
        <v>176.86</v>
      </c>
      <c r="F3">
        <v>68.42</v>
      </c>
      <c r="G3">
        <f t="shared" si="0"/>
        <v>245.28000000000003</v>
      </c>
      <c r="H3">
        <f t="shared" si="1"/>
        <v>108.44000000000001</v>
      </c>
      <c r="I3" t="s">
        <v>36</v>
      </c>
      <c r="J3" t="s">
        <v>32</v>
      </c>
      <c r="K3" t="str">
        <f t="shared" si="2"/>
        <v>Will|Cam</v>
      </c>
      <c r="L3">
        <v>0</v>
      </c>
      <c r="M3">
        <v>0</v>
      </c>
      <c r="N3">
        <v>0</v>
      </c>
    </row>
    <row r="4" spans="1:14" hidden="1" x14ac:dyDescent="0.2">
      <c r="A4">
        <v>2025</v>
      </c>
      <c r="B4">
        <v>10</v>
      </c>
      <c r="C4" t="s">
        <v>525</v>
      </c>
      <c r="D4" t="s">
        <v>77</v>
      </c>
      <c r="E4">
        <v>150.5</v>
      </c>
      <c r="F4">
        <v>51.62</v>
      </c>
      <c r="G4">
        <f t="shared" si="0"/>
        <v>202.12</v>
      </c>
      <c r="H4">
        <f t="shared" si="1"/>
        <v>98.88</v>
      </c>
      <c r="I4" t="s">
        <v>36</v>
      </c>
      <c r="J4" t="s">
        <v>45</v>
      </c>
      <c r="K4" t="str">
        <f t="shared" si="2"/>
        <v>Will|Kevin</v>
      </c>
      <c r="L4">
        <v>0</v>
      </c>
      <c r="M4">
        <v>0</v>
      </c>
      <c r="N4">
        <v>0</v>
      </c>
    </row>
    <row r="5" spans="1:14" hidden="1" x14ac:dyDescent="0.2">
      <c r="A5">
        <v>2023</v>
      </c>
      <c r="B5">
        <v>16</v>
      </c>
      <c r="C5" t="s">
        <v>14</v>
      </c>
      <c r="D5" t="s">
        <v>44</v>
      </c>
      <c r="E5">
        <v>167.22</v>
      </c>
      <c r="F5">
        <v>152.58000000000001</v>
      </c>
      <c r="G5">
        <f t="shared" si="0"/>
        <v>319.8</v>
      </c>
      <c r="H5">
        <f t="shared" si="1"/>
        <v>14.639999999999986</v>
      </c>
      <c r="I5" t="s">
        <v>16</v>
      </c>
      <c r="J5" t="s">
        <v>45</v>
      </c>
      <c r="K5" t="str">
        <f t="shared" si="2"/>
        <v>Brenton|Kevin</v>
      </c>
      <c r="L5">
        <v>1</v>
      </c>
      <c r="M5">
        <v>1</v>
      </c>
      <c r="N5">
        <v>0</v>
      </c>
    </row>
    <row r="6" spans="1:14" hidden="1" x14ac:dyDescent="0.2">
      <c r="A6">
        <v>2023</v>
      </c>
      <c r="B6">
        <v>15</v>
      </c>
      <c r="C6" t="s">
        <v>26</v>
      </c>
      <c r="D6" t="s">
        <v>42</v>
      </c>
      <c r="E6">
        <v>161.52000000000001</v>
      </c>
      <c r="F6">
        <v>70.760000000000005</v>
      </c>
      <c r="G6">
        <f t="shared" si="0"/>
        <v>232.28000000000003</v>
      </c>
      <c r="H6">
        <f t="shared" si="1"/>
        <v>90.76</v>
      </c>
      <c r="I6" t="s">
        <v>28</v>
      </c>
      <c r="J6" t="s">
        <v>17</v>
      </c>
      <c r="K6" t="str">
        <f t="shared" si="2"/>
        <v>Tommy|Mike</v>
      </c>
      <c r="L6">
        <v>0</v>
      </c>
      <c r="M6">
        <v>0</v>
      </c>
      <c r="N6">
        <v>0</v>
      </c>
    </row>
    <row r="7" spans="1:14" hidden="1" x14ac:dyDescent="0.2">
      <c r="A7">
        <v>2024</v>
      </c>
      <c r="B7">
        <v>3</v>
      </c>
      <c r="C7" t="s">
        <v>26</v>
      </c>
      <c r="D7" t="s">
        <v>46</v>
      </c>
      <c r="E7">
        <v>168.42</v>
      </c>
      <c r="F7">
        <v>81.58</v>
      </c>
      <c r="G7">
        <f t="shared" si="0"/>
        <v>250</v>
      </c>
      <c r="H7">
        <f t="shared" si="1"/>
        <v>86.839999999999989</v>
      </c>
      <c r="I7" t="s">
        <v>28</v>
      </c>
      <c r="J7" t="s">
        <v>47</v>
      </c>
      <c r="K7" t="str">
        <f t="shared" si="2"/>
        <v>Tommy|Burnett/Jasjaap</v>
      </c>
      <c r="L7">
        <v>0</v>
      </c>
      <c r="M7">
        <v>0</v>
      </c>
      <c r="N7">
        <v>0</v>
      </c>
    </row>
    <row r="8" spans="1:14" hidden="1" x14ac:dyDescent="0.2">
      <c r="A8">
        <v>2021</v>
      </c>
      <c r="B8">
        <v>5</v>
      </c>
      <c r="C8" t="s">
        <v>15</v>
      </c>
      <c r="D8" t="s">
        <v>31</v>
      </c>
      <c r="E8">
        <v>145.08000000000001</v>
      </c>
      <c r="F8">
        <v>58.28</v>
      </c>
      <c r="G8">
        <f t="shared" si="0"/>
        <v>203.36</v>
      </c>
      <c r="H8">
        <f t="shared" si="1"/>
        <v>86.800000000000011</v>
      </c>
      <c r="I8" t="s">
        <v>17</v>
      </c>
      <c r="J8" t="s">
        <v>33</v>
      </c>
      <c r="K8" t="str">
        <f t="shared" si="2"/>
        <v>Mike|Jay</v>
      </c>
      <c r="L8">
        <v>0</v>
      </c>
      <c r="M8">
        <v>0</v>
      </c>
      <c r="N8">
        <v>0</v>
      </c>
    </row>
    <row r="9" spans="1:14" hidden="1" x14ac:dyDescent="0.2">
      <c r="A9">
        <v>2025</v>
      </c>
      <c r="B9">
        <v>11</v>
      </c>
      <c r="C9" t="s">
        <v>524</v>
      </c>
      <c r="D9" t="s">
        <v>26</v>
      </c>
      <c r="E9">
        <v>158.78</v>
      </c>
      <c r="F9">
        <v>72.739999999999995</v>
      </c>
      <c r="G9">
        <f t="shared" si="0"/>
        <v>231.51999999999998</v>
      </c>
      <c r="H9">
        <f t="shared" si="1"/>
        <v>86.04</v>
      </c>
      <c r="I9" t="s">
        <v>21</v>
      </c>
      <c r="J9" t="s">
        <v>28</v>
      </c>
      <c r="K9" t="str">
        <f t="shared" si="2"/>
        <v>Todd|Tommy</v>
      </c>
      <c r="L9">
        <v>0</v>
      </c>
      <c r="M9">
        <v>0</v>
      </c>
      <c r="N9">
        <v>0</v>
      </c>
    </row>
    <row r="10" spans="1:14" hidden="1" x14ac:dyDescent="0.2">
      <c r="A10">
        <v>2025</v>
      </c>
      <c r="B10">
        <v>7</v>
      </c>
      <c r="C10" t="s">
        <v>521</v>
      </c>
      <c r="D10" t="s">
        <v>526</v>
      </c>
      <c r="E10">
        <v>156.63999999999999</v>
      </c>
      <c r="F10">
        <v>70.78</v>
      </c>
      <c r="G10">
        <f t="shared" si="0"/>
        <v>227.42</v>
      </c>
      <c r="H10">
        <f t="shared" si="1"/>
        <v>85.859999999999985</v>
      </c>
      <c r="I10" t="s">
        <v>29</v>
      </c>
      <c r="J10" t="s">
        <v>32</v>
      </c>
      <c r="K10" t="str">
        <f t="shared" si="2"/>
        <v>Eli|Cam</v>
      </c>
      <c r="L10">
        <v>0</v>
      </c>
      <c r="M10">
        <v>0</v>
      </c>
      <c r="N10">
        <v>0</v>
      </c>
    </row>
    <row r="11" spans="1:14" hidden="1" x14ac:dyDescent="0.2">
      <c r="A11">
        <v>2022</v>
      </c>
      <c r="B11">
        <v>8</v>
      </c>
      <c r="C11" t="s">
        <v>39</v>
      </c>
      <c r="D11" t="s">
        <v>26</v>
      </c>
      <c r="E11">
        <v>159.1</v>
      </c>
      <c r="F11">
        <v>74.62</v>
      </c>
      <c r="G11">
        <f t="shared" si="0"/>
        <v>233.72</v>
      </c>
      <c r="H11">
        <f t="shared" si="1"/>
        <v>84.47999999999999</v>
      </c>
      <c r="I11" t="s">
        <v>32</v>
      </c>
      <c r="J11" t="s">
        <v>28</v>
      </c>
      <c r="K11" t="str">
        <f t="shared" si="2"/>
        <v>Cam|Tommy</v>
      </c>
      <c r="L11">
        <v>0</v>
      </c>
      <c r="M11">
        <v>0</v>
      </c>
      <c r="N11">
        <v>0</v>
      </c>
    </row>
    <row r="12" spans="1:14" hidden="1" x14ac:dyDescent="0.2">
      <c r="A12">
        <v>2025</v>
      </c>
      <c r="B12">
        <v>6</v>
      </c>
      <c r="C12" t="s">
        <v>35</v>
      </c>
      <c r="D12" t="s">
        <v>524</v>
      </c>
      <c r="E12">
        <v>158.82</v>
      </c>
      <c r="F12">
        <v>75</v>
      </c>
      <c r="G12">
        <f t="shared" si="0"/>
        <v>233.82</v>
      </c>
      <c r="H12">
        <f t="shared" si="1"/>
        <v>83.82</v>
      </c>
      <c r="I12" t="s">
        <v>49</v>
      </c>
      <c r="J12" t="s">
        <v>21</v>
      </c>
      <c r="K12" t="str">
        <f t="shared" si="2"/>
        <v>Brand|Todd</v>
      </c>
      <c r="L12">
        <v>0</v>
      </c>
      <c r="M12">
        <v>0</v>
      </c>
      <c r="N12">
        <v>0</v>
      </c>
    </row>
    <row r="13" spans="1:14" x14ac:dyDescent="0.2">
      <c r="A13">
        <v>2025</v>
      </c>
      <c r="B13">
        <v>13</v>
      </c>
      <c r="C13" t="s">
        <v>521</v>
      </c>
      <c r="D13" t="s">
        <v>26</v>
      </c>
      <c r="E13">
        <v>104.34</v>
      </c>
      <c r="F13">
        <v>99.96</v>
      </c>
      <c r="G13">
        <f>E13+F13</f>
        <v>204.3</v>
      </c>
      <c r="H13">
        <f>E13-F13</f>
        <v>4.3800000000000097</v>
      </c>
      <c r="I13" t="s">
        <v>29</v>
      </c>
      <c r="J13" t="s">
        <v>28</v>
      </c>
      <c r="K13" t="str">
        <f>_xlfn.CONCAT(_xlfn.CONCAT(I13,"|"), J13)</f>
        <v>Eli|Tommy</v>
      </c>
      <c r="L13">
        <v>0</v>
      </c>
      <c r="M13">
        <v>0</v>
      </c>
      <c r="N13">
        <v>0</v>
      </c>
    </row>
    <row r="14" spans="1:14" hidden="1" x14ac:dyDescent="0.2">
      <c r="A14">
        <v>2023</v>
      </c>
      <c r="B14">
        <v>7</v>
      </c>
      <c r="C14" t="s">
        <v>31</v>
      </c>
      <c r="D14" t="s">
        <v>50</v>
      </c>
      <c r="E14">
        <v>147.69999999999999</v>
      </c>
      <c r="F14">
        <v>66.16</v>
      </c>
      <c r="G14">
        <f>E14+F14</f>
        <v>213.85999999999999</v>
      </c>
      <c r="H14">
        <f>E14-F14</f>
        <v>81.539999999999992</v>
      </c>
      <c r="I14" t="s">
        <v>33</v>
      </c>
      <c r="J14" t="s">
        <v>29</v>
      </c>
      <c r="K14" t="str">
        <f>_xlfn.CONCAT(_xlfn.CONCAT(I14,"|"), J14)</f>
        <v>Jay|Eli</v>
      </c>
      <c r="L14">
        <v>0</v>
      </c>
      <c r="M14">
        <v>0</v>
      </c>
      <c r="N14">
        <v>0</v>
      </c>
    </row>
    <row r="15" spans="1:14" hidden="1" x14ac:dyDescent="0.2">
      <c r="A15">
        <v>2025</v>
      </c>
      <c r="B15">
        <v>2</v>
      </c>
      <c r="C15" t="s">
        <v>521</v>
      </c>
      <c r="D15" t="s">
        <v>26</v>
      </c>
      <c r="E15">
        <v>141.78</v>
      </c>
      <c r="F15">
        <v>60.74</v>
      </c>
      <c r="G15">
        <f>E15+F15</f>
        <v>202.52</v>
      </c>
      <c r="H15">
        <f>E15-F15</f>
        <v>81.039999999999992</v>
      </c>
      <c r="I15" t="s">
        <v>29</v>
      </c>
      <c r="J15" t="s">
        <v>28</v>
      </c>
      <c r="K15" t="str">
        <f>_xlfn.CONCAT(_xlfn.CONCAT(I15,"|"), J15)</f>
        <v>Eli|Tommy</v>
      </c>
      <c r="L15">
        <v>0</v>
      </c>
      <c r="M15">
        <v>0</v>
      </c>
      <c r="N15">
        <v>0</v>
      </c>
    </row>
    <row r="16" spans="1:14" hidden="1" x14ac:dyDescent="0.2">
      <c r="A16">
        <v>2022</v>
      </c>
      <c r="B16">
        <v>14</v>
      </c>
      <c r="C16" t="s">
        <v>39</v>
      </c>
      <c r="D16" t="s">
        <v>40</v>
      </c>
      <c r="E16">
        <v>153.4</v>
      </c>
      <c r="F16">
        <v>77.599999999999994</v>
      </c>
      <c r="G16">
        <f>E16+F16</f>
        <v>231</v>
      </c>
      <c r="H16">
        <f>E16-F16</f>
        <v>75.800000000000011</v>
      </c>
      <c r="I16" t="s">
        <v>32</v>
      </c>
      <c r="J16" t="s">
        <v>29</v>
      </c>
      <c r="K16" t="str">
        <f>_xlfn.CONCAT(_xlfn.CONCAT(I16,"|"), J16)</f>
        <v>Cam|Eli</v>
      </c>
      <c r="L16">
        <v>0</v>
      </c>
      <c r="M16">
        <v>0</v>
      </c>
      <c r="N16">
        <v>0</v>
      </c>
    </row>
    <row r="17" spans="1:14" hidden="1" x14ac:dyDescent="0.2">
      <c r="A17">
        <v>2024</v>
      </c>
      <c r="B17">
        <v>12</v>
      </c>
      <c r="C17" t="s">
        <v>46</v>
      </c>
      <c r="D17" t="s">
        <v>74</v>
      </c>
      <c r="E17">
        <v>138.32</v>
      </c>
      <c r="F17">
        <v>66.66</v>
      </c>
      <c r="G17">
        <f>E17+F17</f>
        <v>204.98</v>
      </c>
      <c r="H17">
        <f>E17-F17</f>
        <v>71.66</v>
      </c>
      <c r="I17" t="s">
        <v>47</v>
      </c>
      <c r="J17" t="s">
        <v>29</v>
      </c>
      <c r="K17" t="str">
        <f>_xlfn.CONCAT(_xlfn.CONCAT(I17,"|"), J17)</f>
        <v>Burnett/Jasjaap|Eli</v>
      </c>
      <c r="L17">
        <v>0</v>
      </c>
      <c r="M17">
        <v>0</v>
      </c>
      <c r="N17">
        <v>0</v>
      </c>
    </row>
    <row r="18" spans="1:14" hidden="1" x14ac:dyDescent="0.2">
      <c r="A18">
        <v>2022</v>
      </c>
      <c r="B18">
        <v>9</v>
      </c>
      <c r="C18" t="s">
        <v>38</v>
      </c>
      <c r="D18" t="s">
        <v>26</v>
      </c>
      <c r="E18">
        <v>175.12</v>
      </c>
      <c r="F18">
        <v>104.4</v>
      </c>
      <c r="G18">
        <f>E18+F18</f>
        <v>279.52</v>
      </c>
      <c r="H18">
        <f>E18-F18</f>
        <v>70.72</v>
      </c>
      <c r="I18" t="s">
        <v>36</v>
      </c>
      <c r="J18" t="s">
        <v>28</v>
      </c>
      <c r="K18" t="str">
        <f>_xlfn.CONCAT(_xlfn.CONCAT(I18,"|"), J18)</f>
        <v>Will|Tommy</v>
      </c>
      <c r="L18">
        <v>0</v>
      </c>
      <c r="M18">
        <v>0</v>
      </c>
      <c r="N18">
        <v>0</v>
      </c>
    </row>
    <row r="19" spans="1:14" hidden="1" x14ac:dyDescent="0.2">
      <c r="A19">
        <v>2022</v>
      </c>
      <c r="B19">
        <v>13</v>
      </c>
      <c r="C19" t="s">
        <v>42</v>
      </c>
      <c r="D19" t="s">
        <v>40</v>
      </c>
      <c r="E19">
        <v>148.74</v>
      </c>
      <c r="F19">
        <v>78.64</v>
      </c>
      <c r="G19">
        <f>E19+F19</f>
        <v>227.38</v>
      </c>
      <c r="H19">
        <f>E19-F19</f>
        <v>70.100000000000009</v>
      </c>
      <c r="I19" t="s">
        <v>17</v>
      </c>
      <c r="J19" t="s">
        <v>29</v>
      </c>
      <c r="K19" t="str">
        <f>_xlfn.CONCAT(_xlfn.CONCAT(I19,"|"), J19)</f>
        <v>Mike|Eli</v>
      </c>
      <c r="L19">
        <v>0</v>
      </c>
      <c r="M19">
        <v>0</v>
      </c>
      <c r="N19">
        <v>0</v>
      </c>
    </row>
    <row r="20" spans="1:14" hidden="1" x14ac:dyDescent="0.2">
      <c r="A20">
        <v>2025</v>
      </c>
      <c r="B20">
        <v>12</v>
      </c>
      <c r="C20" t="s">
        <v>525</v>
      </c>
      <c r="D20" t="s">
        <v>526</v>
      </c>
      <c r="E20">
        <v>143.41999999999999</v>
      </c>
      <c r="F20">
        <v>73.319999999999993</v>
      </c>
      <c r="G20">
        <f>E20+F20</f>
        <v>216.73999999999998</v>
      </c>
      <c r="H20">
        <f>E20-F20</f>
        <v>70.099999999999994</v>
      </c>
      <c r="I20" t="s">
        <v>36</v>
      </c>
      <c r="J20" t="s">
        <v>32</v>
      </c>
      <c r="K20" t="str">
        <f>_xlfn.CONCAT(_xlfn.CONCAT(I20,"|"), J20)</f>
        <v>Will|Cam</v>
      </c>
      <c r="L20">
        <v>0</v>
      </c>
      <c r="M20">
        <v>0</v>
      </c>
      <c r="N20">
        <v>0</v>
      </c>
    </row>
    <row r="21" spans="1:14" hidden="1" x14ac:dyDescent="0.2">
      <c r="A21">
        <v>2016</v>
      </c>
      <c r="B21">
        <v>16</v>
      </c>
      <c r="C21" t="s">
        <v>60</v>
      </c>
      <c r="D21" t="s">
        <v>23</v>
      </c>
      <c r="E21">
        <v>140.58000000000001</v>
      </c>
      <c r="F21">
        <v>131.18</v>
      </c>
      <c r="G21">
        <f>E21+F21</f>
        <v>271.76</v>
      </c>
      <c r="H21">
        <f>E21-F21</f>
        <v>9.4000000000000057</v>
      </c>
      <c r="I21" t="s">
        <v>45</v>
      </c>
      <c r="J21" t="s">
        <v>25</v>
      </c>
      <c r="K21" t="str">
        <f>_xlfn.CONCAT(_xlfn.CONCAT(I21,"|"), J21)</f>
        <v>Kevin|Burnett</v>
      </c>
      <c r="L21">
        <v>1</v>
      </c>
      <c r="M21">
        <v>0</v>
      </c>
      <c r="N21">
        <v>1</v>
      </c>
    </row>
    <row r="22" spans="1:14" hidden="1" x14ac:dyDescent="0.2">
      <c r="A22">
        <v>2025</v>
      </c>
      <c r="B22">
        <v>14</v>
      </c>
      <c r="C22" t="s">
        <v>524</v>
      </c>
      <c r="D22" t="s">
        <v>77</v>
      </c>
      <c r="E22">
        <v>153.34</v>
      </c>
      <c r="F22">
        <v>83.48</v>
      </c>
      <c r="G22">
        <f>E22+F22</f>
        <v>236.82</v>
      </c>
      <c r="H22">
        <f>E22-F22</f>
        <v>69.86</v>
      </c>
      <c r="I22" t="s">
        <v>21</v>
      </c>
      <c r="J22" t="s">
        <v>45</v>
      </c>
      <c r="K22" t="str">
        <f>_xlfn.CONCAT(_xlfn.CONCAT(I22,"|"), J22)</f>
        <v>Todd|Kevin</v>
      </c>
      <c r="L22">
        <v>0</v>
      </c>
      <c r="M22">
        <v>0</v>
      </c>
      <c r="N22">
        <v>0</v>
      </c>
    </row>
    <row r="23" spans="1:14" hidden="1" x14ac:dyDescent="0.2">
      <c r="A23">
        <v>2019</v>
      </c>
      <c r="B23">
        <v>16</v>
      </c>
      <c r="C23" t="s">
        <v>31</v>
      </c>
      <c r="D23" t="s">
        <v>19</v>
      </c>
      <c r="E23">
        <v>139.91999999999999</v>
      </c>
      <c r="F23">
        <v>130.97999999999999</v>
      </c>
      <c r="G23">
        <f>E23+F23</f>
        <v>270.89999999999998</v>
      </c>
      <c r="H23">
        <f>E23-F23</f>
        <v>8.9399999999999977</v>
      </c>
      <c r="I23" t="s">
        <v>33</v>
      </c>
      <c r="J23" t="s">
        <v>21</v>
      </c>
      <c r="K23" t="str">
        <f>_xlfn.CONCAT(_xlfn.CONCAT(I23,"|"), J23)</f>
        <v>Jay|Todd</v>
      </c>
      <c r="L23">
        <v>1</v>
      </c>
      <c r="M23">
        <v>0</v>
      </c>
      <c r="N23">
        <v>1</v>
      </c>
    </row>
    <row r="24" spans="1:14" hidden="1" x14ac:dyDescent="0.2">
      <c r="A24">
        <v>2023</v>
      </c>
      <c r="B24">
        <v>8</v>
      </c>
      <c r="C24" t="s">
        <v>26</v>
      </c>
      <c r="D24" t="s">
        <v>50</v>
      </c>
      <c r="E24">
        <v>150.56</v>
      </c>
      <c r="F24">
        <v>81.2</v>
      </c>
      <c r="G24">
        <f>E24+F24</f>
        <v>231.76</v>
      </c>
      <c r="H24">
        <f>E24-F24</f>
        <v>69.36</v>
      </c>
      <c r="I24" t="s">
        <v>28</v>
      </c>
      <c r="J24" t="s">
        <v>29</v>
      </c>
      <c r="K24" t="str">
        <f>_xlfn.CONCAT(_xlfn.CONCAT(I24,"|"), J24)</f>
        <v>Tommy|Eli</v>
      </c>
      <c r="L24">
        <v>0</v>
      </c>
      <c r="M24">
        <v>0</v>
      </c>
      <c r="N24">
        <v>0</v>
      </c>
    </row>
    <row r="25" spans="1:14" hidden="1" x14ac:dyDescent="0.2">
      <c r="A25">
        <v>2022</v>
      </c>
      <c r="B25">
        <v>8</v>
      </c>
      <c r="C25" t="s">
        <v>23</v>
      </c>
      <c r="D25" t="s">
        <v>18</v>
      </c>
      <c r="E25">
        <v>164.38</v>
      </c>
      <c r="F25">
        <v>95.34</v>
      </c>
      <c r="G25">
        <f>E25+F25</f>
        <v>259.72000000000003</v>
      </c>
      <c r="H25">
        <f>E25-F25</f>
        <v>69.039999999999992</v>
      </c>
      <c r="I25" t="s">
        <v>25</v>
      </c>
      <c r="J25" t="s">
        <v>20</v>
      </c>
      <c r="K25" t="str">
        <f>_xlfn.CONCAT(_xlfn.CONCAT(I25,"|"), J25)</f>
        <v>Burnett|Schulwolf</v>
      </c>
      <c r="L25">
        <v>0</v>
      </c>
      <c r="M25">
        <v>0</v>
      </c>
      <c r="N25">
        <v>0</v>
      </c>
    </row>
    <row r="26" spans="1:14" hidden="1" x14ac:dyDescent="0.2">
      <c r="A26">
        <v>2022</v>
      </c>
      <c r="B26">
        <v>5</v>
      </c>
      <c r="C26" t="s">
        <v>39</v>
      </c>
      <c r="D26" t="s">
        <v>44</v>
      </c>
      <c r="E26">
        <v>149.97999999999999</v>
      </c>
      <c r="F26">
        <v>81.28</v>
      </c>
      <c r="G26">
        <f>E26+F26</f>
        <v>231.26</v>
      </c>
      <c r="H26">
        <f>E26-F26</f>
        <v>68.699999999999989</v>
      </c>
      <c r="I26" t="s">
        <v>32</v>
      </c>
      <c r="J26" t="s">
        <v>45</v>
      </c>
      <c r="K26" t="str">
        <f>_xlfn.CONCAT(_xlfn.CONCAT(I26,"|"), J26)</f>
        <v>Cam|Kevin</v>
      </c>
      <c r="L26">
        <v>0</v>
      </c>
      <c r="M26">
        <v>0</v>
      </c>
      <c r="N26">
        <v>0</v>
      </c>
    </row>
    <row r="27" spans="1:14" hidden="1" x14ac:dyDescent="0.2">
      <c r="A27">
        <v>2021</v>
      </c>
      <c r="B27">
        <v>2</v>
      </c>
      <c r="C27" t="s">
        <v>30</v>
      </c>
      <c r="D27" t="s">
        <v>34</v>
      </c>
      <c r="E27">
        <v>163.6</v>
      </c>
      <c r="F27">
        <v>95.62</v>
      </c>
      <c r="G27">
        <f>E27+F27</f>
        <v>259.22000000000003</v>
      </c>
      <c r="H27">
        <f>E27-F27</f>
        <v>67.97999999999999</v>
      </c>
      <c r="I27" t="s">
        <v>32</v>
      </c>
      <c r="J27" t="s">
        <v>36</v>
      </c>
      <c r="K27" t="str">
        <f>_xlfn.CONCAT(_xlfn.CONCAT(I27,"|"), J27)</f>
        <v>Cam|Will</v>
      </c>
      <c r="L27">
        <v>0</v>
      </c>
      <c r="M27">
        <v>0</v>
      </c>
      <c r="N27">
        <v>0</v>
      </c>
    </row>
    <row r="28" spans="1:14" hidden="1" x14ac:dyDescent="0.2">
      <c r="A28">
        <v>2023</v>
      </c>
      <c r="B28">
        <v>11</v>
      </c>
      <c r="C28" t="s">
        <v>18</v>
      </c>
      <c r="D28" t="s">
        <v>26</v>
      </c>
      <c r="E28">
        <v>141.06</v>
      </c>
      <c r="F28">
        <v>73.84</v>
      </c>
      <c r="G28">
        <f>E28+F28</f>
        <v>214.9</v>
      </c>
      <c r="H28">
        <f>E28-F28</f>
        <v>67.22</v>
      </c>
      <c r="I28" t="s">
        <v>20</v>
      </c>
      <c r="J28" t="s">
        <v>28</v>
      </c>
      <c r="K28" t="str">
        <f>_xlfn.CONCAT(_xlfn.CONCAT(I28,"|"), J28)</f>
        <v>Schulwolf|Tommy</v>
      </c>
      <c r="L28">
        <v>0</v>
      </c>
      <c r="M28">
        <v>0</v>
      </c>
      <c r="N28">
        <v>0</v>
      </c>
    </row>
    <row r="29" spans="1:14" hidden="1" x14ac:dyDescent="0.2">
      <c r="A29">
        <v>2021</v>
      </c>
      <c r="B29">
        <v>7</v>
      </c>
      <c r="C29" t="s">
        <v>19</v>
      </c>
      <c r="D29" t="s">
        <v>26</v>
      </c>
      <c r="E29">
        <v>129.54</v>
      </c>
      <c r="F29">
        <v>62.48</v>
      </c>
      <c r="G29">
        <f>E29+F29</f>
        <v>192.01999999999998</v>
      </c>
      <c r="H29">
        <f>E29-F29</f>
        <v>67.06</v>
      </c>
      <c r="I29" t="s">
        <v>21</v>
      </c>
      <c r="J29" t="s">
        <v>28</v>
      </c>
      <c r="K29" t="str">
        <f>_xlfn.CONCAT(_xlfn.CONCAT(I29,"|"), J29)</f>
        <v>Todd|Tommy</v>
      </c>
      <c r="L29">
        <v>0</v>
      </c>
      <c r="M29">
        <v>0</v>
      </c>
      <c r="N29">
        <v>0</v>
      </c>
    </row>
    <row r="30" spans="1:14" hidden="1" x14ac:dyDescent="0.2">
      <c r="A30">
        <v>2022</v>
      </c>
      <c r="B30">
        <v>4</v>
      </c>
      <c r="C30" t="s">
        <v>26</v>
      </c>
      <c r="D30" t="s">
        <v>43</v>
      </c>
      <c r="E30">
        <v>169.02</v>
      </c>
      <c r="F30">
        <v>102.14</v>
      </c>
      <c r="G30">
        <f>E30+F30</f>
        <v>271.16000000000003</v>
      </c>
      <c r="H30">
        <f>E30-F30</f>
        <v>66.88000000000001</v>
      </c>
      <c r="I30" t="s">
        <v>28</v>
      </c>
      <c r="J30" t="s">
        <v>21</v>
      </c>
      <c r="K30" t="str">
        <f>_xlfn.CONCAT(_xlfn.CONCAT(I30,"|"), J30)</f>
        <v>Tommy|Todd</v>
      </c>
      <c r="L30">
        <v>0</v>
      </c>
      <c r="M30">
        <v>0</v>
      </c>
      <c r="N30">
        <v>0</v>
      </c>
    </row>
    <row r="31" spans="1:14" hidden="1" x14ac:dyDescent="0.2">
      <c r="A31">
        <v>2024</v>
      </c>
      <c r="B31">
        <v>15</v>
      </c>
      <c r="C31" t="s">
        <v>42</v>
      </c>
      <c r="D31" t="s">
        <v>74</v>
      </c>
      <c r="E31">
        <v>172.46</v>
      </c>
      <c r="F31">
        <v>105.7</v>
      </c>
      <c r="G31">
        <f>E31+F31</f>
        <v>278.16000000000003</v>
      </c>
      <c r="H31">
        <f>E31-F31</f>
        <v>66.760000000000005</v>
      </c>
      <c r="I31" t="s">
        <v>17</v>
      </c>
      <c r="J31" t="s">
        <v>29</v>
      </c>
      <c r="K31" t="str">
        <f>_xlfn.CONCAT(_xlfn.CONCAT(I31,"|"), J31)</f>
        <v>Mike|Eli</v>
      </c>
      <c r="L31">
        <v>0</v>
      </c>
      <c r="M31">
        <v>0</v>
      </c>
      <c r="N31">
        <v>0</v>
      </c>
    </row>
    <row r="32" spans="1:14" hidden="1" x14ac:dyDescent="0.2">
      <c r="A32">
        <v>2021</v>
      </c>
      <c r="B32">
        <v>9</v>
      </c>
      <c r="C32" t="s">
        <v>34</v>
      </c>
      <c r="D32" t="s">
        <v>22</v>
      </c>
      <c r="E32">
        <v>132.94</v>
      </c>
      <c r="F32">
        <v>66.56</v>
      </c>
      <c r="G32">
        <f>E32+F32</f>
        <v>199.5</v>
      </c>
      <c r="H32">
        <f>E32-F32</f>
        <v>66.38</v>
      </c>
      <c r="I32" t="s">
        <v>36</v>
      </c>
      <c r="J32" t="s">
        <v>24</v>
      </c>
      <c r="K32" t="str">
        <f>_xlfn.CONCAT(_xlfn.CONCAT(I32,"|"), J32)</f>
        <v>Will|Jasjaap</v>
      </c>
      <c r="L32">
        <v>0</v>
      </c>
      <c r="M32">
        <v>0</v>
      </c>
      <c r="N32">
        <v>0</v>
      </c>
    </row>
    <row r="33" spans="1:14" hidden="1" x14ac:dyDescent="0.2">
      <c r="A33">
        <v>2024</v>
      </c>
      <c r="B33">
        <v>17</v>
      </c>
      <c r="C33" t="s">
        <v>31</v>
      </c>
      <c r="D33" t="s">
        <v>42</v>
      </c>
      <c r="E33">
        <v>146.12</v>
      </c>
      <c r="F33">
        <v>124.96</v>
      </c>
      <c r="G33">
        <f>E33+F33</f>
        <v>271.08</v>
      </c>
      <c r="H33">
        <f>E33-F33</f>
        <v>21.160000000000011</v>
      </c>
      <c r="I33" t="s">
        <v>33</v>
      </c>
      <c r="J33" t="s">
        <v>17</v>
      </c>
      <c r="K33" t="str">
        <f>_xlfn.CONCAT(_xlfn.CONCAT(I33,"|"), J33)</f>
        <v>Jay|Mike</v>
      </c>
      <c r="L33">
        <v>1</v>
      </c>
      <c r="M33">
        <v>0</v>
      </c>
      <c r="N33">
        <v>0</v>
      </c>
    </row>
    <row r="34" spans="1:14" hidden="1" x14ac:dyDescent="0.2">
      <c r="A34">
        <v>2023</v>
      </c>
      <c r="B34">
        <v>9</v>
      </c>
      <c r="C34" t="s">
        <v>31</v>
      </c>
      <c r="D34" t="s">
        <v>52</v>
      </c>
      <c r="E34">
        <v>150.9</v>
      </c>
      <c r="F34">
        <v>84.92</v>
      </c>
      <c r="G34">
        <f>E34+F34</f>
        <v>235.82</v>
      </c>
      <c r="H34">
        <f>E34-F34</f>
        <v>65.98</v>
      </c>
      <c r="I34" t="s">
        <v>33</v>
      </c>
      <c r="J34" t="s">
        <v>32</v>
      </c>
      <c r="K34" t="str">
        <f>_xlfn.CONCAT(_xlfn.CONCAT(I34,"|"), J34)</f>
        <v>Jay|Cam</v>
      </c>
      <c r="L34">
        <v>0</v>
      </c>
      <c r="M34">
        <v>0</v>
      </c>
      <c r="N34">
        <v>0</v>
      </c>
    </row>
    <row r="35" spans="1:14" hidden="1" x14ac:dyDescent="0.2">
      <c r="A35">
        <v>2021</v>
      </c>
      <c r="B35">
        <v>12</v>
      </c>
      <c r="C35" t="s">
        <v>22</v>
      </c>
      <c r="D35" t="s">
        <v>23</v>
      </c>
      <c r="E35">
        <v>150.28</v>
      </c>
      <c r="F35">
        <v>84.78</v>
      </c>
      <c r="G35">
        <f>E35+F35</f>
        <v>235.06</v>
      </c>
      <c r="H35">
        <f>E35-F35</f>
        <v>65.5</v>
      </c>
      <c r="I35" t="s">
        <v>24</v>
      </c>
      <c r="J35" t="s">
        <v>25</v>
      </c>
      <c r="K35" t="str">
        <f>_xlfn.CONCAT(_xlfn.CONCAT(I35,"|"), J35)</f>
        <v>Jasjaap|Burnett</v>
      </c>
      <c r="L35">
        <v>0</v>
      </c>
      <c r="M35">
        <v>0</v>
      </c>
      <c r="N35">
        <v>0</v>
      </c>
    </row>
    <row r="36" spans="1:14" hidden="1" x14ac:dyDescent="0.2">
      <c r="A36">
        <v>2022</v>
      </c>
      <c r="B36">
        <v>4</v>
      </c>
      <c r="C36" t="s">
        <v>22</v>
      </c>
      <c r="D36" t="s">
        <v>23</v>
      </c>
      <c r="E36">
        <v>130.1</v>
      </c>
      <c r="F36">
        <v>64.599999999999994</v>
      </c>
      <c r="G36">
        <f>E36+F36</f>
        <v>194.7</v>
      </c>
      <c r="H36">
        <f>E36-F36</f>
        <v>65.5</v>
      </c>
      <c r="I36" t="s">
        <v>24</v>
      </c>
      <c r="J36" t="s">
        <v>25</v>
      </c>
      <c r="K36" t="str">
        <f>_xlfn.CONCAT(_xlfn.CONCAT(I36,"|"), J36)</f>
        <v>Jasjaap|Burnett</v>
      </c>
      <c r="L36">
        <v>0</v>
      </c>
      <c r="M36">
        <v>0</v>
      </c>
      <c r="N36">
        <v>0</v>
      </c>
    </row>
    <row r="37" spans="1:14" hidden="1" x14ac:dyDescent="0.2">
      <c r="A37">
        <v>2022</v>
      </c>
      <c r="B37">
        <v>12</v>
      </c>
      <c r="C37" t="s">
        <v>18</v>
      </c>
      <c r="D37" t="s">
        <v>22</v>
      </c>
      <c r="E37">
        <v>177.74</v>
      </c>
      <c r="F37">
        <v>112.76</v>
      </c>
      <c r="G37">
        <f>E37+F37</f>
        <v>290.5</v>
      </c>
      <c r="H37">
        <f>E37-F37</f>
        <v>64.98</v>
      </c>
      <c r="I37" t="s">
        <v>20</v>
      </c>
      <c r="J37" t="s">
        <v>24</v>
      </c>
      <c r="K37" t="str">
        <f>_xlfn.CONCAT(_xlfn.CONCAT(I37,"|"), J37)</f>
        <v>Schulwolf|Jasjaap</v>
      </c>
      <c r="L37">
        <v>0</v>
      </c>
      <c r="M37">
        <v>0</v>
      </c>
      <c r="N37">
        <v>0</v>
      </c>
    </row>
    <row r="38" spans="1:14" hidden="1" x14ac:dyDescent="0.2">
      <c r="A38">
        <v>2023</v>
      </c>
      <c r="B38">
        <v>2</v>
      </c>
      <c r="C38" t="s">
        <v>46</v>
      </c>
      <c r="D38" t="s">
        <v>52</v>
      </c>
      <c r="E38">
        <v>151.26</v>
      </c>
      <c r="F38">
        <v>86.58</v>
      </c>
      <c r="G38">
        <f>E38+F38</f>
        <v>237.83999999999997</v>
      </c>
      <c r="H38">
        <f>E38-F38</f>
        <v>64.679999999999993</v>
      </c>
      <c r="I38" t="s">
        <v>47</v>
      </c>
      <c r="J38" t="s">
        <v>32</v>
      </c>
      <c r="K38" t="str">
        <f>_xlfn.CONCAT(_xlfn.CONCAT(I38,"|"), J38)</f>
        <v>Burnett/Jasjaap|Cam</v>
      </c>
      <c r="L38">
        <v>0</v>
      </c>
      <c r="M38">
        <v>0</v>
      </c>
      <c r="N38">
        <v>0</v>
      </c>
    </row>
    <row r="39" spans="1:14" hidden="1" x14ac:dyDescent="0.2">
      <c r="A39">
        <v>2025</v>
      </c>
      <c r="B39">
        <v>8</v>
      </c>
      <c r="C39" t="s">
        <v>18</v>
      </c>
      <c r="D39" t="s">
        <v>525</v>
      </c>
      <c r="E39">
        <v>173.92</v>
      </c>
      <c r="F39">
        <v>109.48</v>
      </c>
      <c r="G39">
        <f>E39+F39</f>
        <v>283.39999999999998</v>
      </c>
      <c r="H39">
        <f>E39-F39</f>
        <v>64.439999999999984</v>
      </c>
      <c r="I39" t="s">
        <v>20</v>
      </c>
      <c r="J39" t="s">
        <v>36</v>
      </c>
      <c r="K39" t="str">
        <f>_xlfn.CONCAT(_xlfn.CONCAT(I39,"|"), J39)</f>
        <v>Schulwolf|Will</v>
      </c>
      <c r="L39">
        <v>0</v>
      </c>
      <c r="M39">
        <v>0</v>
      </c>
      <c r="N39">
        <v>0</v>
      </c>
    </row>
    <row r="40" spans="1:14" hidden="1" x14ac:dyDescent="0.2">
      <c r="A40">
        <v>2022</v>
      </c>
      <c r="B40">
        <v>2</v>
      </c>
      <c r="C40" t="s">
        <v>18</v>
      </c>
      <c r="D40" t="s">
        <v>43</v>
      </c>
      <c r="E40">
        <v>135.88</v>
      </c>
      <c r="F40">
        <v>71.739999999999995</v>
      </c>
      <c r="G40">
        <f>E40+F40</f>
        <v>207.62</v>
      </c>
      <c r="H40">
        <f>E40-F40</f>
        <v>64.14</v>
      </c>
      <c r="I40" t="s">
        <v>20</v>
      </c>
      <c r="J40" t="s">
        <v>21</v>
      </c>
      <c r="K40" t="str">
        <f>_xlfn.CONCAT(_xlfn.CONCAT(I40,"|"), J40)</f>
        <v>Schulwolf|Todd</v>
      </c>
      <c r="L40">
        <v>0</v>
      </c>
      <c r="M40">
        <v>0</v>
      </c>
      <c r="N40">
        <v>0</v>
      </c>
    </row>
    <row r="41" spans="1:14" hidden="1" x14ac:dyDescent="0.2">
      <c r="A41">
        <v>2023</v>
      </c>
      <c r="B41">
        <v>13</v>
      </c>
      <c r="C41" t="s">
        <v>48</v>
      </c>
      <c r="D41" t="s">
        <v>42</v>
      </c>
      <c r="E41">
        <v>166.06</v>
      </c>
      <c r="F41">
        <v>102.38</v>
      </c>
      <c r="G41">
        <f>E41+F41</f>
        <v>268.44</v>
      </c>
      <c r="H41">
        <f>E41-F41</f>
        <v>63.680000000000007</v>
      </c>
      <c r="I41" t="s">
        <v>36</v>
      </c>
      <c r="J41" t="s">
        <v>17</v>
      </c>
      <c r="K41" t="str">
        <f>_xlfn.CONCAT(_xlfn.CONCAT(I41,"|"), J41)</f>
        <v>Will|Mike</v>
      </c>
      <c r="L41">
        <v>0</v>
      </c>
      <c r="M41">
        <v>0</v>
      </c>
      <c r="N41">
        <v>0</v>
      </c>
    </row>
    <row r="42" spans="1:14" hidden="1" x14ac:dyDescent="0.2">
      <c r="A42">
        <v>2023</v>
      </c>
      <c r="B42">
        <v>10</v>
      </c>
      <c r="C42" t="s">
        <v>26</v>
      </c>
      <c r="D42" t="s">
        <v>52</v>
      </c>
      <c r="E42">
        <v>146.82</v>
      </c>
      <c r="F42">
        <v>83.28</v>
      </c>
      <c r="G42">
        <f>E42+F42</f>
        <v>230.1</v>
      </c>
      <c r="H42">
        <f>E42-F42</f>
        <v>63.539999999999992</v>
      </c>
      <c r="I42" t="s">
        <v>28</v>
      </c>
      <c r="J42" t="s">
        <v>32</v>
      </c>
      <c r="K42" t="str">
        <f>_xlfn.CONCAT(_xlfn.CONCAT(I42,"|"), J42)</f>
        <v>Tommy|Cam</v>
      </c>
      <c r="L42">
        <v>0</v>
      </c>
      <c r="M42">
        <v>0</v>
      </c>
      <c r="N42">
        <v>0</v>
      </c>
    </row>
    <row r="43" spans="1:14" hidden="1" x14ac:dyDescent="0.2">
      <c r="A43">
        <v>2022</v>
      </c>
      <c r="B43">
        <v>1</v>
      </c>
      <c r="C43" t="s">
        <v>42</v>
      </c>
      <c r="D43" t="s">
        <v>23</v>
      </c>
      <c r="E43">
        <v>143.22</v>
      </c>
      <c r="F43">
        <v>80.680000000000007</v>
      </c>
      <c r="G43">
        <f>E43+F43</f>
        <v>223.9</v>
      </c>
      <c r="H43">
        <f>E43-F43</f>
        <v>62.539999999999992</v>
      </c>
      <c r="I43" t="s">
        <v>17</v>
      </c>
      <c r="J43" t="s">
        <v>25</v>
      </c>
      <c r="K43" t="str">
        <f>_xlfn.CONCAT(_xlfn.CONCAT(I43,"|"), J43)</f>
        <v>Mike|Burnett</v>
      </c>
      <c r="L43">
        <v>0</v>
      </c>
      <c r="M43">
        <v>0</v>
      </c>
      <c r="N43">
        <v>0</v>
      </c>
    </row>
    <row r="44" spans="1:14" hidden="1" x14ac:dyDescent="0.2">
      <c r="A44">
        <v>2021</v>
      </c>
      <c r="B44">
        <v>12</v>
      </c>
      <c r="C44" t="s">
        <v>26</v>
      </c>
      <c r="D44" t="s">
        <v>27</v>
      </c>
      <c r="E44">
        <v>119.6</v>
      </c>
      <c r="F44">
        <v>57.06</v>
      </c>
      <c r="G44">
        <f>E44+F44</f>
        <v>176.66</v>
      </c>
      <c r="H44">
        <f>E44-F44</f>
        <v>62.539999999999992</v>
      </c>
      <c r="I44" t="s">
        <v>28</v>
      </c>
      <c r="J44" t="s">
        <v>29</v>
      </c>
      <c r="K44" t="str">
        <f>_xlfn.CONCAT(_xlfn.CONCAT(I44,"|"), J44)</f>
        <v>Tommy|Eli</v>
      </c>
      <c r="L44">
        <v>0</v>
      </c>
      <c r="M44">
        <v>0</v>
      </c>
      <c r="N44">
        <v>0</v>
      </c>
    </row>
    <row r="45" spans="1:14" hidden="1" x14ac:dyDescent="0.2">
      <c r="A45">
        <v>2022</v>
      </c>
      <c r="B45">
        <v>10</v>
      </c>
      <c r="C45" t="s">
        <v>23</v>
      </c>
      <c r="D45" t="s">
        <v>26</v>
      </c>
      <c r="E45">
        <v>163.19999999999999</v>
      </c>
      <c r="F45">
        <v>101.2</v>
      </c>
      <c r="G45">
        <f>E45+F45</f>
        <v>264.39999999999998</v>
      </c>
      <c r="H45">
        <f>E45-F45</f>
        <v>61.999999999999986</v>
      </c>
      <c r="I45" t="s">
        <v>25</v>
      </c>
      <c r="J45" t="s">
        <v>28</v>
      </c>
      <c r="K45" t="str">
        <f>_xlfn.CONCAT(_xlfn.CONCAT(I45,"|"), J45)</f>
        <v>Burnett|Tommy</v>
      </c>
      <c r="L45">
        <v>0</v>
      </c>
      <c r="M45">
        <v>0</v>
      </c>
      <c r="N45">
        <v>0</v>
      </c>
    </row>
    <row r="46" spans="1:14" hidden="1" x14ac:dyDescent="0.2">
      <c r="A46">
        <v>2022</v>
      </c>
      <c r="B46">
        <v>14</v>
      </c>
      <c r="C46" t="s">
        <v>38</v>
      </c>
      <c r="D46" t="s">
        <v>23</v>
      </c>
      <c r="E46">
        <v>129.86000000000001</v>
      </c>
      <c r="F46">
        <v>68.8</v>
      </c>
      <c r="G46">
        <f>E46+F46</f>
        <v>198.66000000000003</v>
      </c>
      <c r="H46">
        <f>E46-F46</f>
        <v>61.060000000000016</v>
      </c>
      <c r="I46" t="s">
        <v>36</v>
      </c>
      <c r="J46" t="s">
        <v>25</v>
      </c>
      <c r="K46" t="str">
        <f>_xlfn.CONCAT(_xlfn.CONCAT(I46,"|"), J46)</f>
        <v>Will|Burnett</v>
      </c>
      <c r="L46">
        <v>0</v>
      </c>
      <c r="M46">
        <v>0</v>
      </c>
      <c r="N46">
        <v>0</v>
      </c>
    </row>
    <row r="47" spans="1:14" hidden="1" x14ac:dyDescent="0.2">
      <c r="A47">
        <v>2022</v>
      </c>
      <c r="B47">
        <v>1</v>
      </c>
      <c r="C47" t="s">
        <v>38</v>
      </c>
      <c r="D47" t="s">
        <v>39</v>
      </c>
      <c r="E47">
        <v>137.52000000000001</v>
      </c>
      <c r="F47">
        <v>77.8</v>
      </c>
      <c r="G47">
        <f>E47+F47</f>
        <v>215.32</v>
      </c>
      <c r="H47">
        <f>E47-F47</f>
        <v>59.720000000000013</v>
      </c>
      <c r="I47" t="s">
        <v>36</v>
      </c>
      <c r="J47" t="s">
        <v>32</v>
      </c>
      <c r="K47" t="str">
        <f>_xlfn.CONCAT(_xlfn.CONCAT(I47,"|"), J47)</f>
        <v>Will|Cam</v>
      </c>
      <c r="L47">
        <v>0</v>
      </c>
      <c r="M47">
        <v>0</v>
      </c>
      <c r="N47">
        <v>0</v>
      </c>
    </row>
    <row r="48" spans="1:14" hidden="1" x14ac:dyDescent="0.2">
      <c r="A48">
        <v>2021</v>
      </c>
      <c r="B48">
        <v>9</v>
      </c>
      <c r="C48" t="s">
        <v>15</v>
      </c>
      <c r="D48" t="s">
        <v>23</v>
      </c>
      <c r="E48">
        <v>148.38</v>
      </c>
      <c r="F48">
        <v>89.42</v>
      </c>
      <c r="G48">
        <f>E48+F48</f>
        <v>237.8</v>
      </c>
      <c r="H48">
        <f>E48-F48</f>
        <v>58.959999999999994</v>
      </c>
      <c r="I48" t="s">
        <v>17</v>
      </c>
      <c r="J48" t="s">
        <v>25</v>
      </c>
      <c r="K48" t="str">
        <f>_xlfn.CONCAT(_xlfn.CONCAT(I48,"|"), J48)</f>
        <v>Mike|Burnett</v>
      </c>
      <c r="L48">
        <v>0</v>
      </c>
      <c r="M48">
        <v>0</v>
      </c>
      <c r="N48">
        <v>0</v>
      </c>
    </row>
    <row r="49" spans="1:14" hidden="1" x14ac:dyDescent="0.2">
      <c r="A49">
        <v>2024</v>
      </c>
      <c r="B49">
        <v>14</v>
      </c>
      <c r="C49" t="s">
        <v>18</v>
      </c>
      <c r="D49" t="s">
        <v>35</v>
      </c>
      <c r="E49">
        <v>107.34</v>
      </c>
      <c r="F49">
        <v>48.46</v>
      </c>
      <c r="G49">
        <f>E49+F49</f>
        <v>155.80000000000001</v>
      </c>
      <c r="H49">
        <f>E49-F49</f>
        <v>58.88</v>
      </c>
      <c r="I49" t="s">
        <v>20</v>
      </c>
      <c r="J49" t="s">
        <v>49</v>
      </c>
      <c r="K49" t="str">
        <f>_xlfn.CONCAT(_xlfn.CONCAT(I49,"|"), J49)</f>
        <v>Schulwolf|Brand</v>
      </c>
      <c r="L49">
        <v>0</v>
      </c>
      <c r="M49">
        <v>0</v>
      </c>
      <c r="N49">
        <v>0</v>
      </c>
    </row>
    <row r="50" spans="1:14" hidden="1" x14ac:dyDescent="0.2">
      <c r="A50">
        <v>2022</v>
      </c>
      <c r="B50">
        <v>15</v>
      </c>
      <c r="C50" t="s">
        <v>40</v>
      </c>
      <c r="D50" t="s">
        <v>38</v>
      </c>
      <c r="E50">
        <v>116.78</v>
      </c>
      <c r="F50">
        <v>59</v>
      </c>
      <c r="G50">
        <f>E50+F50</f>
        <v>175.78</v>
      </c>
      <c r="H50">
        <f>E50-F50</f>
        <v>57.78</v>
      </c>
      <c r="I50" t="s">
        <v>29</v>
      </c>
      <c r="J50" t="s">
        <v>36</v>
      </c>
      <c r="K50" t="str">
        <f>_xlfn.CONCAT(_xlfn.CONCAT(I50,"|"), J50)</f>
        <v>Eli|Will</v>
      </c>
      <c r="L50">
        <v>0</v>
      </c>
      <c r="M50">
        <v>0</v>
      </c>
      <c r="N50">
        <v>0</v>
      </c>
    </row>
    <row r="51" spans="1:14" hidden="1" x14ac:dyDescent="0.2">
      <c r="A51">
        <v>2023</v>
      </c>
      <c r="B51">
        <v>13</v>
      </c>
      <c r="C51" t="s">
        <v>14</v>
      </c>
      <c r="D51" t="s">
        <v>26</v>
      </c>
      <c r="E51">
        <v>162.6</v>
      </c>
      <c r="F51">
        <v>106.52</v>
      </c>
      <c r="G51">
        <f>E51+F51</f>
        <v>269.12</v>
      </c>
      <c r="H51">
        <f>E51-F51</f>
        <v>56.08</v>
      </c>
      <c r="I51" t="s">
        <v>16</v>
      </c>
      <c r="J51" t="s">
        <v>28</v>
      </c>
      <c r="K51" t="str">
        <f>_xlfn.CONCAT(_xlfn.CONCAT(I51,"|"), J51)</f>
        <v>Brenton|Tommy</v>
      </c>
      <c r="L51">
        <v>0</v>
      </c>
      <c r="M51">
        <v>0</v>
      </c>
      <c r="N51">
        <v>0</v>
      </c>
    </row>
    <row r="52" spans="1:14" hidden="1" x14ac:dyDescent="0.2">
      <c r="A52">
        <v>2021</v>
      </c>
      <c r="B52">
        <v>13</v>
      </c>
      <c r="C52" t="s">
        <v>30</v>
      </c>
      <c r="D52" t="s">
        <v>34</v>
      </c>
      <c r="E52">
        <v>159.82</v>
      </c>
      <c r="F52">
        <v>103.78</v>
      </c>
      <c r="G52">
        <f>E52+F52</f>
        <v>263.60000000000002</v>
      </c>
      <c r="H52">
        <f>E52-F52</f>
        <v>56.039999999999992</v>
      </c>
      <c r="I52" t="s">
        <v>32</v>
      </c>
      <c r="J52" t="s">
        <v>36</v>
      </c>
      <c r="K52" t="str">
        <f>_xlfn.CONCAT(_xlfn.CONCAT(I52,"|"), J52)</f>
        <v>Cam|Will</v>
      </c>
      <c r="L52">
        <v>0</v>
      </c>
      <c r="M52">
        <v>0</v>
      </c>
      <c r="N52">
        <v>0</v>
      </c>
    </row>
    <row r="53" spans="1:14" hidden="1" x14ac:dyDescent="0.2">
      <c r="A53">
        <v>2025</v>
      </c>
      <c r="B53">
        <v>11</v>
      </c>
      <c r="C53" t="s">
        <v>35</v>
      </c>
      <c r="D53" t="s">
        <v>77</v>
      </c>
      <c r="E53">
        <v>126.1</v>
      </c>
      <c r="F53">
        <v>70.2</v>
      </c>
      <c r="G53">
        <f>E53+F53</f>
        <v>196.3</v>
      </c>
      <c r="H53">
        <f>E53-F53</f>
        <v>55.899999999999991</v>
      </c>
      <c r="I53" t="s">
        <v>49</v>
      </c>
      <c r="J53" t="s">
        <v>45</v>
      </c>
      <c r="K53" t="str">
        <f>_xlfn.CONCAT(_xlfn.CONCAT(I53,"|"), J53)</f>
        <v>Brand|Kevin</v>
      </c>
      <c r="L53">
        <v>0</v>
      </c>
      <c r="M53">
        <v>0</v>
      </c>
      <c r="N53">
        <v>0</v>
      </c>
    </row>
    <row r="54" spans="1:14" hidden="1" x14ac:dyDescent="0.2">
      <c r="A54">
        <v>2020</v>
      </c>
      <c r="B54">
        <v>16</v>
      </c>
      <c r="C54" t="s">
        <v>26</v>
      </c>
      <c r="D54" t="s">
        <v>54</v>
      </c>
      <c r="E54">
        <v>133.06</v>
      </c>
      <c r="F54">
        <v>122.42</v>
      </c>
      <c r="G54">
        <f>E54+F54</f>
        <v>255.48000000000002</v>
      </c>
      <c r="H54">
        <f>E54-F54</f>
        <v>10.64</v>
      </c>
      <c r="I54" t="s">
        <v>28</v>
      </c>
      <c r="J54" t="s">
        <v>32</v>
      </c>
      <c r="K54" t="str">
        <f>_xlfn.CONCAT(_xlfn.CONCAT(I54,"|"), J54)</f>
        <v>Tommy|Cam</v>
      </c>
      <c r="L54">
        <v>1</v>
      </c>
      <c r="M54">
        <v>0</v>
      </c>
      <c r="N54">
        <v>0</v>
      </c>
    </row>
    <row r="55" spans="1:14" hidden="1" x14ac:dyDescent="0.2">
      <c r="A55">
        <v>2023</v>
      </c>
      <c r="B55">
        <v>9</v>
      </c>
      <c r="C55" t="s">
        <v>46</v>
      </c>
      <c r="D55" t="s">
        <v>50</v>
      </c>
      <c r="E55">
        <v>136.1</v>
      </c>
      <c r="F55">
        <v>81.5</v>
      </c>
      <c r="G55">
        <f>E55+F55</f>
        <v>217.6</v>
      </c>
      <c r="H55">
        <f>E55-F55</f>
        <v>54.599999999999994</v>
      </c>
      <c r="I55" t="s">
        <v>47</v>
      </c>
      <c r="J55" t="s">
        <v>29</v>
      </c>
      <c r="K55" t="str">
        <f>_xlfn.CONCAT(_xlfn.CONCAT(I55,"|"), J55)</f>
        <v>Burnett/Jasjaap|Eli</v>
      </c>
      <c r="L55">
        <v>0</v>
      </c>
      <c r="M55">
        <v>0</v>
      </c>
      <c r="N55">
        <v>0</v>
      </c>
    </row>
    <row r="56" spans="1:14" hidden="1" x14ac:dyDescent="0.2">
      <c r="A56">
        <v>2021</v>
      </c>
      <c r="B56">
        <v>14</v>
      </c>
      <c r="C56" t="s">
        <v>18</v>
      </c>
      <c r="D56" t="s">
        <v>14</v>
      </c>
      <c r="E56">
        <v>140.54</v>
      </c>
      <c r="F56">
        <v>86.3</v>
      </c>
      <c r="G56">
        <f>E56+F56</f>
        <v>226.83999999999997</v>
      </c>
      <c r="H56">
        <f>E56-F56</f>
        <v>54.239999999999995</v>
      </c>
      <c r="I56" t="s">
        <v>20</v>
      </c>
      <c r="J56" t="s">
        <v>16</v>
      </c>
      <c r="K56" t="str">
        <f>_xlfn.CONCAT(_xlfn.CONCAT(I56,"|"), J56)</f>
        <v>Schulwolf|Brenton</v>
      </c>
      <c r="L56">
        <v>0</v>
      </c>
      <c r="M56">
        <v>0</v>
      </c>
      <c r="N56">
        <v>0</v>
      </c>
    </row>
    <row r="57" spans="1:14" hidden="1" x14ac:dyDescent="0.2">
      <c r="A57">
        <v>2025</v>
      </c>
      <c r="B57">
        <v>14</v>
      </c>
      <c r="C57" t="s">
        <v>18</v>
      </c>
      <c r="D57" t="s">
        <v>521</v>
      </c>
      <c r="E57">
        <v>140.56</v>
      </c>
      <c r="F57">
        <v>86.4</v>
      </c>
      <c r="G57">
        <f>E57+F57</f>
        <v>226.96</v>
      </c>
      <c r="H57">
        <f>E57-F57</f>
        <v>54.16</v>
      </c>
      <c r="I57" t="s">
        <v>20</v>
      </c>
      <c r="J57" t="s">
        <v>29</v>
      </c>
      <c r="K57" t="str">
        <f>_xlfn.CONCAT(_xlfn.CONCAT(I57,"|"), J57)</f>
        <v>Schulwolf|Eli</v>
      </c>
      <c r="L57">
        <v>0</v>
      </c>
      <c r="M57">
        <v>0</v>
      </c>
      <c r="N57">
        <v>0</v>
      </c>
    </row>
    <row r="58" spans="1:14" hidden="1" x14ac:dyDescent="0.2">
      <c r="A58">
        <v>2023</v>
      </c>
      <c r="B58">
        <v>15</v>
      </c>
      <c r="C58" t="s">
        <v>46</v>
      </c>
      <c r="D58" t="s">
        <v>18</v>
      </c>
      <c r="E58">
        <v>126.06</v>
      </c>
      <c r="F58">
        <v>72.56</v>
      </c>
      <c r="G58">
        <f>E58+F58</f>
        <v>198.62</v>
      </c>
      <c r="H58">
        <f>E58-F58</f>
        <v>53.5</v>
      </c>
      <c r="I58" t="s">
        <v>47</v>
      </c>
      <c r="J58" t="s">
        <v>20</v>
      </c>
      <c r="K58" t="str">
        <f>_xlfn.CONCAT(_xlfn.CONCAT(I58,"|"), J58)</f>
        <v>Burnett/Jasjaap|Schulwolf</v>
      </c>
      <c r="L58">
        <v>0</v>
      </c>
      <c r="M58">
        <v>0</v>
      </c>
      <c r="N58">
        <v>0</v>
      </c>
    </row>
    <row r="59" spans="1:14" hidden="1" x14ac:dyDescent="0.2">
      <c r="A59">
        <v>2023</v>
      </c>
      <c r="B59">
        <v>4</v>
      </c>
      <c r="C59" t="s">
        <v>18</v>
      </c>
      <c r="D59" t="s">
        <v>46</v>
      </c>
      <c r="E59">
        <v>121.46</v>
      </c>
      <c r="F59">
        <v>68.36</v>
      </c>
      <c r="G59">
        <f>E59+F59</f>
        <v>189.82</v>
      </c>
      <c r="H59">
        <f>E59-F59</f>
        <v>53.099999999999994</v>
      </c>
      <c r="I59" t="s">
        <v>20</v>
      </c>
      <c r="J59" t="s">
        <v>47</v>
      </c>
      <c r="K59" t="str">
        <f>_xlfn.CONCAT(_xlfn.CONCAT(I59,"|"), J59)</f>
        <v>Schulwolf|Burnett/Jasjaap</v>
      </c>
      <c r="L59">
        <v>0</v>
      </c>
      <c r="M59">
        <v>0</v>
      </c>
      <c r="N59">
        <v>0</v>
      </c>
    </row>
    <row r="60" spans="1:14" hidden="1" x14ac:dyDescent="0.2">
      <c r="A60">
        <v>2022</v>
      </c>
      <c r="B60">
        <v>5</v>
      </c>
      <c r="C60" t="s">
        <v>18</v>
      </c>
      <c r="D60" t="s">
        <v>42</v>
      </c>
      <c r="E60">
        <v>126.8</v>
      </c>
      <c r="F60">
        <v>73.86</v>
      </c>
      <c r="G60">
        <f>E60+F60</f>
        <v>200.66</v>
      </c>
      <c r="H60">
        <f>E60-F60</f>
        <v>52.94</v>
      </c>
      <c r="I60" t="s">
        <v>20</v>
      </c>
      <c r="J60" t="s">
        <v>17</v>
      </c>
      <c r="K60" t="str">
        <f>_xlfn.CONCAT(_xlfn.CONCAT(I60,"|"), J60)</f>
        <v>Schulwolf|Mike</v>
      </c>
      <c r="L60">
        <v>0</v>
      </c>
      <c r="M60">
        <v>0</v>
      </c>
      <c r="N60">
        <v>0</v>
      </c>
    </row>
    <row r="61" spans="1:14" hidden="1" x14ac:dyDescent="0.2">
      <c r="A61">
        <v>2023</v>
      </c>
      <c r="B61">
        <v>3</v>
      </c>
      <c r="C61" t="s">
        <v>50</v>
      </c>
      <c r="D61" t="s">
        <v>14</v>
      </c>
      <c r="E61">
        <v>150.08000000000001</v>
      </c>
      <c r="F61">
        <v>97.56</v>
      </c>
      <c r="G61">
        <f>E61+F61</f>
        <v>247.64000000000001</v>
      </c>
      <c r="H61">
        <f>E61-F61</f>
        <v>52.52000000000001</v>
      </c>
      <c r="I61" t="s">
        <v>29</v>
      </c>
      <c r="J61" t="s">
        <v>16</v>
      </c>
      <c r="K61" t="str">
        <f>_xlfn.CONCAT(_xlfn.CONCAT(I61,"|"), J61)</f>
        <v>Eli|Brenton</v>
      </c>
      <c r="L61">
        <v>0</v>
      </c>
      <c r="M61">
        <v>0</v>
      </c>
      <c r="N61">
        <v>0</v>
      </c>
    </row>
    <row r="62" spans="1:14" hidden="1" x14ac:dyDescent="0.2">
      <c r="A62">
        <v>2025</v>
      </c>
      <c r="B62">
        <v>9</v>
      </c>
      <c r="C62" t="s">
        <v>46</v>
      </c>
      <c r="D62" t="s">
        <v>26</v>
      </c>
      <c r="E62">
        <v>157.38</v>
      </c>
      <c r="F62">
        <v>105.14</v>
      </c>
      <c r="G62">
        <f>E62+F62</f>
        <v>262.52</v>
      </c>
      <c r="H62">
        <f>E62-F62</f>
        <v>52.239999999999995</v>
      </c>
      <c r="I62" t="s">
        <v>47</v>
      </c>
      <c r="J62" t="s">
        <v>28</v>
      </c>
      <c r="K62" t="str">
        <f>_xlfn.CONCAT(_xlfn.CONCAT(I62,"|"), J62)</f>
        <v>Burnett/Jasjaap|Tommy</v>
      </c>
      <c r="L62">
        <v>0</v>
      </c>
      <c r="M62">
        <v>0</v>
      </c>
      <c r="N62">
        <v>0</v>
      </c>
    </row>
    <row r="63" spans="1:14" hidden="1" x14ac:dyDescent="0.2">
      <c r="A63">
        <v>2023</v>
      </c>
      <c r="B63">
        <v>11</v>
      </c>
      <c r="C63" t="s">
        <v>44</v>
      </c>
      <c r="D63" t="s">
        <v>31</v>
      </c>
      <c r="E63">
        <v>142.5</v>
      </c>
      <c r="F63">
        <v>90.34</v>
      </c>
      <c r="G63">
        <f>E63+F63</f>
        <v>232.84</v>
      </c>
      <c r="H63">
        <f>E63-F63</f>
        <v>52.16</v>
      </c>
      <c r="I63" t="s">
        <v>45</v>
      </c>
      <c r="J63" t="s">
        <v>33</v>
      </c>
      <c r="K63" t="str">
        <f>_xlfn.CONCAT(_xlfn.CONCAT(I63,"|"), J63)</f>
        <v>Kevin|Jay</v>
      </c>
      <c r="L63">
        <v>0</v>
      </c>
      <c r="M63">
        <v>0</v>
      </c>
      <c r="N63">
        <v>0</v>
      </c>
    </row>
    <row r="64" spans="1:14" hidden="1" x14ac:dyDescent="0.2">
      <c r="A64">
        <v>2021</v>
      </c>
      <c r="B64">
        <v>8</v>
      </c>
      <c r="C64" t="s">
        <v>19</v>
      </c>
      <c r="D64" t="s">
        <v>23</v>
      </c>
      <c r="E64">
        <v>135.16</v>
      </c>
      <c r="F64">
        <v>83.5</v>
      </c>
      <c r="G64">
        <f>E64+F64</f>
        <v>218.66</v>
      </c>
      <c r="H64">
        <f>E64-F64</f>
        <v>51.66</v>
      </c>
      <c r="I64" t="s">
        <v>21</v>
      </c>
      <c r="J64" t="s">
        <v>25</v>
      </c>
      <c r="K64" t="str">
        <f>_xlfn.CONCAT(_xlfn.CONCAT(I64,"|"), J64)</f>
        <v>Todd|Burnett</v>
      </c>
      <c r="L64">
        <v>0</v>
      </c>
      <c r="M64">
        <v>0</v>
      </c>
      <c r="N64">
        <v>0</v>
      </c>
    </row>
    <row r="65" spans="1:14" hidden="1" x14ac:dyDescent="0.2">
      <c r="A65">
        <v>2023</v>
      </c>
      <c r="B65">
        <v>5</v>
      </c>
      <c r="C65" t="s">
        <v>44</v>
      </c>
      <c r="D65" t="s">
        <v>18</v>
      </c>
      <c r="E65">
        <v>137.16</v>
      </c>
      <c r="F65">
        <v>85.6</v>
      </c>
      <c r="G65">
        <f>E65+F65</f>
        <v>222.76</v>
      </c>
      <c r="H65">
        <f>E65-F65</f>
        <v>51.56</v>
      </c>
      <c r="I65" t="s">
        <v>45</v>
      </c>
      <c r="J65" t="s">
        <v>20</v>
      </c>
      <c r="K65" t="str">
        <f>_xlfn.CONCAT(_xlfn.CONCAT(I65,"|"), J65)</f>
        <v>Kevin|Schulwolf</v>
      </c>
      <c r="L65">
        <v>0</v>
      </c>
      <c r="M65">
        <v>0</v>
      </c>
      <c r="N65">
        <v>0</v>
      </c>
    </row>
    <row r="66" spans="1:14" hidden="1" x14ac:dyDescent="0.2">
      <c r="A66">
        <v>2023</v>
      </c>
      <c r="B66">
        <v>9</v>
      </c>
      <c r="C66" t="s">
        <v>14</v>
      </c>
      <c r="D66" t="s">
        <v>35</v>
      </c>
      <c r="E66">
        <v>123.72</v>
      </c>
      <c r="F66">
        <v>72.22</v>
      </c>
      <c r="G66">
        <f>E66+F66</f>
        <v>195.94</v>
      </c>
      <c r="H66">
        <f>E66-F66</f>
        <v>51.5</v>
      </c>
      <c r="I66" t="s">
        <v>16</v>
      </c>
      <c r="J66" t="s">
        <v>49</v>
      </c>
      <c r="K66" t="str">
        <f>_xlfn.CONCAT(_xlfn.CONCAT(I66,"|"), J66)</f>
        <v>Brenton|Brand</v>
      </c>
      <c r="L66">
        <v>0</v>
      </c>
      <c r="M66">
        <v>0</v>
      </c>
      <c r="N66">
        <v>0</v>
      </c>
    </row>
    <row r="67" spans="1:14" hidden="1" x14ac:dyDescent="0.2">
      <c r="A67">
        <v>2022</v>
      </c>
      <c r="B67">
        <v>4</v>
      </c>
      <c r="C67" t="s">
        <v>44</v>
      </c>
      <c r="D67" t="s">
        <v>42</v>
      </c>
      <c r="E67">
        <v>136.16</v>
      </c>
      <c r="F67">
        <v>84.86</v>
      </c>
      <c r="G67">
        <f>E67+F67</f>
        <v>221.01999999999998</v>
      </c>
      <c r="H67">
        <f>E67-F67</f>
        <v>51.3</v>
      </c>
      <c r="I67" t="s">
        <v>45</v>
      </c>
      <c r="J67" t="s">
        <v>17</v>
      </c>
      <c r="K67" t="str">
        <f>_xlfn.CONCAT(_xlfn.CONCAT(I67,"|"), J67)</f>
        <v>Kevin|Mike</v>
      </c>
      <c r="L67">
        <v>0</v>
      </c>
      <c r="M67">
        <v>0</v>
      </c>
      <c r="N67">
        <v>0</v>
      </c>
    </row>
    <row r="68" spans="1:14" hidden="1" x14ac:dyDescent="0.2">
      <c r="A68">
        <v>2022</v>
      </c>
      <c r="B68">
        <v>11</v>
      </c>
      <c r="C68" t="s">
        <v>44</v>
      </c>
      <c r="D68" t="s">
        <v>18</v>
      </c>
      <c r="E68">
        <v>150.46</v>
      </c>
      <c r="F68">
        <v>99.6</v>
      </c>
      <c r="G68">
        <f>E68+F68</f>
        <v>250.06</v>
      </c>
      <c r="H68">
        <f>E68-F68</f>
        <v>50.860000000000014</v>
      </c>
      <c r="I68" t="s">
        <v>45</v>
      </c>
      <c r="J68" t="s">
        <v>20</v>
      </c>
      <c r="K68" t="str">
        <f>_xlfn.CONCAT(_xlfn.CONCAT(I68,"|"), J68)</f>
        <v>Kevin|Schulwolf</v>
      </c>
      <c r="L68">
        <v>0</v>
      </c>
      <c r="M68">
        <v>0</v>
      </c>
      <c r="N68">
        <v>0</v>
      </c>
    </row>
    <row r="69" spans="1:14" hidden="1" x14ac:dyDescent="0.2">
      <c r="A69">
        <v>2023</v>
      </c>
      <c r="B69">
        <v>8</v>
      </c>
      <c r="C69" t="s">
        <v>44</v>
      </c>
      <c r="D69" t="s">
        <v>35</v>
      </c>
      <c r="E69">
        <v>158.16</v>
      </c>
      <c r="F69">
        <v>107.36</v>
      </c>
      <c r="G69">
        <f>E69+F69</f>
        <v>265.52</v>
      </c>
      <c r="H69">
        <f>E69-F69</f>
        <v>50.8</v>
      </c>
      <c r="I69" t="s">
        <v>45</v>
      </c>
      <c r="J69" t="s">
        <v>49</v>
      </c>
      <c r="K69" t="str">
        <f>_xlfn.CONCAT(_xlfn.CONCAT(I69,"|"), J69)</f>
        <v>Kevin|Brand</v>
      </c>
      <c r="L69">
        <v>0</v>
      </c>
      <c r="M69">
        <v>0</v>
      </c>
      <c r="N69">
        <v>0</v>
      </c>
    </row>
    <row r="70" spans="1:14" hidden="1" x14ac:dyDescent="0.2">
      <c r="A70">
        <v>2025</v>
      </c>
      <c r="B70">
        <v>14</v>
      </c>
      <c r="C70" t="s">
        <v>26</v>
      </c>
      <c r="D70" t="s">
        <v>31</v>
      </c>
      <c r="E70">
        <v>119.96</v>
      </c>
      <c r="F70">
        <v>69.2</v>
      </c>
      <c r="G70">
        <f>E70+F70</f>
        <v>189.16</v>
      </c>
      <c r="H70">
        <f>E70-F70</f>
        <v>50.759999999999991</v>
      </c>
      <c r="I70" t="s">
        <v>28</v>
      </c>
      <c r="J70" t="s">
        <v>33</v>
      </c>
      <c r="K70" t="str">
        <f>_xlfn.CONCAT(_xlfn.CONCAT(I70,"|"), J70)</f>
        <v>Tommy|Jay</v>
      </c>
      <c r="L70">
        <v>0</v>
      </c>
      <c r="M70">
        <v>0</v>
      </c>
      <c r="N70">
        <v>0</v>
      </c>
    </row>
    <row r="71" spans="1:14" hidden="1" x14ac:dyDescent="0.2">
      <c r="A71">
        <v>2025</v>
      </c>
      <c r="B71">
        <v>15</v>
      </c>
      <c r="C71" t="s">
        <v>524</v>
      </c>
      <c r="D71" t="s">
        <v>46</v>
      </c>
      <c r="E71">
        <v>148.91999999999999</v>
      </c>
      <c r="F71">
        <v>122.7</v>
      </c>
      <c r="G71">
        <f>E71+F71</f>
        <v>271.62</v>
      </c>
      <c r="H71">
        <f>E71-F71</f>
        <v>26.219999999999985</v>
      </c>
      <c r="I71" t="s">
        <v>21</v>
      </c>
      <c r="J71" t="s">
        <v>47</v>
      </c>
      <c r="K71" t="str">
        <f>_xlfn.CONCAT(_xlfn.CONCAT(I71,"|"), J71)</f>
        <v>Todd|Burnett/Jasjaap</v>
      </c>
      <c r="L71">
        <v>1</v>
      </c>
      <c r="M71">
        <v>0</v>
      </c>
      <c r="N71">
        <v>0</v>
      </c>
    </row>
    <row r="72" spans="1:14" hidden="1" x14ac:dyDescent="0.2">
      <c r="A72">
        <v>2024</v>
      </c>
      <c r="B72">
        <v>17</v>
      </c>
      <c r="C72" t="s">
        <v>18</v>
      </c>
      <c r="D72" t="s">
        <v>46</v>
      </c>
      <c r="E72">
        <v>146.68</v>
      </c>
      <c r="F72">
        <v>121.06</v>
      </c>
      <c r="G72">
        <f>E72+F72</f>
        <v>267.74</v>
      </c>
      <c r="H72">
        <f>E72-F72</f>
        <v>25.620000000000005</v>
      </c>
      <c r="I72" t="s">
        <v>20</v>
      </c>
      <c r="J72" t="s">
        <v>47</v>
      </c>
      <c r="K72" t="str">
        <f>_xlfn.CONCAT(_xlfn.CONCAT(I72,"|"), J72)</f>
        <v>Schulwolf|Burnett/Jasjaap</v>
      </c>
      <c r="L72">
        <v>1</v>
      </c>
      <c r="M72">
        <v>0</v>
      </c>
      <c r="N72">
        <v>1</v>
      </c>
    </row>
    <row r="73" spans="1:14" hidden="1" x14ac:dyDescent="0.2">
      <c r="A73">
        <v>2021</v>
      </c>
      <c r="B73">
        <v>6</v>
      </c>
      <c r="C73" t="s">
        <v>14</v>
      </c>
      <c r="D73" t="s">
        <v>31</v>
      </c>
      <c r="E73">
        <v>136.28</v>
      </c>
      <c r="F73">
        <v>85.98</v>
      </c>
      <c r="G73">
        <f>E73+F73</f>
        <v>222.26</v>
      </c>
      <c r="H73">
        <f>E73-F73</f>
        <v>50.3</v>
      </c>
      <c r="I73" t="s">
        <v>16</v>
      </c>
      <c r="J73" t="s">
        <v>33</v>
      </c>
      <c r="K73" t="str">
        <f>_xlfn.CONCAT(_xlfn.CONCAT(I73,"|"), J73)</f>
        <v>Brenton|Jay</v>
      </c>
      <c r="L73">
        <v>0</v>
      </c>
      <c r="M73">
        <v>0</v>
      </c>
      <c r="N73">
        <v>0</v>
      </c>
    </row>
    <row r="74" spans="1:14" hidden="1" x14ac:dyDescent="0.2">
      <c r="A74">
        <v>2024</v>
      </c>
      <c r="B74">
        <v>1</v>
      </c>
      <c r="C74" t="s">
        <v>31</v>
      </c>
      <c r="D74" t="s">
        <v>75</v>
      </c>
      <c r="E74">
        <v>117.72</v>
      </c>
      <c r="F74">
        <v>67.42</v>
      </c>
      <c r="G74">
        <f>E74+F74</f>
        <v>185.14</v>
      </c>
      <c r="H74">
        <f>E74-F74</f>
        <v>50.3</v>
      </c>
      <c r="I74" t="s">
        <v>33</v>
      </c>
      <c r="J74" t="s">
        <v>36</v>
      </c>
      <c r="K74" t="str">
        <f>_xlfn.CONCAT(_xlfn.CONCAT(I74,"|"), J74)</f>
        <v>Jay|Will</v>
      </c>
      <c r="L74">
        <v>0</v>
      </c>
      <c r="M74">
        <v>0</v>
      </c>
      <c r="N74">
        <v>0</v>
      </c>
    </row>
    <row r="75" spans="1:14" hidden="1" x14ac:dyDescent="0.2">
      <c r="A75">
        <v>2021</v>
      </c>
      <c r="B75">
        <v>14</v>
      </c>
      <c r="C75" t="s">
        <v>30</v>
      </c>
      <c r="D75" t="s">
        <v>35</v>
      </c>
      <c r="E75">
        <v>187.22</v>
      </c>
      <c r="F75">
        <v>137.91999999999999</v>
      </c>
      <c r="G75">
        <f>E75+F75</f>
        <v>325.14</v>
      </c>
      <c r="H75">
        <f>E75-F75</f>
        <v>49.300000000000011</v>
      </c>
      <c r="I75" t="s">
        <v>32</v>
      </c>
      <c r="J75" t="s">
        <v>37</v>
      </c>
      <c r="K75" t="str">
        <f>_xlfn.CONCAT(_xlfn.CONCAT(I75,"|"), J75)</f>
        <v>Cam|Brand/Kevin</v>
      </c>
      <c r="L75">
        <v>0</v>
      </c>
      <c r="M75">
        <v>0</v>
      </c>
      <c r="N75">
        <v>0</v>
      </c>
    </row>
    <row r="76" spans="1:14" hidden="1" x14ac:dyDescent="0.2">
      <c r="A76">
        <v>2024</v>
      </c>
      <c r="B76">
        <v>5</v>
      </c>
      <c r="C76" t="s">
        <v>76</v>
      </c>
      <c r="D76" t="s">
        <v>42</v>
      </c>
      <c r="E76">
        <v>176.78</v>
      </c>
      <c r="F76">
        <v>127.64</v>
      </c>
      <c r="G76">
        <f>E76+F76</f>
        <v>304.42</v>
      </c>
      <c r="H76">
        <f>E76-F76</f>
        <v>49.14</v>
      </c>
      <c r="I76" t="s">
        <v>32</v>
      </c>
      <c r="J76" t="s">
        <v>17</v>
      </c>
      <c r="K76" t="str">
        <f>_xlfn.CONCAT(_xlfn.CONCAT(I76,"|"), J76)</f>
        <v>Cam|Mike</v>
      </c>
      <c r="L76">
        <v>0</v>
      </c>
      <c r="M76">
        <v>0</v>
      </c>
      <c r="N76">
        <v>0</v>
      </c>
    </row>
    <row r="77" spans="1:14" hidden="1" x14ac:dyDescent="0.2">
      <c r="A77">
        <v>2022</v>
      </c>
      <c r="B77">
        <v>7</v>
      </c>
      <c r="C77" t="s">
        <v>18</v>
      </c>
      <c r="D77" t="s">
        <v>38</v>
      </c>
      <c r="E77">
        <v>142.06</v>
      </c>
      <c r="F77">
        <v>93.1</v>
      </c>
      <c r="G77">
        <f>E77+F77</f>
        <v>235.16</v>
      </c>
      <c r="H77">
        <f>E77-F77</f>
        <v>48.960000000000008</v>
      </c>
      <c r="I77" t="s">
        <v>20</v>
      </c>
      <c r="J77" t="s">
        <v>36</v>
      </c>
      <c r="K77" t="str">
        <f>_xlfn.CONCAT(_xlfn.CONCAT(I77,"|"), J77)</f>
        <v>Schulwolf|Will</v>
      </c>
      <c r="L77">
        <v>0</v>
      </c>
      <c r="M77">
        <v>0</v>
      </c>
      <c r="N77">
        <v>0</v>
      </c>
    </row>
    <row r="78" spans="1:14" hidden="1" x14ac:dyDescent="0.2">
      <c r="A78">
        <v>2025</v>
      </c>
      <c r="B78">
        <v>3</v>
      </c>
      <c r="C78" t="s">
        <v>526</v>
      </c>
      <c r="D78" t="s">
        <v>46</v>
      </c>
      <c r="E78">
        <v>140.82</v>
      </c>
      <c r="F78">
        <v>91.98</v>
      </c>
      <c r="G78">
        <f>E78+F78</f>
        <v>232.8</v>
      </c>
      <c r="H78">
        <f>E78-F78</f>
        <v>48.839999999999989</v>
      </c>
      <c r="I78" t="s">
        <v>32</v>
      </c>
      <c r="J78" t="s">
        <v>47</v>
      </c>
      <c r="K78" t="str">
        <f>_xlfn.CONCAT(_xlfn.CONCAT(I78,"|"), J78)</f>
        <v>Cam|Burnett/Jasjaap</v>
      </c>
      <c r="L78">
        <v>0</v>
      </c>
      <c r="M78">
        <v>0</v>
      </c>
      <c r="N78">
        <v>0</v>
      </c>
    </row>
    <row r="79" spans="1:14" hidden="1" x14ac:dyDescent="0.2">
      <c r="A79">
        <v>2021</v>
      </c>
      <c r="B79">
        <v>12</v>
      </c>
      <c r="C79" t="s">
        <v>19</v>
      </c>
      <c r="D79" t="s">
        <v>18</v>
      </c>
      <c r="E79">
        <v>147.80000000000001</v>
      </c>
      <c r="F79">
        <v>98.98</v>
      </c>
      <c r="G79">
        <f>E79+F79</f>
        <v>246.78000000000003</v>
      </c>
      <c r="H79">
        <f>E79-F79</f>
        <v>48.820000000000007</v>
      </c>
      <c r="I79" t="s">
        <v>21</v>
      </c>
      <c r="J79" t="s">
        <v>20</v>
      </c>
      <c r="K79" t="str">
        <f>_xlfn.CONCAT(_xlfn.CONCAT(I79,"|"), J79)</f>
        <v>Todd|Schulwolf</v>
      </c>
      <c r="L79">
        <v>0</v>
      </c>
      <c r="M79">
        <v>0</v>
      </c>
      <c r="N79">
        <v>0</v>
      </c>
    </row>
    <row r="80" spans="1:14" hidden="1" x14ac:dyDescent="0.2">
      <c r="A80">
        <v>2021</v>
      </c>
      <c r="B80">
        <v>1</v>
      </c>
      <c r="C80" t="s">
        <v>30</v>
      </c>
      <c r="D80" t="s">
        <v>31</v>
      </c>
      <c r="E80">
        <v>151.36000000000001</v>
      </c>
      <c r="F80">
        <v>103.22</v>
      </c>
      <c r="G80">
        <f>E80+F80</f>
        <v>254.58</v>
      </c>
      <c r="H80">
        <f>E80-F80</f>
        <v>48.140000000000015</v>
      </c>
      <c r="I80" t="s">
        <v>32</v>
      </c>
      <c r="J80" t="s">
        <v>33</v>
      </c>
      <c r="K80" t="str">
        <f>_xlfn.CONCAT(_xlfn.CONCAT(I80,"|"), J80)</f>
        <v>Cam|Jay</v>
      </c>
      <c r="L80">
        <v>0</v>
      </c>
      <c r="M80">
        <v>0</v>
      </c>
      <c r="N80">
        <v>0</v>
      </c>
    </row>
    <row r="81" spans="1:14" hidden="1" x14ac:dyDescent="0.2">
      <c r="A81">
        <v>2022</v>
      </c>
      <c r="B81">
        <v>11</v>
      </c>
      <c r="C81" t="s">
        <v>14</v>
      </c>
      <c r="D81" t="s">
        <v>23</v>
      </c>
      <c r="E81">
        <v>139.91999999999999</v>
      </c>
      <c r="F81">
        <v>91.84</v>
      </c>
      <c r="G81">
        <f>E81+F81</f>
        <v>231.76</v>
      </c>
      <c r="H81">
        <f>E81-F81</f>
        <v>48.079999999999984</v>
      </c>
      <c r="I81" t="s">
        <v>16</v>
      </c>
      <c r="J81" t="s">
        <v>25</v>
      </c>
      <c r="K81" t="str">
        <f>_xlfn.CONCAT(_xlfn.CONCAT(I81,"|"), J81)</f>
        <v>Brenton|Burnett</v>
      </c>
      <c r="L81">
        <v>0</v>
      </c>
      <c r="M81">
        <v>0</v>
      </c>
      <c r="N81">
        <v>0</v>
      </c>
    </row>
    <row r="82" spans="1:14" hidden="1" x14ac:dyDescent="0.2">
      <c r="A82">
        <v>2025</v>
      </c>
      <c r="B82">
        <v>3</v>
      </c>
      <c r="C82" t="s">
        <v>521</v>
      </c>
      <c r="D82" t="s">
        <v>18</v>
      </c>
      <c r="E82">
        <v>139.86000000000001</v>
      </c>
      <c r="F82">
        <v>92.16</v>
      </c>
      <c r="G82">
        <f>E82+F82</f>
        <v>232.02</v>
      </c>
      <c r="H82">
        <f>E82-F82</f>
        <v>47.700000000000017</v>
      </c>
      <c r="I82" t="s">
        <v>29</v>
      </c>
      <c r="J82" t="s">
        <v>20</v>
      </c>
      <c r="K82" t="str">
        <f>_xlfn.CONCAT(_xlfn.CONCAT(I82,"|"), J82)</f>
        <v>Eli|Schulwolf</v>
      </c>
      <c r="L82">
        <v>0</v>
      </c>
      <c r="M82">
        <v>0</v>
      </c>
      <c r="N82">
        <v>0</v>
      </c>
    </row>
    <row r="83" spans="1:14" hidden="1" x14ac:dyDescent="0.2">
      <c r="A83">
        <v>2022</v>
      </c>
      <c r="B83">
        <v>8</v>
      </c>
      <c r="C83" t="s">
        <v>31</v>
      </c>
      <c r="D83" t="s">
        <v>22</v>
      </c>
      <c r="E83">
        <v>127.18</v>
      </c>
      <c r="F83">
        <v>79.64</v>
      </c>
      <c r="G83">
        <f>E83+F83</f>
        <v>206.82</v>
      </c>
      <c r="H83">
        <f>E83-F83</f>
        <v>47.540000000000006</v>
      </c>
      <c r="I83" t="s">
        <v>41</v>
      </c>
      <c r="J83" t="s">
        <v>24</v>
      </c>
      <c r="K83" t="str">
        <f>_xlfn.CONCAT(_xlfn.CONCAT(I83,"|"), J83)</f>
        <v>Jay/Brand|Jasjaap</v>
      </c>
      <c r="L83">
        <v>0</v>
      </c>
      <c r="M83">
        <v>0</v>
      </c>
      <c r="N83">
        <v>0</v>
      </c>
    </row>
    <row r="84" spans="1:14" hidden="1" x14ac:dyDescent="0.2">
      <c r="A84">
        <v>2021</v>
      </c>
      <c r="B84">
        <v>4</v>
      </c>
      <c r="C84" t="s">
        <v>18</v>
      </c>
      <c r="D84" t="s">
        <v>35</v>
      </c>
      <c r="E84">
        <v>162.22</v>
      </c>
      <c r="F84">
        <v>114.82</v>
      </c>
      <c r="G84">
        <f>E84+F84</f>
        <v>277.03999999999996</v>
      </c>
      <c r="H84">
        <f>E84-F84</f>
        <v>47.400000000000006</v>
      </c>
      <c r="I84" t="s">
        <v>20</v>
      </c>
      <c r="J84" t="s">
        <v>37</v>
      </c>
      <c r="K84" t="str">
        <f>_xlfn.CONCAT(_xlfn.CONCAT(I84,"|"), J84)</f>
        <v>Schulwolf|Brand/Kevin</v>
      </c>
      <c r="L84">
        <v>0</v>
      </c>
      <c r="M84">
        <v>0</v>
      </c>
      <c r="N84">
        <v>0</v>
      </c>
    </row>
    <row r="85" spans="1:14" hidden="1" x14ac:dyDescent="0.2">
      <c r="A85">
        <v>2025</v>
      </c>
      <c r="B85">
        <v>13</v>
      </c>
      <c r="C85" t="s">
        <v>525</v>
      </c>
      <c r="D85" t="s">
        <v>524</v>
      </c>
      <c r="E85">
        <v>146.82</v>
      </c>
      <c r="F85">
        <v>99.42</v>
      </c>
      <c r="G85">
        <f>E85+F85</f>
        <v>246.24</v>
      </c>
      <c r="H85">
        <f>E85-F85</f>
        <v>47.399999999999991</v>
      </c>
      <c r="I85" t="s">
        <v>36</v>
      </c>
      <c r="J85" t="s">
        <v>21</v>
      </c>
      <c r="K85" t="str">
        <f>_xlfn.CONCAT(_xlfn.CONCAT(I85,"|"), J85)</f>
        <v>Will|Todd</v>
      </c>
      <c r="L85">
        <v>0</v>
      </c>
      <c r="M85">
        <v>0</v>
      </c>
      <c r="N85">
        <v>0</v>
      </c>
    </row>
    <row r="86" spans="1:14" hidden="1" x14ac:dyDescent="0.2">
      <c r="A86">
        <v>2023</v>
      </c>
      <c r="B86">
        <v>7</v>
      </c>
      <c r="C86" t="s">
        <v>51</v>
      </c>
      <c r="D86" t="s">
        <v>48</v>
      </c>
      <c r="E86">
        <v>146.88</v>
      </c>
      <c r="F86">
        <v>99.66</v>
      </c>
      <c r="G86">
        <f>E86+F86</f>
        <v>246.54</v>
      </c>
      <c r="H86">
        <f>E86-F86</f>
        <v>47.22</v>
      </c>
      <c r="I86" t="s">
        <v>21</v>
      </c>
      <c r="J86" t="s">
        <v>36</v>
      </c>
      <c r="K86" t="str">
        <f>_xlfn.CONCAT(_xlfn.CONCAT(I86,"|"), J86)</f>
        <v>Todd|Will</v>
      </c>
      <c r="L86">
        <v>0</v>
      </c>
      <c r="M86">
        <v>0</v>
      </c>
      <c r="N86">
        <v>0</v>
      </c>
    </row>
    <row r="87" spans="1:14" hidden="1" x14ac:dyDescent="0.2">
      <c r="A87">
        <v>2017</v>
      </c>
      <c r="B87">
        <v>15</v>
      </c>
      <c r="C87" t="s">
        <v>56</v>
      </c>
      <c r="D87" t="s">
        <v>59</v>
      </c>
      <c r="E87">
        <v>127.72</v>
      </c>
      <c r="F87">
        <v>115.34</v>
      </c>
      <c r="G87">
        <f>E87+F87</f>
        <v>243.06</v>
      </c>
      <c r="H87">
        <f>E87-F87</f>
        <v>12.379999999999995</v>
      </c>
      <c r="I87" t="s">
        <v>29</v>
      </c>
      <c r="J87" t="s">
        <v>32</v>
      </c>
      <c r="K87" t="str">
        <f>_xlfn.CONCAT(_xlfn.CONCAT(I87,"|"), J87)</f>
        <v>Eli|Cam</v>
      </c>
      <c r="L87">
        <v>1</v>
      </c>
      <c r="M87">
        <v>1</v>
      </c>
      <c r="N87">
        <v>0</v>
      </c>
    </row>
    <row r="88" spans="1:14" hidden="1" x14ac:dyDescent="0.2">
      <c r="A88">
        <v>2021</v>
      </c>
      <c r="B88">
        <v>1</v>
      </c>
      <c r="C88" t="s">
        <v>26</v>
      </c>
      <c r="D88" t="s">
        <v>27</v>
      </c>
      <c r="E88">
        <v>139.66</v>
      </c>
      <c r="F88">
        <v>92.66</v>
      </c>
      <c r="G88">
        <f>E88+F88</f>
        <v>232.32</v>
      </c>
      <c r="H88">
        <f>E88-F88</f>
        <v>47</v>
      </c>
      <c r="I88" t="s">
        <v>28</v>
      </c>
      <c r="J88" t="s">
        <v>29</v>
      </c>
      <c r="K88" t="str">
        <f>_xlfn.CONCAT(_xlfn.CONCAT(I88,"|"), J88)</f>
        <v>Tommy|Eli</v>
      </c>
      <c r="L88">
        <v>0</v>
      </c>
      <c r="M88">
        <v>0</v>
      </c>
      <c r="N88">
        <v>0</v>
      </c>
    </row>
    <row r="89" spans="1:14" hidden="1" x14ac:dyDescent="0.2">
      <c r="A89">
        <v>2024</v>
      </c>
      <c r="B89">
        <v>13</v>
      </c>
      <c r="C89" t="s">
        <v>26</v>
      </c>
      <c r="D89" t="s">
        <v>35</v>
      </c>
      <c r="E89">
        <v>127.92</v>
      </c>
      <c r="F89">
        <v>81.3</v>
      </c>
      <c r="G89">
        <f>E89+F89</f>
        <v>209.22</v>
      </c>
      <c r="H89">
        <f>E89-F89</f>
        <v>46.620000000000005</v>
      </c>
      <c r="I89" t="s">
        <v>28</v>
      </c>
      <c r="J89" t="s">
        <v>49</v>
      </c>
      <c r="K89" t="str">
        <f>_xlfn.CONCAT(_xlfn.CONCAT(I89,"|"), J89)</f>
        <v>Tommy|Brand</v>
      </c>
      <c r="L89">
        <v>0</v>
      </c>
      <c r="M89">
        <v>0</v>
      </c>
      <c r="N89">
        <v>0</v>
      </c>
    </row>
    <row r="90" spans="1:14" hidden="1" x14ac:dyDescent="0.2">
      <c r="A90">
        <v>2025</v>
      </c>
      <c r="B90">
        <v>6</v>
      </c>
      <c r="C90" t="s">
        <v>18</v>
      </c>
      <c r="D90" t="s">
        <v>26</v>
      </c>
      <c r="E90">
        <v>146.30000000000001</v>
      </c>
      <c r="F90">
        <v>99.8</v>
      </c>
      <c r="G90">
        <f>E90+F90</f>
        <v>246.10000000000002</v>
      </c>
      <c r="H90">
        <f>E90-F90</f>
        <v>46.500000000000014</v>
      </c>
      <c r="I90" t="s">
        <v>20</v>
      </c>
      <c r="J90" t="s">
        <v>28</v>
      </c>
      <c r="K90" t="str">
        <f>_xlfn.CONCAT(_xlfn.CONCAT(I90,"|"), J90)</f>
        <v>Schulwolf|Tommy</v>
      </c>
      <c r="L90">
        <v>0</v>
      </c>
      <c r="M90">
        <v>0</v>
      </c>
      <c r="N90">
        <v>0</v>
      </c>
    </row>
    <row r="91" spans="1:14" hidden="1" x14ac:dyDescent="0.2">
      <c r="A91">
        <v>2021</v>
      </c>
      <c r="B91">
        <v>13</v>
      </c>
      <c r="C91" t="s">
        <v>22</v>
      </c>
      <c r="D91" t="s">
        <v>19</v>
      </c>
      <c r="E91">
        <v>130.80000000000001</v>
      </c>
      <c r="F91">
        <v>84.5</v>
      </c>
      <c r="G91">
        <f>E91+F91</f>
        <v>215.3</v>
      </c>
      <c r="H91">
        <f>E91-F91</f>
        <v>46.300000000000011</v>
      </c>
      <c r="I91" t="s">
        <v>24</v>
      </c>
      <c r="J91" t="s">
        <v>21</v>
      </c>
      <c r="K91" t="str">
        <f>_xlfn.CONCAT(_xlfn.CONCAT(I91,"|"), J91)</f>
        <v>Jasjaap|Todd</v>
      </c>
      <c r="L91">
        <v>0</v>
      </c>
      <c r="M91">
        <v>0</v>
      </c>
      <c r="N91">
        <v>0</v>
      </c>
    </row>
    <row r="92" spans="1:14" hidden="1" x14ac:dyDescent="0.2">
      <c r="A92">
        <v>2024</v>
      </c>
      <c r="B92">
        <v>15</v>
      </c>
      <c r="C92" t="s">
        <v>18</v>
      </c>
      <c r="D92" t="s">
        <v>46</v>
      </c>
      <c r="E92">
        <v>172.94</v>
      </c>
      <c r="F92">
        <v>126.68</v>
      </c>
      <c r="G92">
        <f>E92+F92</f>
        <v>299.62</v>
      </c>
      <c r="H92">
        <f>E92-F92</f>
        <v>46.259999999999991</v>
      </c>
      <c r="I92" t="s">
        <v>20</v>
      </c>
      <c r="J92" t="s">
        <v>47</v>
      </c>
      <c r="K92" t="str">
        <f>_xlfn.CONCAT(_xlfn.CONCAT(I92,"|"), J92)</f>
        <v>Schulwolf|Burnett/Jasjaap</v>
      </c>
      <c r="L92">
        <v>0</v>
      </c>
      <c r="M92">
        <v>0</v>
      </c>
      <c r="N92">
        <v>0</v>
      </c>
    </row>
    <row r="93" spans="1:14" hidden="1" x14ac:dyDescent="0.2">
      <c r="A93">
        <v>2023</v>
      </c>
      <c r="B93">
        <v>15</v>
      </c>
      <c r="C93" t="s">
        <v>52</v>
      </c>
      <c r="D93" t="s">
        <v>44</v>
      </c>
      <c r="E93">
        <v>107.92</v>
      </c>
      <c r="F93">
        <v>61.96</v>
      </c>
      <c r="G93">
        <f>E93+F93</f>
        <v>169.88</v>
      </c>
      <c r="H93">
        <f>E93-F93</f>
        <v>45.96</v>
      </c>
      <c r="I93" t="s">
        <v>32</v>
      </c>
      <c r="J93" t="s">
        <v>45</v>
      </c>
      <c r="K93" t="str">
        <f>_xlfn.CONCAT(_xlfn.CONCAT(I93,"|"), J93)</f>
        <v>Cam|Kevin</v>
      </c>
      <c r="L93">
        <v>0</v>
      </c>
      <c r="M93">
        <v>0</v>
      </c>
      <c r="N93">
        <v>0</v>
      </c>
    </row>
    <row r="94" spans="1:14" hidden="1" x14ac:dyDescent="0.2">
      <c r="A94">
        <v>2025</v>
      </c>
      <c r="B94">
        <v>2</v>
      </c>
      <c r="C94" t="s">
        <v>525</v>
      </c>
      <c r="D94" t="s">
        <v>524</v>
      </c>
      <c r="E94">
        <v>122</v>
      </c>
      <c r="F94">
        <v>76.12</v>
      </c>
      <c r="G94">
        <f>E94+F94</f>
        <v>198.12</v>
      </c>
      <c r="H94">
        <f>E94-F94</f>
        <v>45.879999999999995</v>
      </c>
      <c r="I94" t="s">
        <v>36</v>
      </c>
      <c r="J94" t="s">
        <v>21</v>
      </c>
      <c r="K94" t="str">
        <f>_xlfn.CONCAT(_xlfn.CONCAT(I94,"|"), J94)</f>
        <v>Will|Todd</v>
      </c>
      <c r="L94">
        <v>0</v>
      </c>
      <c r="M94">
        <v>0</v>
      </c>
      <c r="N94">
        <v>0</v>
      </c>
    </row>
    <row r="95" spans="1:14" hidden="1" x14ac:dyDescent="0.2">
      <c r="A95">
        <v>2024</v>
      </c>
      <c r="B95">
        <v>1</v>
      </c>
      <c r="C95" t="s">
        <v>35</v>
      </c>
      <c r="D95" t="s">
        <v>76</v>
      </c>
      <c r="E95">
        <v>139.68</v>
      </c>
      <c r="F95">
        <v>93.86</v>
      </c>
      <c r="G95">
        <f>E95+F95</f>
        <v>233.54000000000002</v>
      </c>
      <c r="H95">
        <f>E95-F95</f>
        <v>45.820000000000007</v>
      </c>
      <c r="I95" t="s">
        <v>49</v>
      </c>
      <c r="J95" t="s">
        <v>32</v>
      </c>
      <c r="K95" t="str">
        <f>_xlfn.CONCAT(_xlfn.CONCAT(I95,"|"), J95)</f>
        <v>Brand|Cam</v>
      </c>
      <c r="L95">
        <v>0</v>
      </c>
      <c r="M95">
        <v>0</v>
      </c>
      <c r="N95">
        <v>0</v>
      </c>
    </row>
    <row r="96" spans="1:14" hidden="1" x14ac:dyDescent="0.2">
      <c r="A96">
        <v>2024</v>
      </c>
      <c r="B96">
        <v>15</v>
      </c>
      <c r="C96" t="s">
        <v>31</v>
      </c>
      <c r="D96" t="s">
        <v>14</v>
      </c>
      <c r="E96">
        <v>124.8</v>
      </c>
      <c r="F96">
        <v>79.44</v>
      </c>
      <c r="G96">
        <f>E96+F96</f>
        <v>204.24</v>
      </c>
      <c r="H96">
        <f>E96-F96</f>
        <v>45.36</v>
      </c>
      <c r="I96" t="s">
        <v>33</v>
      </c>
      <c r="J96" t="s">
        <v>16</v>
      </c>
      <c r="K96" t="str">
        <f>_xlfn.CONCAT(_xlfn.CONCAT(I96,"|"), J96)</f>
        <v>Jay|Brenton</v>
      </c>
      <c r="L96">
        <v>0</v>
      </c>
      <c r="M96">
        <v>0</v>
      </c>
      <c r="N96">
        <v>0</v>
      </c>
    </row>
    <row r="97" spans="1:14" hidden="1" x14ac:dyDescent="0.2">
      <c r="A97">
        <v>2023</v>
      </c>
      <c r="B97">
        <v>3</v>
      </c>
      <c r="C97" t="s">
        <v>51</v>
      </c>
      <c r="D97" t="s">
        <v>44</v>
      </c>
      <c r="E97">
        <v>133.78</v>
      </c>
      <c r="F97">
        <v>88.52</v>
      </c>
      <c r="G97">
        <f>E97+F97</f>
        <v>222.3</v>
      </c>
      <c r="H97">
        <f>E97-F97</f>
        <v>45.260000000000005</v>
      </c>
      <c r="I97" t="s">
        <v>21</v>
      </c>
      <c r="J97" t="s">
        <v>45</v>
      </c>
      <c r="K97" t="str">
        <f>_xlfn.CONCAT(_xlfn.CONCAT(I97,"|"), J97)</f>
        <v>Todd|Kevin</v>
      </c>
      <c r="L97">
        <v>0</v>
      </c>
      <c r="M97">
        <v>0</v>
      </c>
      <c r="N97">
        <v>0</v>
      </c>
    </row>
    <row r="98" spans="1:14" hidden="1" x14ac:dyDescent="0.2">
      <c r="A98">
        <v>2023</v>
      </c>
      <c r="B98">
        <v>5</v>
      </c>
      <c r="C98" t="s">
        <v>31</v>
      </c>
      <c r="D98" t="s">
        <v>46</v>
      </c>
      <c r="E98">
        <v>137.41999999999999</v>
      </c>
      <c r="F98">
        <v>92.16</v>
      </c>
      <c r="G98">
        <f>E98+F98</f>
        <v>229.57999999999998</v>
      </c>
      <c r="H98">
        <f>E98-F98</f>
        <v>45.259999999999991</v>
      </c>
      <c r="I98" t="s">
        <v>33</v>
      </c>
      <c r="J98" t="s">
        <v>47</v>
      </c>
      <c r="K98" t="str">
        <f>_xlfn.CONCAT(_xlfn.CONCAT(I98,"|"), J98)</f>
        <v>Jay|Burnett/Jasjaap</v>
      </c>
      <c r="L98">
        <v>0</v>
      </c>
      <c r="M98">
        <v>0</v>
      </c>
      <c r="N98">
        <v>0</v>
      </c>
    </row>
    <row r="99" spans="1:14" hidden="1" x14ac:dyDescent="0.2">
      <c r="A99">
        <v>2022</v>
      </c>
      <c r="B99">
        <v>13</v>
      </c>
      <c r="C99" t="s">
        <v>38</v>
      </c>
      <c r="D99" t="s">
        <v>22</v>
      </c>
      <c r="E99">
        <v>146.63999999999999</v>
      </c>
      <c r="F99">
        <v>101.4</v>
      </c>
      <c r="G99">
        <f>E99+F99</f>
        <v>248.04</v>
      </c>
      <c r="H99">
        <f>E99-F99</f>
        <v>45.239999999999981</v>
      </c>
      <c r="I99" t="s">
        <v>36</v>
      </c>
      <c r="J99" t="s">
        <v>24</v>
      </c>
      <c r="K99" t="str">
        <f>_xlfn.CONCAT(_xlfn.CONCAT(I99,"|"), J99)</f>
        <v>Will|Jasjaap</v>
      </c>
      <c r="L99">
        <v>0</v>
      </c>
      <c r="M99">
        <v>0</v>
      </c>
      <c r="N99">
        <v>0</v>
      </c>
    </row>
    <row r="100" spans="1:14" hidden="1" x14ac:dyDescent="0.2">
      <c r="A100">
        <v>2021</v>
      </c>
      <c r="B100">
        <v>17</v>
      </c>
      <c r="C100" t="s">
        <v>18</v>
      </c>
      <c r="D100" t="s">
        <v>34</v>
      </c>
      <c r="E100">
        <v>124.62</v>
      </c>
      <c r="F100">
        <v>119.78</v>
      </c>
      <c r="G100">
        <f>E100+F100</f>
        <v>244.4</v>
      </c>
      <c r="H100">
        <f>E100-F100</f>
        <v>4.8400000000000034</v>
      </c>
      <c r="I100" t="s">
        <v>20</v>
      </c>
      <c r="J100" t="s">
        <v>36</v>
      </c>
      <c r="K100" t="str">
        <f>_xlfn.CONCAT(_xlfn.CONCAT(I100,"|"), J100)</f>
        <v>Schulwolf|Will</v>
      </c>
      <c r="L100">
        <v>1</v>
      </c>
      <c r="M100">
        <v>0</v>
      </c>
      <c r="N100">
        <v>0</v>
      </c>
    </row>
    <row r="101" spans="1:14" hidden="1" x14ac:dyDescent="0.2">
      <c r="A101">
        <v>2025</v>
      </c>
      <c r="B101">
        <v>12</v>
      </c>
      <c r="C101" t="s">
        <v>35</v>
      </c>
      <c r="D101" t="s">
        <v>31</v>
      </c>
      <c r="E101">
        <v>134.56</v>
      </c>
      <c r="F101">
        <v>89.74</v>
      </c>
      <c r="G101">
        <f>E101+F101</f>
        <v>224.3</v>
      </c>
      <c r="H101">
        <f>E101-F101</f>
        <v>44.820000000000007</v>
      </c>
      <c r="I101" t="s">
        <v>49</v>
      </c>
      <c r="J101" t="s">
        <v>33</v>
      </c>
      <c r="K101" t="str">
        <f>_xlfn.CONCAT(_xlfn.CONCAT(I101,"|"), J101)</f>
        <v>Brand|Jay</v>
      </c>
      <c r="L101">
        <v>0</v>
      </c>
      <c r="M101">
        <v>0</v>
      </c>
      <c r="N101">
        <v>0</v>
      </c>
    </row>
    <row r="102" spans="1:14" hidden="1" x14ac:dyDescent="0.2">
      <c r="A102">
        <v>2023</v>
      </c>
      <c r="B102">
        <v>1</v>
      </c>
      <c r="C102" t="s">
        <v>51</v>
      </c>
      <c r="D102" t="s">
        <v>52</v>
      </c>
      <c r="E102">
        <v>123.86</v>
      </c>
      <c r="F102">
        <v>79.08</v>
      </c>
      <c r="G102">
        <f>E102+F102</f>
        <v>202.94</v>
      </c>
      <c r="H102">
        <f>E102-F102</f>
        <v>44.78</v>
      </c>
      <c r="I102" t="s">
        <v>21</v>
      </c>
      <c r="J102" t="s">
        <v>32</v>
      </c>
      <c r="K102" t="str">
        <f>_xlfn.CONCAT(_xlfn.CONCAT(I102,"|"), J102)</f>
        <v>Todd|Cam</v>
      </c>
      <c r="L102">
        <v>0</v>
      </c>
      <c r="M102">
        <v>0</v>
      </c>
      <c r="N102">
        <v>0</v>
      </c>
    </row>
    <row r="103" spans="1:14" hidden="1" x14ac:dyDescent="0.2">
      <c r="A103">
        <v>2024</v>
      </c>
      <c r="B103">
        <v>5</v>
      </c>
      <c r="C103" t="s">
        <v>31</v>
      </c>
      <c r="D103" t="s">
        <v>77</v>
      </c>
      <c r="E103">
        <v>124.62</v>
      </c>
      <c r="F103">
        <v>80.14</v>
      </c>
      <c r="G103">
        <f>E103+F103</f>
        <v>204.76</v>
      </c>
      <c r="H103">
        <f>E103-F103</f>
        <v>44.480000000000004</v>
      </c>
      <c r="I103" t="s">
        <v>33</v>
      </c>
      <c r="J103" t="s">
        <v>45</v>
      </c>
      <c r="K103" t="str">
        <f>_xlfn.CONCAT(_xlfn.CONCAT(I103,"|"), J103)</f>
        <v>Jay|Kevin</v>
      </c>
      <c r="L103">
        <v>0</v>
      </c>
      <c r="M103">
        <v>0</v>
      </c>
      <c r="N103">
        <v>0</v>
      </c>
    </row>
    <row r="104" spans="1:14" hidden="1" x14ac:dyDescent="0.2">
      <c r="A104">
        <v>2023</v>
      </c>
      <c r="B104">
        <v>3</v>
      </c>
      <c r="C104" t="s">
        <v>26</v>
      </c>
      <c r="D104" t="s">
        <v>35</v>
      </c>
      <c r="E104">
        <v>146.78</v>
      </c>
      <c r="F104">
        <v>102.86</v>
      </c>
      <c r="G104">
        <f>E104+F104</f>
        <v>249.64</v>
      </c>
      <c r="H104">
        <f>E104-F104</f>
        <v>43.92</v>
      </c>
      <c r="I104" t="s">
        <v>28</v>
      </c>
      <c r="J104" t="s">
        <v>49</v>
      </c>
      <c r="K104" t="str">
        <f>_xlfn.CONCAT(_xlfn.CONCAT(I104,"|"), J104)</f>
        <v>Tommy|Brand</v>
      </c>
      <c r="L104">
        <v>0</v>
      </c>
      <c r="M104">
        <v>0</v>
      </c>
      <c r="N104">
        <v>0</v>
      </c>
    </row>
    <row r="105" spans="1:14" hidden="1" x14ac:dyDescent="0.2">
      <c r="A105">
        <v>2021</v>
      </c>
      <c r="B105">
        <v>10</v>
      </c>
      <c r="C105" t="s">
        <v>15</v>
      </c>
      <c r="D105" t="s">
        <v>19</v>
      </c>
      <c r="E105">
        <v>142.63999999999999</v>
      </c>
      <c r="F105">
        <v>98.84</v>
      </c>
      <c r="G105">
        <f>E105+F105</f>
        <v>241.48</v>
      </c>
      <c r="H105">
        <f>E105-F105</f>
        <v>43.799999999999983</v>
      </c>
      <c r="I105" t="s">
        <v>17</v>
      </c>
      <c r="J105" t="s">
        <v>21</v>
      </c>
      <c r="K105" t="str">
        <f>_xlfn.CONCAT(_xlfn.CONCAT(I105,"|"), J105)</f>
        <v>Mike|Todd</v>
      </c>
      <c r="L105">
        <v>0</v>
      </c>
      <c r="M105">
        <v>0</v>
      </c>
      <c r="N105">
        <v>0</v>
      </c>
    </row>
    <row r="106" spans="1:14" hidden="1" x14ac:dyDescent="0.2">
      <c r="A106">
        <v>2022</v>
      </c>
      <c r="B106">
        <v>8</v>
      </c>
      <c r="C106" t="s">
        <v>40</v>
      </c>
      <c r="D106" t="s">
        <v>44</v>
      </c>
      <c r="E106">
        <v>153.86000000000001</v>
      </c>
      <c r="F106">
        <v>110.14</v>
      </c>
      <c r="G106">
        <f>E106+F106</f>
        <v>264</v>
      </c>
      <c r="H106">
        <f>E106-F106</f>
        <v>43.720000000000013</v>
      </c>
      <c r="I106" t="s">
        <v>29</v>
      </c>
      <c r="J106" t="s">
        <v>45</v>
      </c>
      <c r="K106" t="str">
        <f>_xlfn.CONCAT(_xlfn.CONCAT(I106,"|"), J106)</f>
        <v>Eli|Kevin</v>
      </c>
      <c r="L106">
        <v>0</v>
      </c>
      <c r="M106">
        <v>0</v>
      </c>
      <c r="N106">
        <v>0</v>
      </c>
    </row>
    <row r="107" spans="1:14" hidden="1" x14ac:dyDescent="0.2">
      <c r="A107">
        <v>2024</v>
      </c>
      <c r="B107">
        <v>7</v>
      </c>
      <c r="C107" t="s">
        <v>26</v>
      </c>
      <c r="D107" t="s">
        <v>14</v>
      </c>
      <c r="E107">
        <v>134.12</v>
      </c>
      <c r="F107">
        <v>90.8</v>
      </c>
      <c r="G107">
        <f>E107+F107</f>
        <v>224.92000000000002</v>
      </c>
      <c r="H107">
        <f>E107-F107</f>
        <v>43.320000000000007</v>
      </c>
      <c r="I107" t="s">
        <v>28</v>
      </c>
      <c r="J107" t="s">
        <v>16</v>
      </c>
      <c r="K107" t="str">
        <f>_xlfn.CONCAT(_xlfn.CONCAT(I107,"|"), J107)</f>
        <v>Tommy|Brenton</v>
      </c>
      <c r="L107">
        <v>0</v>
      </c>
      <c r="M107">
        <v>0</v>
      </c>
      <c r="N107">
        <v>0</v>
      </c>
    </row>
    <row r="108" spans="1:14" hidden="1" x14ac:dyDescent="0.2">
      <c r="A108">
        <v>2021</v>
      </c>
      <c r="B108">
        <v>4</v>
      </c>
      <c r="C108" t="s">
        <v>19</v>
      </c>
      <c r="D108" t="s">
        <v>31</v>
      </c>
      <c r="E108">
        <v>143.22</v>
      </c>
      <c r="F108">
        <v>99.94</v>
      </c>
      <c r="G108">
        <f>E108+F108</f>
        <v>243.16</v>
      </c>
      <c r="H108">
        <f>E108-F108</f>
        <v>43.28</v>
      </c>
      <c r="I108" t="s">
        <v>21</v>
      </c>
      <c r="J108" t="s">
        <v>33</v>
      </c>
      <c r="K108" t="str">
        <f>_xlfn.CONCAT(_xlfn.CONCAT(I108,"|"), J108)</f>
        <v>Todd|Jay</v>
      </c>
      <c r="L108">
        <v>0</v>
      </c>
      <c r="M108">
        <v>0</v>
      </c>
      <c r="N108">
        <v>0</v>
      </c>
    </row>
    <row r="109" spans="1:14" hidden="1" x14ac:dyDescent="0.2">
      <c r="A109">
        <v>2021</v>
      </c>
      <c r="B109">
        <v>5</v>
      </c>
      <c r="C109" t="s">
        <v>34</v>
      </c>
      <c r="D109" t="s">
        <v>19</v>
      </c>
      <c r="E109">
        <v>170.72</v>
      </c>
      <c r="F109">
        <v>127.5</v>
      </c>
      <c r="G109">
        <f>E109+F109</f>
        <v>298.22000000000003</v>
      </c>
      <c r="H109">
        <f>E109-F109</f>
        <v>43.22</v>
      </c>
      <c r="I109" t="s">
        <v>36</v>
      </c>
      <c r="J109" t="s">
        <v>21</v>
      </c>
      <c r="K109" t="str">
        <f>_xlfn.CONCAT(_xlfn.CONCAT(I109,"|"), J109)</f>
        <v>Will|Todd</v>
      </c>
      <c r="L109">
        <v>0</v>
      </c>
      <c r="M109">
        <v>0</v>
      </c>
      <c r="N109">
        <v>0</v>
      </c>
    </row>
    <row r="110" spans="1:14" hidden="1" x14ac:dyDescent="0.2">
      <c r="A110">
        <v>2022</v>
      </c>
      <c r="B110">
        <v>2</v>
      </c>
      <c r="C110" t="s">
        <v>40</v>
      </c>
      <c r="D110" t="s">
        <v>42</v>
      </c>
      <c r="E110">
        <v>164.76</v>
      </c>
      <c r="F110">
        <v>121.72</v>
      </c>
      <c r="G110">
        <f>E110+F110</f>
        <v>286.48</v>
      </c>
      <c r="H110">
        <f>E110-F110</f>
        <v>43.039999999999992</v>
      </c>
      <c r="I110" t="s">
        <v>29</v>
      </c>
      <c r="J110" t="s">
        <v>17</v>
      </c>
      <c r="K110" t="str">
        <f>_xlfn.CONCAT(_xlfn.CONCAT(I110,"|"), J110)</f>
        <v>Eli|Mike</v>
      </c>
      <c r="L110">
        <v>0</v>
      </c>
      <c r="M110">
        <v>0</v>
      </c>
      <c r="N110">
        <v>0</v>
      </c>
    </row>
    <row r="111" spans="1:14" hidden="1" x14ac:dyDescent="0.2">
      <c r="A111">
        <v>2021</v>
      </c>
      <c r="B111">
        <v>14</v>
      </c>
      <c r="C111" t="s">
        <v>26</v>
      </c>
      <c r="D111" t="s">
        <v>34</v>
      </c>
      <c r="E111">
        <v>125.38</v>
      </c>
      <c r="F111">
        <v>82.6</v>
      </c>
      <c r="G111">
        <f>E111+F111</f>
        <v>207.98</v>
      </c>
      <c r="H111">
        <f>E111-F111</f>
        <v>42.78</v>
      </c>
      <c r="I111" t="s">
        <v>28</v>
      </c>
      <c r="J111" t="s">
        <v>36</v>
      </c>
      <c r="K111" t="str">
        <f>_xlfn.CONCAT(_xlfn.CONCAT(I111,"|"), J111)</f>
        <v>Tommy|Will</v>
      </c>
      <c r="L111">
        <v>0</v>
      </c>
      <c r="M111">
        <v>0</v>
      </c>
      <c r="N111">
        <v>0</v>
      </c>
    </row>
    <row r="112" spans="1:14" hidden="1" x14ac:dyDescent="0.2">
      <c r="A112">
        <v>2023</v>
      </c>
      <c r="B112">
        <v>3</v>
      </c>
      <c r="C112" t="s">
        <v>31</v>
      </c>
      <c r="D112" t="s">
        <v>42</v>
      </c>
      <c r="E112">
        <v>153.66</v>
      </c>
      <c r="F112">
        <v>110.9</v>
      </c>
      <c r="G112">
        <f>E112+F112</f>
        <v>264.56</v>
      </c>
      <c r="H112">
        <f>E112-F112</f>
        <v>42.759999999999991</v>
      </c>
      <c r="I112" t="s">
        <v>33</v>
      </c>
      <c r="J112" t="s">
        <v>17</v>
      </c>
      <c r="K112" t="str">
        <f>_xlfn.CONCAT(_xlfn.CONCAT(I112,"|"), J112)</f>
        <v>Jay|Mike</v>
      </c>
      <c r="L112">
        <v>0</v>
      </c>
      <c r="M112">
        <v>0</v>
      </c>
      <c r="N112">
        <v>0</v>
      </c>
    </row>
    <row r="113" spans="1:14" hidden="1" x14ac:dyDescent="0.2">
      <c r="A113">
        <v>2023</v>
      </c>
      <c r="B113">
        <v>5</v>
      </c>
      <c r="C113" t="s">
        <v>35</v>
      </c>
      <c r="D113" t="s">
        <v>51</v>
      </c>
      <c r="E113">
        <v>115.58</v>
      </c>
      <c r="F113">
        <v>73.239999999999995</v>
      </c>
      <c r="G113">
        <f>E113+F113</f>
        <v>188.82</v>
      </c>
      <c r="H113">
        <f>E113-F113</f>
        <v>42.34</v>
      </c>
      <c r="I113" t="s">
        <v>49</v>
      </c>
      <c r="J113" t="s">
        <v>21</v>
      </c>
      <c r="K113" t="str">
        <f>_xlfn.CONCAT(_xlfn.CONCAT(I113,"|"), J113)</f>
        <v>Brand|Todd</v>
      </c>
      <c r="L113">
        <v>0</v>
      </c>
      <c r="M113">
        <v>0</v>
      </c>
      <c r="N113">
        <v>0</v>
      </c>
    </row>
    <row r="114" spans="1:14" hidden="1" x14ac:dyDescent="0.2">
      <c r="A114">
        <v>2022</v>
      </c>
      <c r="B114">
        <v>2</v>
      </c>
      <c r="C114" t="s">
        <v>39</v>
      </c>
      <c r="D114" t="s">
        <v>23</v>
      </c>
      <c r="E114">
        <v>106.86</v>
      </c>
      <c r="F114">
        <v>65.099999999999994</v>
      </c>
      <c r="G114">
        <f>E114+F114</f>
        <v>171.95999999999998</v>
      </c>
      <c r="H114">
        <f>E114-F114</f>
        <v>41.760000000000005</v>
      </c>
      <c r="I114" t="s">
        <v>32</v>
      </c>
      <c r="J114" t="s">
        <v>25</v>
      </c>
      <c r="K114" t="str">
        <f>_xlfn.CONCAT(_xlfn.CONCAT(I114,"|"), J114)</f>
        <v>Cam|Burnett</v>
      </c>
      <c r="L114">
        <v>0</v>
      </c>
      <c r="M114">
        <v>0</v>
      </c>
      <c r="N114">
        <v>0</v>
      </c>
    </row>
    <row r="115" spans="1:14" hidden="1" x14ac:dyDescent="0.2">
      <c r="A115">
        <v>2021</v>
      </c>
      <c r="B115">
        <v>11</v>
      </c>
      <c r="C115" t="s">
        <v>34</v>
      </c>
      <c r="D115" t="s">
        <v>31</v>
      </c>
      <c r="E115">
        <v>124.98</v>
      </c>
      <c r="F115">
        <v>83.8</v>
      </c>
      <c r="G115">
        <f>E115+F115</f>
        <v>208.78</v>
      </c>
      <c r="H115">
        <f>E115-F115</f>
        <v>41.180000000000007</v>
      </c>
      <c r="I115" t="s">
        <v>36</v>
      </c>
      <c r="J115" t="s">
        <v>33</v>
      </c>
      <c r="K115" t="str">
        <f>_xlfn.CONCAT(_xlfn.CONCAT(I115,"|"), J115)</f>
        <v>Will|Jay</v>
      </c>
      <c r="L115">
        <v>0</v>
      </c>
      <c r="M115">
        <v>0</v>
      </c>
      <c r="N115">
        <v>0</v>
      </c>
    </row>
    <row r="116" spans="1:14" hidden="1" x14ac:dyDescent="0.2">
      <c r="A116">
        <v>2023</v>
      </c>
      <c r="B116">
        <v>12</v>
      </c>
      <c r="C116" t="s">
        <v>46</v>
      </c>
      <c r="D116" t="s">
        <v>42</v>
      </c>
      <c r="E116">
        <v>134.06</v>
      </c>
      <c r="F116">
        <v>92.98</v>
      </c>
      <c r="G116">
        <f>E116+F116</f>
        <v>227.04000000000002</v>
      </c>
      <c r="H116">
        <f>E116-F116</f>
        <v>41.08</v>
      </c>
      <c r="I116" t="s">
        <v>47</v>
      </c>
      <c r="J116" t="s">
        <v>17</v>
      </c>
      <c r="K116" t="str">
        <f>_xlfn.CONCAT(_xlfn.CONCAT(I116,"|"), J116)</f>
        <v>Burnett/Jasjaap|Mike</v>
      </c>
      <c r="L116">
        <v>0</v>
      </c>
      <c r="M116">
        <v>0</v>
      </c>
      <c r="N116">
        <v>0</v>
      </c>
    </row>
    <row r="117" spans="1:14" hidden="1" x14ac:dyDescent="0.2">
      <c r="A117">
        <v>2024</v>
      </c>
      <c r="B117">
        <v>6</v>
      </c>
      <c r="C117" t="s">
        <v>76</v>
      </c>
      <c r="D117" t="s">
        <v>14</v>
      </c>
      <c r="E117">
        <v>130.12</v>
      </c>
      <c r="F117">
        <v>89.3</v>
      </c>
      <c r="G117">
        <f>E117+F117</f>
        <v>219.42000000000002</v>
      </c>
      <c r="H117">
        <f>E117-F117</f>
        <v>40.820000000000007</v>
      </c>
      <c r="I117" t="s">
        <v>32</v>
      </c>
      <c r="J117" t="s">
        <v>16</v>
      </c>
      <c r="K117" t="str">
        <f>_xlfn.CONCAT(_xlfn.CONCAT(I117,"|"), J117)</f>
        <v>Cam|Brenton</v>
      </c>
      <c r="L117">
        <v>0</v>
      </c>
      <c r="M117">
        <v>0</v>
      </c>
      <c r="N117">
        <v>0</v>
      </c>
    </row>
    <row r="118" spans="1:14" hidden="1" x14ac:dyDescent="0.2">
      <c r="A118">
        <v>2024</v>
      </c>
      <c r="B118">
        <v>12</v>
      </c>
      <c r="C118" t="s">
        <v>75</v>
      </c>
      <c r="D118" t="s">
        <v>31</v>
      </c>
      <c r="E118">
        <v>109.76</v>
      </c>
      <c r="F118">
        <v>68.98</v>
      </c>
      <c r="G118">
        <f>E118+F118</f>
        <v>178.74</v>
      </c>
      <c r="H118">
        <f>E118-F118</f>
        <v>40.78</v>
      </c>
      <c r="I118" t="s">
        <v>36</v>
      </c>
      <c r="J118" t="s">
        <v>33</v>
      </c>
      <c r="K118" t="str">
        <f>_xlfn.CONCAT(_xlfn.CONCAT(I118,"|"), J118)</f>
        <v>Will|Jay</v>
      </c>
      <c r="L118">
        <v>0</v>
      </c>
      <c r="M118">
        <v>0</v>
      </c>
      <c r="N118">
        <v>0</v>
      </c>
    </row>
    <row r="119" spans="1:14" hidden="1" x14ac:dyDescent="0.2">
      <c r="A119">
        <v>2024</v>
      </c>
      <c r="B119">
        <v>10</v>
      </c>
      <c r="C119" t="s">
        <v>76</v>
      </c>
      <c r="D119" t="s">
        <v>26</v>
      </c>
      <c r="E119">
        <v>136.52000000000001</v>
      </c>
      <c r="F119">
        <v>96.3</v>
      </c>
      <c r="G119">
        <f>E119+F119</f>
        <v>232.82</v>
      </c>
      <c r="H119">
        <f>E119-F119</f>
        <v>40.220000000000013</v>
      </c>
      <c r="I119" t="s">
        <v>32</v>
      </c>
      <c r="J119" t="s">
        <v>28</v>
      </c>
      <c r="K119" t="str">
        <f>_xlfn.CONCAT(_xlfn.CONCAT(I119,"|"), J119)</f>
        <v>Cam|Tommy</v>
      </c>
      <c r="L119">
        <v>0</v>
      </c>
      <c r="M119">
        <v>0</v>
      </c>
      <c r="N119">
        <v>0</v>
      </c>
    </row>
    <row r="120" spans="1:14" hidden="1" x14ac:dyDescent="0.2">
      <c r="A120">
        <v>2023</v>
      </c>
      <c r="B120">
        <v>10</v>
      </c>
      <c r="C120" t="s">
        <v>50</v>
      </c>
      <c r="D120" t="s">
        <v>51</v>
      </c>
      <c r="E120">
        <v>137.04</v>
      </c>
      <c r="F120">
        <v>96.82</v>
      </c>
      <c r="G120">
        <f>E120+F120</f>
        <v>233.85999999999999</v>
      </c>
      <c r="H120">
        <f>E120-F120</f>
        <v>40.22</v>
      </c>
      <c r="I120" t="s">
        <v>29</v>
      </c>
      <c r="J120" t="s">
        <v>21</v>
      </c>
      <c r="K120" t="str">
        <f>_xlfn.CONCAT(_xlfn.CONCAT(I120,"|"), J120)</f>
        <v>Eli|Todd</v>
      </c>
      <c r="L120">
        <v>0</v>
      </c>
      <c r="M120">
        <v>0</v>
      </c>
      <c r="N120">
        <v>0</v>
      </c>
    </row>
    <row r="121" spans="1:14" hidden="1" x14ac:dyDescent="0.2">
      <c r="A121">
        <v>2021</v>
      </c>
      <c r="B121">
        <v>13</v>
      </c>
      <c r="C121" t="s">
        <v>14</v>
      </c>
      <c r="D121" t="s">
        <v>35</v>
      </c>
      <c r="E121">
        <v>118.04</v>
      </c>
      <c r="F121">
        <v>78.16</v>
      </c>
      <c r="G121">
        <f>E121+F121</f>
        <v>196.2</v>
      </c>
      <c r="H121">
        <f>E121-F121</f>
        <v>39.88000000000001</v>
      </c>
      <c r="I121" t="s">
        <v>16</v>
      </c>
      <c r="J121" t="s">
        <v>37</v>
      </c>
      <c r="K121" t="str">
        <f>_xlfn.CONCAT(_xlfn.CONCAT(I121,"|"), J121)</f>
        <v>Brenton|Brand/Kevin</v>
      </c>
      <c r="L121">
        <v>0</v>
      </c>
      <c r="M121">
        <v>0</v>
      </c>
      <c r="N121">
        <v>0</v>
      </c>
    </row>
    <row r="122" spans="1:14" hidden="1" x14ac:dyDescent="0.2">
      <c r="A122">
        <v>2022</v>
      </c>
      <c r="B122">
        <v>3</v>
      </c>
      <c r="C122" t="s">
        <v>39</v>
      </c>
      <c r="D122" t="s">
        <v>40</v>
      </c>
      <c r="E122">
        <v>113.94</v>
      </c>
      <c r="F122">
        <v>74.459999999999994</v>
      </c>
      <c r="G122">
        <f>E122+F122</f>
        <v>188.39999999999998</v>
      </c>
      <c r="H122">
        <f>E122-F122</f>
        <v>39.480000000000004</v>
      </c>
      <c r="I122" t="s">
        <v>32</v>
      </c>
      <c r="J122" t="s">
        <v>29</v>
      </c>
      <c r="K122" t="str">
        <f>_xlfn.CONCAT(_xlfn.CONCAT(I122,"|"), J122)</f>
        <v>Cam|Eli</v>
      </c>
      <c r="L122">
        <v>0</v>
      </c>
      <c r="M122">
        <v>0</v>
      </c>
      <c r="N122">
        <v>0</v>
      </c>
    </row>
    <row r="123" spans="1:14" hidden="1" x14ac:dyDescent="0.2">
      <c r="A123">
        <v>2022</v>
      </c>
      <c r="B123">
        <v>7</v>
      </c>
      <c r="C123" t="s">
        <v>44</v>
      </c>
      <c r="D123" t="s">
        <v>23</v>
      </c>
      <c r="E123">
        <v>135.82</v>
      </c>
      <c r="F123">
        <v>96.44</v>
      </c>
      <c r="G123">
        <f>E123+F123</f>
        <v>232.26</v>
      </c>
      <c r="H123">
        <f>E123-F123</f>
        <v>39.379999999999995</v>
      </c>
      <c r="I123" t="s">
        <v>45</v>
      </c>
      <c r="J123" t="s">
        <v>25</v>
      </c>
      <c r="K123" t="str">
        <f>_xlfn.CONCAT(_xlfn.CONCAT(I123,"|"), J123)</f>
        <v>Kevin|Burnett</v>
      </c>
      <c r="L123">
        <v>0</v>
      </c>
      <c r="M123">
        <v>0</v>
      </c>
      <c r="N123">
        <v>0</v>
      </c>
    </row>
    <row r="124" spans="1:14" hidden="1" x14ac:dyDescent="0.2">
      <c r="A124">
        <v>2024</v>
      </c>
      <c r="B124">
        <v>14</v>
      </c>
      <c r="C124" t="s">
        <v>42</v>
      </c>
      <c r="D124" t="s">
        <v>31</v>
      </c>
      <c r="E124">
        <v>115.9</v>
      </c>
      <c r="F124">
        <v>76.62</v>
      </c>
      <c r="G124">
        <f>E124+F124</f>
        <v>192.52</v>
      </c>
      <c r="H124">
        <f>E124-F124</f>
        <v>39.28</v>
      </c>
      <c r="I124" t="s">
        <v>17</v>
      </c>
      <c r="J124" t="s">
        <v>33</v>
      </c>
      <c r="K124" t="str">
        <f>_xlfn.CONCAT(_xlfn.CONCAT(I124,"|"), J124)</f>
        <v>Mike|Jay</v>
      </c>
      <c r="L124">
        <v>0</v>
      </c>
      <c r="M124">
        <v>0</v>
      </c>
      <c r="N124">
        <v>0</v>
      </c>
    </row>
    <row r="125" spans="1:14" hidden="1" x14ac:dyDescent="0.2">
      <c r="A125">
        <v>2024</v>
      </c>
      <c r="B125">
        <v>3</v>
      </c>
      <c r="C125" t="s">
        <v>18</v>
      </c>
      <c r="D125" t="s">
        <v>35</v>
      </c>
      <c r="E125">
        <v>129.26</v>
      </c>
      <c r="F125">
        <v>89.98</v>
      </c>
      <c r="G125">
        <f>E125+F125</f>
        <v>219.24</v>
      </c>
      <c r="H125">
        <f>E125-F125</f>
        <v>39.279999999999987</v>
      </c>
      <c r="I125" t="s">
        <v>20</v>
      </c>
      <c r="J125" t="s">
        <v>49</v>
      </c>
      <c r="K125" t="str">
        <f>_xlfn.CONCAT(_xlfn.CONCAT(I125,"|"), J125)</f>
        <v>Schulwolf|Brand</v>
      </c>
      <c r="L125">
        <v>0</v>
      </c>
      <c r="M125">
        <v>0</v>
      </c>
      <c r="N125">
        <v>0</v>
      </c>
    </row>
    <row r="126" spans="1:14" hidden="1" x14ac:dyDescent="0.2">
      <c r="A126">
        <v>2022</v>
      </c>
      <c r="B126">
        <v>7</v>
      </c>
      <c r="C126" t="s">
        <v>40</v>
      </c>
      <c r="D126" t="s">
        <v>31</v>
      </c>
      <c r="E126">
        <v>138.12</v>
      </c>
      <c r="F126">
        <v>99.02</v>
      </c>
      <c r="G126">
        <f>E126+F126</f>
        <v>237.14</v>
      </c>
      <c r="H126">
        <f>E126-F126</f>
        <v>39.100000000000009</v>
      </c>
      <c r="I126" t="s">
        <v>29</v>
      </c>
      <c r="J126" t="s">
        <v>41</v>
      </c>
      <c r="K126" t="str">
        <f>_xlfn.CONCAT(_xlfn.CONCAT(I126,"|"), J126)</f>
        <v>Eli|Jay/Brand</v>
      </c>
      <c r="L126">
        <v>0</v>
      </c>
      <c r="M126">
        <v>0</v>
      </c>
      <c r="N126">
        <v>0</v>
      </c>
    </row>
    <row r="127" spans="1:14" hidden="1" x14ac:dyDescent="0.2">
      <c r="A127">
        <v>2025</v>
      </c>
      <c r="B127">
        <v>12</v>
      </c>
      <c r="C127" t="s">
        <v>18</v>
      </c>
      <c r="D127" t="s">
        <v>524</v>
      </c>
      <c r="E127">
        <v>132.96</v>
      </c>
      <c r="F127">
        <v>94.32</v>
      </c>
      <c r="G127">
        <f>E127+F127</f>
        <v>227.28</v>
      </c>
      <c r="H127">
        <f>E127-F127</f>
        <v>38.640000000000015</v>
      </c>
      <c r="I127" t="s">
        <v>20</v>
      </c>
      <c r="J127" t="s">
        <v>21</v>
      </c>
      <c r="K127" t="str">
        <f>_xlfn.CONCAT(_xlfn.CONCAT(I127,"|"), J127)</f>
        <v>Schulwolf|Todd</v>
      </c>
      <c r="L127">
        <v>0</v>
      </c>
      <c r="M127">
        <v>0</v>
      </c>
      <c r="N127">
        <v>0</v>
      </c>
    </row>
    <row r="128" spans="1:14" hidden="1" x14ac:dyDescent="0.2">
      <c r="A128">
        <v>2024</v>
      </c>
      <c r="B128">
        <v>5</v>
      </c>
      <c r="C128" t="s">
        <v>46</v>
      </c>
      <c r="D128" t="s">
        <v>35</v>
      </c>
      <c r="E128">
        <v>128.56</v>
      </c>
      <c r="F128">
        <v>90.06</v>
      </c>
      <c r="G128">
        <f>E128+F128</f>
        <v>218.62</v>
      </c>
      <c r="H128">
        <f>E128-F128</f>
        <v>38.5</v>
      </c>
      <c r="I128" t="s">
        <v>47</v>
      </c>
      <c r="J128" t="s">
        <v>49</v>
      </c>
      <c r="K128" t="str">
        <f>_xlfn.CONCAT(_xlfn.CONCAT(I128,"|"), J128)</f>
        <v>Burnett/Jasjaap|Brand</v>
      </c>
      <c r="L128">
        <v>0</v>
      </c>
      <c r="M128">
        <v>0</v>
      </c>
      <c r="N128">
        <v>0</v>
      </c>
    </row>
    <row r="129" spans="1:14" hidden="1" x14ac:dyDescent="0.2">
      <c r="A129">
        <v>2021</v>
      </c>
      <c r="B129">
        <v>7</v>
      </c>
      <c r="C129" t="s">
        <v>34</v>
      </c>
      <c r="D129" t="s">
        <v>14</v>
      </c>
      <c r="E129">
        <v>152.1</v>
      </c>
      <c r="F129">
        <v>114.14</v>
      </c>
      <c r="G129">
        <f>E129+F129</f>
        <v>266.24</v>
      </c>
      <c r="H129">
        <f>E129-F129</f>
        <v>37.959999999999994</v>
      </c>
      <c r="I129" t="s">
        <v>36</v>
      </c>
      <c r="J129" t="s">
        <v>16</v>
      </c>
      <c r="K129" t="str">
        <f>_xlfn.CONCAT(_xlfn.CONCAT(I129,"|"), J129)</f>
        <v>Will|Brenton</v>
      </c>
      <c r="L129">
        <v>0</v>
      </c>
      <c r="M129">
        <v>0</v>
      </c>
      <c r="N129">
        <v>0</v>
      </c>
    </row>
    <row r="130" spans="1:14" hidden="1" x14ac:dyDescent="0.2">
      <c r="A130">
        <v>2022</v>
      </c>
      <c r="B130">
        <v>3</v>
      </c>
      <c r="C130" t="s">
        <v>14</v>
      </c>
      <c r="D130" t="s">
        <v>44</v>
      </c>
      <c r="E130">
        <v>121.1</v>
      </c>
      <c r="F130">
        <v>83.38</v>
      </c>
      <c r="G130">
        <f>E130+F130</f>
        <v>204.48</v>
      </c>
      <c r="H130">
        <f>E130-F130</f>
        <v>37.72</v>
      </c>
      <c r="I130" t="s">
        <v>16</v>
      </c>
      <c r="J130" t="s">
        <v>45</v>
      </c>
      <c r="K130" t="str">
        <f>_xlfn.CONCAT(_xlfn.CONCAT(I130,"|"), J130)</f>
        <v>Brenton|Kevin</v>
      </c>
      <c r="L130">
        <v>0</v>
      </c>
      <c r="M130">
        <v>0</v>
      </c>
      <c r="N130">
        <v>0</v>
      </c>
    </row>
    <row r="131" spans="1:14" hidden="1" x14ac:dyDescent="0.2">
      <c r="A131">
        <v>2022</v>
      </c>
      <c r="B131">
        <v>13</v>
      </c>
      <c r="C131" t="s">
        <v>44</v>
      </c>
      <c r="D131" t="s">
        <v>26</v>
      </c>
      <c r="E131">
        <v>111.42</v>
      </c>
      <c r="F131">
        <v>73.84</v>
      </c>
      <c r="G131">
        <f>E131+F131</f>
        <v>185.26</v>
      </c>
      <c r="H131">
        <f>E131-F131</f>
        <v>37.58</v>
      </c>
      <c r="I131" t="s">
        <v>45</v>
      </c>
      <c r="J131" t="s">
        <v>28</v>
      </c>
      <c r="K131" t="str">
        <f>_xlfn.CONCAT(_xlfn.CONCAT(I131,"|"), J131)</f>
        <v>Kevin|Tommy</v>
      </c>
      <c r="L131">
        <v>0</v>
      </c>
      <c r="M131">
        <v>0</v>
      </c>
      <c r="N131">
        <v>0</v>
      </c>
    </row>
    <row r="132" spans="1:14" hidden="1" x14ac:dyDescent="0.2">
      <c r="A132">
        <v>2022</v>
      </c>
      <c r="B132">
        <v>8</v>
      </c>
      <c r="C132" t="s">
        <v>42</v>
      </c>
      <c r="D132" t="s">
        <v>14</v>
      </c>
      <c r="E132">
        <v>147.88</v>
      </c>
      <c r="F132">
        <v>110.54</v>
      </c>
      <c r="G132">
        <f>E132+F132</f>
        <v>258.42</v>
      </c>
      <c r="H132">
        <f>E132-F132</f>
        <v>37.339999999999989</v>
      </c>
      <c r="I132" t="s">
        <v>17</v>
      </c>
      <c r="J132" t="s">
        <v>16</v>
      </c>
      <c r="K132" t="str">
        <f>_xlfn.CONCAT(_xlfn.CONCAT(I132,"|"), J132)</f>
        <v>Mike|Brenton</v>
      </c>
      <c r="L132">
        <v>0</v>
      </c>
      <c r="M132">
        <v>0</v>
      </c>
      <c r="N132">
        <v>0</v>
      </c>
    </row>
    <row r="133" spans="1:14" hidden="1" x14ac:dyDescent="0.2">
      <c r="A133">
        <v>2025</v>
      </c>
      <c r="B133">
        <v>2</v>
      </c>
      <c r="C133" t="s">
        <v>46</v>
      </c>
      <c r="D133" t="s">
        <v>35</v>
      </c>
      <c r="E133">
        <v>115.64</v>
      </c>
      <c r="F133">
        <v>78.44</v>
      </c>
      <c r="G133">
        <f>E133+F133</f>
        <v>194.07999999999998</v>
      </c>
      <c r="H133">
        <f>E133-F133</f>
        <v>37.200000000000003</v>
      </c>
      <c r="I133" t="s">
        <v>47</v>
      </c>
      <c r="J133" t="s">
        <v>49</v>
      </c>
      <c r="K133" t="str">
        <f>_xlfn.CONCAT(_xlfn.CONCAT(I133,"|"), J133)</f>
        <v>Burnett/Jasjaap|Brand</v>
      </c>
      <c r="L133">
        <v>0</v>
      </c>
      <c r="M133">
        <v>0</v>
      </c>
      <c r="N133">
        <v>0</v>
      </c>
    </row>
    <row r="134" spans="1:14" hidden="1" x14ac:dyDescent="0.2">
      <c r="A134">
        <v>2021</v>
      </c>
      <c r="B134">
        <v>16</v>
      </c>
      <c r="C134" t="s">
        <v>22</v>
      </c>
      <c r="D134" t="s">
        <v>34</v>
      </c>
      <c r="E134">
        <v>137.88</v>
      </c>
      <c r="F134">
        <v>118.24</v>
      </c>
      <c r="G134">
        <f>E134+F134</f>
        <v>256.12</v>
      </c>
      <c r="H134">
        <f>E134-F134</f>
        <v>19.64</v>
      </c>
      <c r="I134" t="s">
        <v>24</v>
      </c>
      <c r="J134" t="s">
        <v>36</v>
      </c>
      <c r="K134" t="str">
        <f>_xlfn.CONCAT(_xlfn.CONCAT(I134,"|"), J134)</f>
        <v>Jasjaap|Will</v>
      </c>
      <c r="L134">
        <v>1</v>
      </c>
      <c r="M134">
        <v>1</v>
      </c>
      <c r="N134">
        <v>0</v>
      </c>
    </row>
    <row r="135" spans="1:14" hidden="1" x14ac:dyDescent="0.2">
      <c r="A135">
        <v>2025</v>
      </c>
      <c r="B135">
        <v>6</v>
      </c>
      <c r="C135" t="s">
        <v>46</v>
      </c>
      <c r="D135" t="s">
        <v>521</v>
      </c>
      <c r="E135">
        <v>124.94</v>
      </c>
      <c r="F135">
        <v>87.98</v>
      </c>
      <c r="G135">
        <f>E135+F135</f>
        <v>212.92000000000002</v>
      </c>
      <c r="H135">
        <f>E135-F135</f>
        <v>36.959999999999994</v>
      </c>
      <c r="I135" t="s">
        <v>47</v>
      </c>
      <c r="J135" t="s">
        <v>29</v>
      </c>
      <c r="K135" t="str">
        <f>_xlfn.CONCAT(_xlfn.CONCAT(I135,"|"), J135)</f>
        <v>Burnett/Jasjaap|Eli</v>
      </c>
      <c r="L135">
        <v>0</v>
      </c>
      <c r="M135">
        <v>0</v>
      </c>
      <c r="N135">
        <v>0</v>
      </c>
    </row>
    <row r="136" spans="1:14" hidden="1" x14ac:dyDescent="0.2">
      <c r="A136">
        <v>2025</v>
      </c>
      <c r="B136">
        <v>3</v>
      </c>
      <c r="C136" t="s">
        <v>524</v>
      </c>
      <c r="D136" t="s">
        <v>77</v>
      </c>
      <c r="E136">
        <v>121.22</v>
      </c>
      <c r="F136">
        <v>84.32</v>
      </c>
      <c r="G136">
        <f>E136+F136</f>
        <v>205.54</v>
      </c>
      <c r="H136">
        <f>E136-F136</f>
        <v>36.900000000000006</v>
      </c>
      <c r="I136" t="s">
        <v>21</v>
      </c>
      <c r="J136" t="s">
        <v>45</v>
      </c>
      <c r="K136" t="str">
        <f>_xlfn.CONCAT(_xlfn.CONCAT(I136,"|"), J136)</f>
        <v>Todd|Kevin</v>
      </c>
      <c r="L136">
        <v>0</v>
      </c>
      <c r="M136">
        <v>0</v>
      </c>
      <c r="N136">
        <v>0</v>
      </c>
    </row>
    <row r="137" spans="1:14" hidden="1" x14ac:dyDescent="0.2">
      <c r="A137">
        <v>2022</v>
      </c>
      <c r="B137">
        <v>6</v>
      </c>
      <c r="C137" t="s">
        <v>40</v>
      </c>
      <c r="D137" t="s">
        <v>22</v>
      </c>
      <c r="E137">
        <v>118.32</v>
      </c>
      <c r="F137">
        <v>81.72</v>
      </c>
      <c r="G137">
        <f>E137+F137</f>
        <v>200.04</v>
      </c>
      <c r="H137">
        <f>E137-F137</f>
        <v>36.599999999999994</v>
      </c>
      <c r="I137" t="s">
        <v>29</v>
      </c>
      <c r="J137" t="s">
        <v>24</v>
      </c>
      <c r="K137" t="str">
        <f>_xlfn.CONCAT(_xlfn.CONCAT(I137,"|"), J137)</f>
        <v>Eli|Jasjaap</v>
      </c>
      <c r="L137">
        <v>0</v>
      </c>
      <c r="M137">
        <v>0</v>
      </c>
      <c r="N137">
        <v>0</v>
      </c>
    </row>
    <row r="138" spans="1:14" hidden="1" x14ac:dyDescent="0.2">
      <c r="A138">
        <v>2021</v>
      </c>
      <c r="B138">
        <v>1</v>
      </c>
      <c r="C138" t="s">
        <v>14</v>
      </c>
      <c r="D138" t="s">
        <v>15</v>
      </c>
      <c r="E138">
        <v>154.96</v>
      </c>
      <c r="F138">
        <v>118.82</v>
      </c>
      <c r="G138">
        <f>E138+F138</f>
        <v>273.77999999999997</v>
      </c>
      <c r="H138">
        <f>E138-F138</f>
        <v>36.140000000000015</v>
      </c>
      <c r="I138" t="s">
        <v>16</v>
      </c>
      <c r="J138" t="s">
        <v>17</v>
      </c>
      <c r="K138" t="str">
        <f>_xlfn.CONCAT(_xlfn.CONCAT(I138,"|"), J138)</f>
        <v>Brenton|Mike</v>
      </c>
      <c r="L138">
        <v>0</v>
      </c>
      <c r="M138">
        <v>0</v>
      </c>
      <c r="N138">
        <v>0</v>
      </c>
    </row>
    <row r="139" spans="1:14" hidden="1" x14ac:dyDescent="0.2">
      <c r="A139">
        <v>2024</v>
      </c>
      <c r="B139">
        <v>6</v>
      </c>
      <c r="C139" t="s">
        <v>35</v>
      </c>
      <c r="D139" t="s">
        <v>75</v>
      </c>
      <c r="E139">
        <v>122.2</v>
      </c>
      <c r="F139">
        <v>86.08</v>
      </c>
      <c r="G139">
        <f>E139+F139</f>
        <v>208.28</v>
      </c>
      <c r="H139">
        <f>E139-F139</f>
        <v>36.120000000000005</v>
      </c>
      <c r="I139" t="s">
        <v>49</v>
      </c>
      <c r="J139" t="s">
        <v>36</v>
      </c>
      <c r="K139" t="str">
        <f>_xlfn.CONCAT(_xlfn.CONCAT(I139,"|"), J139)</f>
        <v>Brand|Will</v>
      </c>
      <c r="L139">
        <v>0</v>
      </c>
      <c r="M139">
        <v>0</v>
      </c>
      <c r="N139">
        <v>0</v>
      </c>
    </row>
    <row r="140" spans="1:14" hidden="1" x14ac:dyDescent="0.2">
      <c r="A140">
        <v>2021</v>
      </c>
      <c r="B140">
        <v>7</v>
      </c>
      <c r="C140" t="s">
        <v>30</v>
      </c>
      <c r="D140" t="s">
        <v>15</v>
      </c>
      <c r="E140">
        <v>145.13999999999999</v>
      </c>
      <c r="F140">
        <v>109.08</v>
      </c>
      <c r="G140">
        <f>E140+F140</f>
        <v>254.21999999999997</v>
      </c>
      <c r="H140">
        <f>E140-F140</f>
        <v>36.059999999999988</v>
      </c>
      <c r="I140" t="s">
        <v>32</v>
      </c>
      <c r="J140" t="s">
        <v>17</v>
      </c>
      <c r="K140" t="str">
        <f>_xlfn.CONCAT(_xlfn.CONCAT(I140,"|"), J140)</f>
        <v>Cam|Mike</v>
      </c>
      <c r="L140">
        <v>0</v>
      </c>
      <c r="M140">
        <v>0</v>
      </c>
      <c r="N140">
        <v>0</v>
      </c>
    </row>
    <row r="141" spans="1:14" hidden="1" x14ac:dyDescent="0.2">
      <c r="A141">
        <v>2024</v>
      </c>
      <c r="B141">
        <v>14</v>
      </c>
      <c r="C141" t="s">
        <v>77</v>
      </c>
      <c r="D141" t="s">
        <v>14</v>
      </c>
      <c r="E141">
        <v>134.52000000000001</v>
      </c>
      <c r="F141">
        <v>98.6</v>
      </c>
      <c r="G141">
        <f>E141+F141</f>
        <v>233.12</v>
      </c>
      <c r="H141">
        <f>E141-F141</f>
        <v>35.920000000000016</v>
      </c>
      <c r="I141" t="s">
        <v>45</v>
      </c>
      <c r="J141" t="s">
        <v>16</v>
      </c>
      <c r="K141" t="str">
        <f>_xlfn.CONCAT(_xlfn.CONCAT(I141,"|"), J141)</f>
        <v>Kevin|Brenton</v>
      </c>
      <c r="L141">
        <v>0</v>
      </c>
      <c r="M141">
        <v>0</v>
      </c>
      <c r="N141">
        <v>0</v>
      </c>
    </row>
    <row r="142" spans="1:14" hidden="1" x14ac:dyDescent="0.2">
      <c r="A142">
        <v>2024</v>
      </c>
      <c r="B142">
        <v>4</v>
      </c>
      <c r="C142" t="s">
        <v>18</v>
      </c>
      <c r="D142" t="s">
        <v>46</v>
      </c>
      <c r="E142">
        <v>120.92</v>
      </c>
      <c r="F142">
        <v>85.32</v>
      </c>
      <c r="G142">
        <f>E142+F142</f>
        <v>206.24</v>
      </c>
      <c r="H142">
        <f>E142-F142</f>
        <v>35.600000000000009</v>
      </c>
      <c r="I142" t="s">
        <v>20</v>
      </c>
      <c r="J142" t="s">
        <v>47</v>
      </c>
      <c r="K142" t="str">
        <f>_xlfn.CONCAT(_xlfn.CONCAT(I142,"|"), J142)</f>
        <v>Schulwolf|Burnett/Jasjaap</v>
      </c>
      <c r="L142">
        <v>0</v>
      </c>
      <c r="M142">
        <v>0</v>
      </c>
      <c r="N142">
        <v>0</v>
      </c>
    </row>
    <row r="143" spans="1:14" hidden="1" x14ac:dyDescent="0.2">
      <c r="A143">
        <v>2023</v>
      </c>
      <c r="B143">
        <v>6</v>
      </c>
      <c r="C143" t="s">
        <v>52</v>
      </c>
      <c r="D143" t="s">
        <v>35</v>
      </c>
      <c r="E143">
        <v>117.02</v>
      </c>
      <c r="F143">
        <v>81.540000000000006</v>
      </c>
      <c r="G143">
        <f>E143+F143</f>
        <v>198.56</v>
      </c>
      <c r="H143">
        <f>E143-F143</f>
        <v>35.47999999999999</v>
      </c>
      <c r="I143" t="s">
        <v>32</v>
      </c>
      <c r="J143" t="s">
        <v>49</v>
      </c>
      <c r="K143" t="str">
        <f>_xlfn.CONCAT(_xlfn.CONCAT(I143,"|"), J143)</f>
        <v>Cam|Brand</v>
      </c>
      <c r="L143">
        <v>0</v>
      </c>
      <c r="M143">
        <v>0</v>
      </c>
      <c r="N143">
        <v>0</v>
      </c>
    </row>
    <row r="144" spans="1:14" hidden="1" x14ac:dyDescent="0.2">
      <c r="A144">
        <v>2023</v>
      </c>
      <c r="B144">
        <v>3</v>
      </c>
      <c r="C144" t="s">
        <v>46</v>
      </c>
      <c r="D144" t="s">
        <v>48</v>
      </c>
      <c r="E144">
        <v>158.44</v>
      </c>
      <c r="F144">
        <v>123.06</v>
      </c>
      <c r="G144">
        <f>E144+F144</f>
        <v>281.5</v>
      </c>
      <c r="H144">
        <f>E144-F144</f>
        <v>35.379999999999995</v>
      </c>
      <c r="I144" t="s">
        <v>47</v>
      </c>
      <c r="J144" t="s">
        <v>36</v>
      </c>
      <c r="K144" t="str">
        <f>_xlfn.CONCAT(_xlfn.CONCAT(I144,"|"), J144)</f>
        <v>Burnett/Jasjaap|Will</v>
      </c>
      <c r="L144">
        <v>0</v>
      </c>
      <c r="M144">
        <v>0</v>
      </c>
      <c r="N144">
        <v>0</v>
      </c>
    </row>
    <row r="145" spans="1:14" hidden="1" x14ac:dyDescent="0.2">
      <c r="A145">
        <v>2025</v>
      </c>
      <c r="B145">
        <v>10</v>
      </c>
      <c r="C145" t="s">
        <v>526</v>
      </c>
      <c r="D145" t="s">
        <v>26</v>
      </c>
      <c r="E145">
        <v>137.1</v>
      </c>
      <c r="F145">
        <v>101.78</v>
      </c>
      <c r="G145">
        <f>E145+F145</f>
        <v>238.88</v>
      </c>
      <c r="H145">
        <f>E145-F145</f>
        <v>35.319999999999993</v>
      </c>
      <c r="I145" t="s">
        <v>32</v>
      </c>
      <c r="J145" t="s">
        <v>28</v>
      </c>
      <c r="K145" t="str">
        <f>_xlfn.CONCAT(_xlfn.CONCAT(I145,"|"), J145)</f>
        <v>Cam|Tommy</v>
      </c>
      <c r="L145">
        <v>0</v>
      </c>
      <c r="M145">
        <v>0</v>
      </c>
      <c r="N145">
        <v>0</v>
      </c>
    </row>
    <row r="146" spans="1:14" hidden="1" x14ac:dyDescent="0.2">
      <c r="A146">
        <v>2022</v>
      </c>
      <c r="B146">
        <v>6</v>
      </c>
      <c r="C146" t="s">
        <v>14</v>
      </c>
      <c r="D146" t="s">
        <v>26</v>
      </c>
      <c r="E146">
        <v>150.1</v>
      </c>
      <c r="F146">
        <v>114.86</v>
      </c>
      <c r="G146">
        <f>E146+F146</f>
        <v>264.95999999999998</v>
      </c>
      <c r="H146">
        <f>E146-F146</f>
        <v>35.239999999999995</v>
      </c>
      <c r="I146" t="s">
        <v>16</v>
      </c>
      <c r="J146" t="s">
        <v>28</v>
      </c>
      <c r="K146" t="str">
        <f>_xlfn.CONCAT(_xlfn.CONCAT(I146,"|"), J146)</f>
        <v>Brenton|Tommy</v>
      </c>
      <c r="L146">
        <v>0</v>
      </c>
      <c r="M146">
        <v>0</v>
      </c>
      <c r="N146">
        <v>0</v>
      </c>
    </row>
    <row r="147" spans="1:14" hidden="1" x14ac:dyDescent="0.2">
      <c r="A147">
        <v>2023</v>
      </c>
      <c r="B147">
        <v>10</v>
      </c>
      <c r="C147" t="s">
        <v>14</v>
      </c>
      <c r="D147" t="s">
        <v>42</v>
      </c>
      <c r="E147">
        <v>144.08000000000001</v>
      </c>
      <c r="F147">
        <v>108.92</v>
      </c>
      <c r="G147">
        <f>E147+F147</f>
        <v>253</v>
      </c>
      <c r="H147">
        <f>E147-F147</f>
        <v>35.160000000000011</v>
      </c>
      <c r="I147" t="s">
        <v>16</v>
      </c>
      <c r="J147" t="s">
        <v>17</v>
      </c>
      <c r="K147" t="str">
        <f>_xlfn.CONCAT(_xlfn.CONCAT(I147,"|"), J147)</f>
        <v>Brenton|Mike</v>
      </c>
      <c r="L147">
        <v>0</v>
      </c>
      <c r="M147">
        <v>0</v>
      </c>
      <c r="N147">
        <v>0</v>
      </c>
    </row>
    <row r="148" spans="1:14" hidden="1" x14ac:dyDescent="0.2">
      <c r="A148">
        <v>2021</v>
      </c>
      <c r="B148">
        <v>14</v>
      </c>
      <c r="C148" t="s">
        <v>22</v>
      </c>
      <c r="D148" t="s">
        <v>15</v>
      </c>
      <c r="E148">
        <v>160.38</v>
      </c>
      <c r="F148">
        <v>125.24</v>
      </c>
      <c r="G148">
        <f>E148+F148</f>
        <v>285.62</v>
      </c>
      <c r="H148">
        <f>E148-F148</f>
        <v>35.14</v>
      </c>
      <c r="I148" t="s">
        <v>24</v>
      </c>
      <c r="J148" t="s">
        <v>17</v>
      </c>
      <c r="K148" t="str">
        <f>_xlfn.CONCAT(_xlfn.CONCAT(I148,"|"), J148)</f>
        <v>Jasjaap|Mike</v>
      </c>
      <c r="L148">
        <v>0</v>
      </c>
      <c r="M148">
        <v>0</v>
      </c>
      <c r="N148">
        <v>0</v>
      </c>
    </row>
    <row r="149" spans="1:14" hidden="1" x14ac:dyDescent="0.2">
      <c r="A149">
        <v>2021</v>
      </c>
      <c r="B149">
        <v>15</v>
      </c>
      <c r="C149" t="s">
        <v>22</v>
      </c>
      <c r="D149" t="s">
        <v>14</v>
      </c>
      <c r="E149">
        <v>123.66</v>
      </c>
      <c r="F149">
        <v>88.54</v>
      </c>
      <c r="G149">
        <f>E149+F149</f>
        <v>212.2</v>
      </c>
      <c r="H149">
        <f>E149-F149</f>
        <v>35.11999999999999</v>
      </c>
      <c r="I149" t="s">
        <v>24</v>
      </c>
      <c r="J149" t="s">
        <v>16</v>
      </c>
      <c r="K149" t="str">
        <f>_xlfn.CONCAT(_xlfn.CONCAT(I149,"|"), J149)</f>
        <v>Jasjaap|Brenton</v>
      </c>
      <c r="L149">
        <v>0</v>
      </c>
      <c r="M149">
        <v>0</v>
      </c>
      <c r="N149">
        <v>0</v>
      </c>
    </row>
    <row r="150" spans="1:14" hidden="1" x14ac:dyDescent="0.2">
      <c r="A150">
        <v>2024</v>
      </c>
      <c r="B150">
        <v>6</v>
      </c>
      <c r="C150" t="s">
        <v>18</v>
      </c>
      <c r="D150" t="s">
        <v>73</v>
      </c>
      <c r="E150">
        <v>121.26</v>
      </c>
      <c r="F150">
        <v>86.42</v>
      </c>
      <c r="G150">
        <f>E150+F150</f>
        <v>207.68</v>
      </c>
      <c r="H150">
        <f>E150-F150</f>
        <v>34.840000000000003</v>
      </c>
      <c r="I150" t="s">
        <v>20</v>
      </c>
      <c r="J150" t="s">
        <v>21</v>
      </c>
      <c r="K150" t="str">
        <f>_xlfn.CONCAT(_xlfn.CONCAT(I150,"|"), J150)</f>
        <v>Schulwolf|Todd</v>
      </c>
      <c r="L150">
        <v>0</v>
      </c>
      <c r="M150">
        <v>0</v>
      </c>
      <c r="N150">
        <v>0</v>
      </c>
    </row>
    <row r="151" spans="1:14" hidden="1" x14ac:dyDescent="0.2">
      <c r="A151">
        <v>2021</v>
      </c>
      <c r="B151">
        <v>9</v>
      </c>
      <c r="C151" t="s">
        <v>26</v>
      </c>
      <c r="D151" t="s">
        <v>14</v>
      </c>
      <c r="E151">
        <v>123.24</v>
      </c>
      <c r="F151">
        <v>88.5</v>
      </c>
      <c r="G151">
        <f>E151+F151</f>
        <v>211.74</v>
      </c>
      <c r="H151">
        <f>E151-F151</f>
        <v>34.739999999999995</v>
      </c>
      <c r="I151" t="s">
        <v>28</v>
      </c>
      <c r="J151" t="s">
        <v>16</v>
      </c>
      <c r="K151" t="str">
        <f>_xlfn.CONCAT(_xlfn.CONCAT(I151,"|"), J151)</f>
        <v>Tommy|Brenton</v>
      </c>
      <c r="L151">
        <v>0</v>
      </c>
      <c r="M151">
        <v>0</v>
      </c>
      <c r="N151">
        <v>0</v>
      </c>
    </row>
    <row r="152" spans="1:14" hidden="1" x14ac:dyDescent="0.2">
      <c r="A152">
        <v>2015</v>
      </c>
      <c r="B152">
        <v>15</v>
      </c>
      <c r="C152" t="s">
        <v>31</v>
      </c>
      <c r="D152" t="s">
        <v>61</v>
      </c>
      <c r="E152">
        <v>142.84</v>
      </c>
      <c r="F152">
        <v>107.86</v>
      </c>
      <c r="G152">
        <f>E152+F152</f>
        <v>250.7</v>
      </c>
      <c r="H152">
        <f>E152-F152</f>
        <v>34.980000000000004</v>
      </c>
      <c r="I152" t="s">
        <v>33</v>
      </c>
      <c r="J152" t="s">
        <v>62</v>
      </c>
      <c r="K152" t="str">
        <f>_xlfn.CONCAT(_xlfn.CONCAT(I152,"|"), J152)</f>
        <v>Jay|Codola</v>
      </c>
      <c r="L152">
        <v>1</v>
      </c>
      <c r="M152">
        <v>1</v>
      </c>
      <c r="N152">
        <v>0</v>
      </c>
    </row>
    <row r="153" spans="1:14" hidden="1" x14ac:dyDescent="0.2">
      <c r="A153">
        <v>2025</v>
      </c>
      <c r="B153">
        <v>9</v>
      </c>
      <c r="C153" t="s">
        <v>35</v>
      </c>
      <c r="D153" t="s">
        <v>525</v>
      </c>
      <c r="E153">
        <v>148.04</v>
      </c>
      <c r="F153">
        <v>113.8</v>
      </c>
      <c r="G153">
        <f>E153+F153</f>
        <v>261.83999999999997</v>
      </c>
      <c r="H153">
        <f>E153-F153</f>
        <v>34.239999999999995</v>
      </c>
      <c r="I153" t="s">
        <v>49</v>
      </c>
      <c r="J153" t="s">
        <v>36</v>
      </c>
      <c r="K153" t="str">
        <f>_xlfn.CONCAT(_xlfn.CONCAT(I153,"|"), J153)</f>
        <v>Brand|Will</v>
      </c>
      <c r="L153">
        <v>0</v>
      </c>
      <c r="M153">
        <v>0</v>
      </c>
      <c r="N153">
        <v>0</v>
      </c>
    </row>
    <row r="154" spans="1:14" hidden="1" x14ac:dyDescent="0.2">
      <c r="A154">
        <v>2021</v>
      </c>
      <c r="B154">
        <v>17</v>
      </c>
      <c r="C154" t="s">
        <v>30</v>
      </c>
      <c r="D154" t="s">
        <v>22</v>
      </c>
      <c r="E154">
        <v>130.32</v>
      </c>
      <c r="F154">
        <v>114.86</v>
      </c>
      <c r="G154">
        <f>E154+F154</f>
        <v>245.18</v>
      </c>
      <c r="H154">
        <f>E154-F154</f>
        <v>15.459999999999994</v>
      </c>
      <c r="I154" t="s">
        <v>32</v>
      </c>
      <c r="J154" t="s">
        <v>24</v>
      </c>
      <c r="K154" t="str">
        <f>_xlfn.CONCAT(_xlfn.CONCAT(I154,"|"), J154)</f>
        <v>Cam|Jasjaap</v>
      </c>
      <c r="L154">
        <v>1</v>
      </c>
      <c r="M154">
        <v>0</v>
      </c>
      <c r="N154">
        <v>1</v>
      </c>
    </row>
    <row r="155" spans="1:14" hidden="1" x14ac:dyDescent="0.2">
      <c r="A155">
        <v>2023</v>
      </c>
      <c r="B155">
        <v>10</v>
      </c>
      <c r="C155" t="s">
        <v>48</v>
      </c>
      <c r="D155" t="s">
        <v>44</v>
      </c>
      <c r="E155">
        <v>143.96</v>
      </c>
      <c r="F155">
        <v>110.08</v>
      </c>
      <c r="G155">
        <f>E155+F155</f>
        <v>254.04000000000002</v>
      </c>
      <c r="H155">
        <f>E155-F155</f>
        <v>33.88000000000001</v>
      </c>
      <c r="I155" t="s">
        <v>36</v>
      </c>
      <c r="J155" t="s">
        <v>45</v>
      </c>
      <c r="K155" t="str">
        <f>_xlfn.CONCAT(_xlfn.CONCAT(I155,"|"), J155)</f>
        <v>Will|Kevin</v>
      </c>
      <c r="L155">
        <v>0</v>
      </c>
      <c r="M155">
        <v>0</v>
      </c>
      <c r="N155">
        <v>0</v>
      </c>
    </row>
    <row r="156" spans="1:14" hidden="1" x14ac:dyDescent="0.2">
      <c r="A156">
        <v>2023</v>
      </c>
      <c r="B156">
        <v>8</v>
      </c>
      <c r="C156" t="s">
        <v>14</v>
      </c>
      <c r="D156" t="s">
        <v>46</v>
      </c>
      <c r="E156">
        <v>141.66</v>
      </c>
      <c r="F156">
        <v>107.8</v>
      </c>
      <c r="G156">
        <f>E156+F156</f>
        <v>249.45999999999998</v>
      </c>
      <c r="H156">
        <f>E156-F156</f>
        <v>33.86</v>
      </c>
      <c r="I156" t="s">
        <v>16</v>
      </c>
      <c r="J156" t="s">
        <v>47</v>
      </c>
      <c r="K156" t="str">
        <f>_xlfn.CONCAT(_xlfn.CONCAT(I156,"|"), J156)</f>
        <v>Brenton|Burnett/Jasjaap</v>
      </c>
      <c r="L156">
        <v>0</v>
      </c>
      <c r="M156">
        <v>0</v>
      </c>
      <c r="N156">
        <v>0</v>
      </c>
    </row>
    <row r="157" spans="1:14" hidden="1" x14ac:dyDescent="0.2">
      <c r="A157">
        <v>2022</v>
      </c>
      <c r="B157">
        <v>7</v>
      </c>
      <c r="C157" t="s">
        <v>43</v>
      </c>
      <c r="D157" t="s">
        <v>39</v>
      </c>
      <c r="E157">
        <v>129.80000000000001</v>
      </c>
      <c r="F157">
        <v>96.06</v>
      </c>
      <c r="G157">
        <f>E157+F157</f>
        <v>225.86</v>
      </c>
      <c r="H157">
        <f>E157-F157</f>
        <v>33.740000000000009</v>
      </c>
      <c r="I157" t="s">
        <v>21</v>
      </c>
      <c r="J157" t="s">
        <v>32</v>
      </c>
      <c r="K157" t="str">
        <f>_xlfn.CONCAT(_xlfn.CONCAT(I157,"|"), J157)</f>
        <v>Todd|Cam</v>
      </c>
      <c r="L157">
        <v>0</v>
      </c>
      <c r="M157">
        <v>0</v>
      </c>
      <c r="N157">
        <v>0</v>
      </c>
    </row>
    <row r="158" spans="1:14" hidden="1" x14ac:dyDescent="0.2">
      <c r="A158">
        <v>2021</v>
      </c>
      <c r="B158">
        <v>10</v>
      </c>
      <c r="C158" t="s">
        <v>22</v>
      </c>
      <c r="D158" t="s">
        <v>30</v>
      </c>
      <c r="E158">
        <v>101.32</v>
      </c>
      <c r="F158">
        <v>67.58</v>
      </c>
      <c r="G158">
        <f>E158+F158</f>
        <v>168.89999999999998</v>
      </c>
      <c r="H158">
        <f>E158-F158</f>
        <v>33.739999999999995</v>
      </c>
      <c r="I158" t="s">
        <v>24</v>
      </c>
      <c r="J158" t="s">
        <v>32</v>
      </c>
      <c r="K158" t="str">
        <f>_xlfn.CONCAT(_xlfn.CONCAT(I158,"|"), J158)</f>
        <v>Jasjaap|Cam</v>
      </c>
      <c r="L158">
        <v>0</v>
      </c>
      <c r="M158">
        <v>0</v>
      </c>
      <c r="N158">
        <v>0</v>
      </c>
    </row>
    <row r="159" spans="1:14" hidden="1" x14ac:dyDescent="0.2">
      <c r="A159">
        <v>2025</v>
      </c>
      <c r="B159">
        <v>11</v>
      </c>
      <c r="C159" t="s">
        <v>46</v>
      </c>
      <c r="D159" t="s">
        <v>525</v>
      </c>
      <c r="E159">
        <v>104.22</v>
      </c>
      <c r="F159">
        <v>70.540000000000006</v>
      </c>
      <c r="G159">
        <f>E159+F159</f>
        <v>174.76</v>
      </c>
      <c r="H159">
        <f>E159-F159</f>
        <v>33.679999999999993</v>
      </c>
      <c r="I159" t="s">
        <v>47</v>
      </c>
      <c r="J159" t="s">
        <v>36</v>
      </c>
      <c r="K159" t="str">
        <f>_xlfn.CONCAT(_xlfn.CONCAT(I159,"|"), J159)</f>
        <v>Burnett/Jasjaap|Will</v>
      </c>
      <c r="L159">
        <v>0</v>
      </c>
      <c r="M159">
        <v>0</v>
      </c>
      <c r="N159">
        <v>0</v>
      </c>
    </row>
    <row r="160" spans="1:14" hidden="1" x14ac:dyDescent="0.2">
      <c r="A160">
        <v>2024</v>
      </c>
      <c r="B160">
        <v>10</v>
      </c>
      <c r="C160" t="s">
        <v>31</v>
      </c>
      <c r="D160" t="s">
        <v>35</v>
      </c>
      <c r="E160">
        <v>125</v>
      </c>
      <c r="F160">
        <v>92.24</v>
      </c>
      <c r="G160">
        <f>E160+F160</f>
        <v>217.24</v>
      </c>
      <c r="H160">
        <f>E160-F160</f>
        <v>32.760000000000005</v>
      </c>
      <c r="I160" t="s">
        <v>33</v>
      </c>
      <c r="J160" t="s">
        <v>49</v>
      </c>
      <c r="K160" t="str">
        <f>_xlfn.CONCAT(_xlfn.CONCAT(I160,"|"), J160)</f>
        <v>Jay|Brand</v>
      </c>
      <c r="L160">
        <v>0</v>
      </c>
      <c r="M160">
        <v>0</v>
      </c>
      <c r="N160">
        <v>0</v>
      </c>
    </row>
    <row r="161" spans="1:14" hidden="1" x14ac:dyDescent="0.2">
      <c r="A161">
        <v>2019</v>
      </c>
      <c r="B161">
        <v>15</v>
      </c>
      <c r="C161" t="s">
        <v>19</v>
      </c>
      <c r="D161" t="s">
        <v>26</v>
      </c>
      <c r="E161">
        <v>141.26</v>
      </c>
      <c r="F161">
        <v>106.82</v>
      </c>
      <c r="G161">
        <f>E161+F161</f>
        <v>248.07999999999998</v>
      </c>
      <c r="H161">
        <f>E161-F161</f>
        <v>34.44</v>
      </c>
      <c r="I161" t="s">
        <v>21</v>
      </c>
      <c r="J161" t="s">
        <v>28</v>
      </c>
      <c r="K161" t="str">
        <f>_xlfn.CONCAT(_xlfn.CONCAT(I161,"|"), J161)</f>
        <v>Todd|Tommy</v>
      </c>
      <c r="L161">
        <v>1</v>
      </c>
      <c r="M161">
        <v>1</v>
      </c>
      <c r="N161">
        <v>0</v>
      </c>
    </row>
    <row r="162" spans="1:14" hidden="1" x14ac:dyDescent="0.2">
      <c r="A162">
        <v>2023</v>
      </c>
      <c r="B162">
        <v>11</v>
      </c>
      <c r="C162" t="s">
        <v>50</v>
      </c>
      <c r="D162" t="s">
        <v>52</v>
      </c>
      <c r="E162">
        <v>122.58</v>
      </c>
      <c r="F162">
        <v>90.14</v>
      </c>
      <c r="G162">
        <f>E162+F162</f>
        <v>212.72</v>
      </c>
      <c r="H162">
        <f>E162-F162</f>
        <v>32.44</v>
      </c>
      <c r="I162" t="s">
        <v>29</v>
      </c>
      <c r="J162" t="s">
        <v>32</v>
      </c>
      <c r="K162" t="str">
        <f>_xlfn.CONCAT(_xlfn.CONCAT(I162,"|"), J162)</f>
        <v>Eli|Cam</v>
      </c>
      <c r="L162">
        <v>0</v>
      </c>
      <c r="M162">
        <v>0</v>
      </c>
      <c r="N162">
        <v>0</v>
      </c>
    </row>
    <row r="163" spans="1:14" hidden="1" x14ac:dyDescent="0.2">
      <c r="A163">
        <v>2022</v>
      </c>
      <c r="B163">
        <v>12</v>
      </c>
      <c r="C163" t="s">
        <v>38</v>
      </c>
      <c r="D163" t="s">
        <v>39</v>
      </c>
      <c r="E163">
        <v>137.26</v>
      </c>
      <c r="F163">
        <v>105.1</v>
      </c>
      <c r="G163">
        <f>E163+F163</f>
        <v>242.35999999999999</v>
      </c>
      <c r="H163">
        <f>E163-F163</f>
        <v>32.159999999999997</v>
      </c>
      <c r="I163" t="s">
        <v>36</v>
      </c>
      <c r="J163" t="s">
        <v>32</v>
      </c>
      <c r="K163" t="str">
        <f>_xlfn.CONCAT(_xlfn.CONCAT(I163,"|"), J163)</f>
        <v>Will|Cam</v>
      </c>
      <c r="L163">
        <v>0</v>
      </c>
      <c r="M163">
        <v>0</v>
      </c>
      <c r="N163">
        <v>0</v>
      </c>
    </row>
    <row r="164" spans="1:14" hidden="1" x14ac:dyDescent="0.2">
      <c r="A164">
        <v>2021</v>
      </c>
      <c r="B164">
        <v>3</v>
      </c>
      <c r="C164" t="s">
        <v>23</v>
      </c>
      <c r="D164" t="s">
        <v>31</v>
      </c>
      <c r="E164">
        <v>124.98</v>
      </c>
      <c r="F164">
        <v>92.94</v>
      </c>
      <c r="G164">
        <f>E164+F164</f>
        <v>217.92000000000002</v>
      </c>
      <c r="H164">
        <f>E164-F164</f>
        <v>32.040000000000006</v>
      </c>
      <c r="I164" t="s">
        <v>25</v>
      </c>
      <c r="J164" t="s">
        <v>33</v>
      </c>
      <c r="K164" t="str">
        <f>_xlfn.CONCAT(_xlfn.CONCAT(I164,"|"), J164)</f>
        <v>Burnett|Jay</v>
      </c>
      <c r="L164">
        <v>0</v>
      </c>
      <c r="M164">
        <v>0</v>
      </c>
      <c r="N164">
        <v>0</v>
      </c>
    </row>
    <row r="165" spans="1:14" hidden="1" x14ac:dyDescent="0.2">
      <c r="A165">
        <v>2022</v>
      </c>
      <c r="B165">
        <v>11</v>
      </c>
      <c r="C165" t="s">
        <v>42</v>
      </c>
      <c r="D165" t="s">
        <v>38</v>
      </c>
      <c r="E165">
        <v>125.86</v>
      </c>
      <c r="F165">
        <v>93.96</v>
      </c>
      <c r="G165">
        <f>E165+F165</f>
        <v>219.82</v>
      </c>
      <c r="H165">
        <f>E165-F165</f>
        <v>31.900000000000006</v>
      </c>
      <c r="I165" t="s">
        <v>17</v>
      </c>
      <c r="J165" t="s">
        <v>36</v>
      </c>
      <c r="K165" t="str">
        <f>_xlfn.CONCAT(_xlfn.CONCAT(I165,"|"), J165)</f>
        <v>Mike|Will</v>
      </c>
      <c r="L165">
        <v>0</v>
      </c>
      <c r="M165">
        <v>0</v>
      </c>
      <c r="N165">
        <v>0</v>
      </c>
    </row>
    <row r="166" spans="1:14" hidden="1" x14ac:dyDescent="0.2">
      <c r="A166">
        <v>2024</v>
      </c>
      <c r="B166">
        <v>11</v>
      </c>
      <c r="C166" t="s">
        <v>46</v>
      </c>
      <c r="D166" t="s">
        <v>31</v>
      </c>
      <c r="E166">
        <v>145.06</v>
      </c>
      <c r="F166">
        <v>113.18</v>
      </c>
      <c r="G166">
        <f>E166+F166</f>
        <v>258.24</v>
      </c>
      <c r="H166">
        <f>E166-F166</f>
        <v>31.879999999999995</v>
      </c>
      <c r="I166" t="s">
        <v>47</v>
      </c>
      <c r="J166" t="s">
        <v>33</v>
      </c>
      <c r="K166" t="str">
        <f>_xlfn.CONCAT(_xlfn.CONCAT(I166,"|"), J166)</f>
        <v>Burnett/Jasjaap|Jay</v>
      </c>
      <c r="L166">
        <v>0</v>
      </c>
      <c r="M166">
        <v>0</v>
      </c>
      <c r="N166">
        <v>0</v>
      </c>
    </row>
    <row r="167" spans="1:14" hidden="1" x14ac:dyDescent="0.2">
      <c r="A167">
        <v>2021</v>
      </c>
      <c r="B167">
        <v>13</v>
      </c>
      <c r="C167" t="s">
        <v>15</v>
      </c>
      <c r="D167" t="s">
        <v>18</v>
      </c>
      <c r="E167">
        <v>170.52</v>
      </c>
      <c r="F167">
        <v>139.1</v>
      </c>
      <c r="G167">
        <f>E167+F167</f>
        <v>309.62</v>
      </c>
      <c r="H167">
        <f>E167-F167</f>
        <v>31.420000000000016</v>
      </c>
      <c r="I167" t="s">
        <v>17</v>
      </c>
      <c r="J167" t="s">
        <v>20</v>
      </c>
      <c r="K167" t="str">
        <f>_xlfn.CONCAT(_xlfn.CONCAT(I167,"|"), J167)</f>
        <v>Mike|Schulwolf</v>
      </c>
      <c r="L167">
        <v>0</v>
      </c>
      <c r="M167">
        <v>0</v>
      </c>
      <c r="N167">
        <v>0</v>
      </c>
    </row>
    <row r="168" spans="1:14" hidden="1" x14ac:dyDescent="0.2">
      <c r="A168">
        <v>2023</v>
      </c>
      <c r="B168">
        <v>10</v>
      </c>
      <c r="C168" t="s">
        <v>31</v>
      </c>
      <c r="D168" t="s">
        <v>18</v>
      </c>
      <c r="E168">
        <v>116.52</v>
      </c>
      <c r="F168">
        <v>85.1</v>
      </c>
      <c r="G168">
        <f>E168+F168</f>
        <v>201.62</v>
      </c>
      <c r="H168">
        <f>E168-F168</f>
        <v>31.42</v>
      </c>
      <c r="I168" t="s">
        <v>33</v>
      </c>
      <c r="J168" t="s">
        <v>20</v>
      </c>
      <c r="K168" t="str">
        <f>_xlfn.CONCAT(_xlfn.CONCAT(I168,"|"), J168)</f>
        <v>Jay|Schulwolf</v>
      </c>
      <c r="L168">
        <v>0</v>
      </c>
      <c r="M168">
        <v>0</v>
      </c>
      <c r="N168">
        <v>0</v>
      </c>
    </row>
    <row r="169" spans="1:14" hidden="1" x14ac:dyDescent="0.2">
      <c r="A169">
        <v>2024</v>
      </c>
      <c r="B169">
        <v>7</v>
      </c>
      <c r="C169" t="s">
        <v>31</v>
      </c>
      <c r="D169" t="s">
        <v>76</v>
      </c>
      <c r="E169">
        <v>116.34</v>
      </c>
      <c r="F169">
        <v>85.54</v>
      </c>
      <c r="G169">
        <f>E169+F169</f>
        <v>201.88</v>
      </c>
      <c r="H169">
        <f>E169-F169</f>
        <v>30.799999999999997</v>
      </c>
      <c r="I169" t="s">
        <v>33</v>
      </c>
      <c r="J169" t="s">
        <v>32</v>
      </c>
      <c r="K169" t="str">
        <f>_xlfn.CONCAT(_xlfn.CONCAT(I169,"|"), J169)</f>
        <v>Jay|Cam</v>
      </c>
      <c r="L169">
        <v>0</v>
      </c>
      <c r="M169">
        <v>0</v>
      </c>
      <c r="N169">
        <v>0</v>
      </c>
    </row>
    <row r="170" spans="1:14" hidden="1" x14ac:dyDescent="0.2">
      <c r="A170">
        <v>2025</v>
      </c>
      <c r="B170">
        <v>4</v>
      </c>
      <c r="C170" t="s">
        <v>26</v>
      </c>
      <c r="D170" t="s">
        <v>42</v>
      </c>
      <c r="E170">
        <v>156.84</v>
      </c>
      <c r="F170">
        <v>126.16</v>
      </c>
      <c r="G170">
        <f>E170+F170</f>
        <v>283</v>
      </c>
      <c r="H170">
        <f>E170-F170</f>
        <v>30.680000000000007</v>
      </c>
      <c r="I170" t="s">
        <v>28</v>
      </c>
      <c r="J170" t="s">
        <v>17</v>
      </c>
      <c r="K170" t="str">
        <f>_xlfn.CONCAT(_xlfn.CONCAT(I170,"|"), J170)</f>
        <v>Tommy|Mike</v>
      </c>
      <c r="L170">
        <v>0</v>
      </c>
      <c r="M170">
        <v>0</v>
      </c>
      <c r="N170">
        <v>0</v>
      </c>
    </row>
    <row r="171" spans="1:14" hidden="1" x14ac:dyDescent="0.2">
      <c r="A171">
        <v>2024</v>
      </c>
      <c r="B171">
        <v>10</v>
      </c>
      <c r="C171" t="s">
        <v>77</v>
      </c>
      <c r="D171" t="s">
        <v>73</v>
      </c>
      <c r="E171">
        <v>111.38</v>
      </c>
      <c r="F171">
        <v>80.739999999999995</v>
      </c>
      <c r="G171">
        <f>E171+F171</f>
        <v>192.12</v>
      </c>
      <c r="H171">
        <f>E171-F171</f>
        <v>30.64</v>
      </c>
      <c r="I171" t="s">
        <v>45</v>
      </c>
      <c r="J171" t="s">
        <v>21</v>
      </c>
      <c r="K171" t="str">
        <f>_xlfn.CONCAT(_xlfn.CONCAT(I171,"|"), J171)</f>
        <v>Kevin|Todd</v>
      </c>
      <c r="L171">
        <v>0</v>
      </c>
      <c r="M171">
        <v>0</v>
      </c>
      <c r="N171">
        <v>0</v>
      </c>
    </row>
    <row r="172" spans="1:14" hidden="1" x14ac:dyDescent="0.2">
      <c r="A172">
        <v>2022</v>
      </c>
      <c r="B172">
        <v>14</v>
      </c>
      <c r="C172" t="s">
        <v>43</v>
      </c>
      <c r="D172" t="s">
        <v>22</v>
      </c>
      <c r="E172">
        <v>112.58</v>
      </c>
      <c r="F172">
        <v>82.38</v>
      </c>
      <c r="G172">
        <f>E172+F172</f>
        <v>194.95999999999998</v>
      </c>
      <c r="H172">
        <f>E172-F172</f>
        <v>30.200000000000003</v>
      </c>
      <c r="I172" t="s">
        <v>21</v>
      </c>
      <c r="J172" t="s">
        <v>24</v>
      </c>
      <c r="K172" t="str">
        <f>_xlfn.CONCAT(_xlfn.CONCAT(I172,"|"), J172)</f>
        <v>Todd|Jasjaap</v>
      </c>
      <c r="L172">
        <v>0</v>
      </c>
      <c r="M172">
        <v>0</v>
      </c>
      <c r="N172">
        <v>0</v>
      </c>
    </row>
    <row r="173" spans="1:14" hidden="1" x14ac:dyDescent="0.2">
      <c r="A173">
        <v>2023</v>
      </c>
      <c r="B173">
        <v>4</v>
      </c>
      <c r="C173" t="s">
        <v>48</v>
      </c>
      <c r="D173" t="s">
        <v>31</v>
      </c>
      <c r="E173">
        <v>148.02000000000001</v>
      </c>
      <c r="F173">
        <v>118.3</v>
      </c>
      <c r="G173">
        <f>E173+F173</f>
        <v>266.32</v>
      </c>
      <c r="H173">
        <f>E173-F173</f>
        <v>29.720000000000013</v>
      </c>
      <c r="I173" t="s">
        <v>36</v>
      </c>
      <c r="J173" t="s">
        <v>33</v>
      </c>
      <c r="K173" t="str">
        <f>_xlfn.CONCAT(_xlfn.CONCAT(I173,"|"), J173)</f>
        <v>Will|Jay</v>
      </c>
      <c r="L173">
        <v>0</v>
      </c>
      <c r="M173">
        <v>0</v>
      </c>
      <c r="N173">
        <v>0</v>
      </c>
    </row>
    <row r="174" spans="1:14" hidden="1" x14ac:dyDescent="0.2">
      <c r="A174">
        <v>2015</v>
      </c>
      <c r="B174">
        <v>16</v>
      </c>
      <c r="C174" t="s">
        <v>19</v>
      </c>
      <c r="D174" t="s">
        <v>61</v>
      </c>
      <c r="E174">
        <v>124.26</v>
      </c>
      <c r="F174">
        <v>105.76</v>
      </c>
      <c r="G174">
        <f>E174+F174</f>
        <v>230.02</v>
      </c>
      <c r="H174">
        <f>E174-F174</f>
        <v>18.5</v>
      </c>
      <c r="I174" t="s">
        <v>21</v>
      </c>
      <c r="J174" t="s">
        <v>62</v>
      </c>
      <c r="K174" t="str">
        <f>_xlfn.CONCAT(_xlfn.CONCAT(I174,"|"), J174)</f>
        <v>Todd|Codola</v>
      </c>
      <c r="L174">
        <v>1</v>
      </c>
      <c r="M174">
        <v>0</v>
      </c>
      <c r="N174">
        <v>0</v>
      </c>
    </row>
    <row r="175" spans="1:14" hidden="1" x14ac:dyDescent="0.2">
      <c r="A175">
        <v>2025</v>
      </c>
      <c r="B175">
        <v>6</v>
      </c>
      <c r="C175" t="s">
        <v>31</v>
      </c>
      <c r="D175" t="s">
        <v>77</v>
      </c>
      <c r="E175">
        <v>126.96</v>
      </c>
      <c r="F175">
        <v>97.24</v>
      </c>
      <c r="G175">
        <f>E175+F175</f>
        <v>224.2</v>
      </c>
      <c r="H175">
        <f>E175-F175</f>
        <v>29.72</v>
      </c>
      <c r="I175" t="s">
        <v>33</v>
      </c>
      <c r="J175" t="s">
        <v>45</v>
      </c>
      <c r="K175" t="str">
        <f>_xlfn.CONCAT(_xlfn.CONCAT(I175,"|"), J175)</f>
        <v>Jay|Kevin</v>
      </c>
      <c r="L175">
        <v>0</v>
      </c>
      <c r="M175">
        <v>0</v>
      </c>
      <c r="N175">
        <v>0</v>
      </c>
    </row>
    <row r="176" spans="1:14" hidden="1" x14ac:dyDescent="0.2">
      <c r="A176">
        <v>2022</v>
      </c>
      <c r="B176">
        <v>7</v>
      </c>
      <c r="C176" t="s">
        <v>14</v>
      </c>
      <c r="D176" t="s">
        <v>22</v>
      </c>
      <c r="E176">
        <v>114.94</v>
      </c>
      <c r="F176">
        <v>85.32</v>
      </c>
      <c r="G176">
        <f>E176+F176</f>
        <v>200.26</v>
      </c>
      <c r="H176">
        <f>E176-F176</f>
        <v>29.620000000000005</v>
      </c>
      <c r="I176" t="s">
        <v>16</v>
      </c>
      <c r="J176" t="s">
        <v>24</v>
      </c>
      <c r="K176" t="str">
        <f>_xlfn.CONCAT(_xlfn.CONCAT(I176,"|"), J176)</f>
        <v>Brenton|Jasjaap</v>
      </c>
      <c r="L176">
        <v>0</v>
      </c>
      <c r="M176">
        <v>0</v>
      </c>
      <c r="N176">
        <v>0</v>
      </c>
    </row>
    <row r="177" spans="1:14" hidden="1" x14ac:dyDescent="0.2">
      <c r="A177">
        <v>2022</v>
      </c>
      <c r="B177">
        <v>11</v>
      </c>
      <c r="C177" t="s">
        <v>43</v>
      </c>
      <c r="D177" t="s">
        <v>31</v>
      </c>
      <c r="E177">
        <v>111.28</v>
      </c>
      <c r="F177">
        <v>81.66</v>
      </c>
      <c r="G177">
        <f>E177+F177</f>
        <v>192.94</v>
      </c>
      <c r="H177">
        <f>E177-F177</f>
        <v>29.620000000000005</v>
      </c>
      <c r="I177" t="s">
        <v>21</v>
      </c>
      <c r="J177" t="s">
        <v>41</v>
      </c>
      <c r="K177" t="str">
        <f>_xlfn.CONCAT(_xlfn.CONCAT(I177,"|"), J177)</f>
        <v>Todd|Jay/Brand</v>
      </c>
      <c r="L177">
        <v>0</v>
      </c>
      <c r="M177">
        <v>0</v>
      </c>
      <c r="N177">
        <v>0</v>
      </c>
    </row>
    <row r="178" spans="1:14" hidden="1" x14ac:dyDescent="0.2">
      <c r="A178">
        <v>2023</v>
      </c>
      <c r="B178">
        <v>8</v>
      </c>
      <c r="C178" t="s">
        <v>18</v>
      </c>
      <c r="D178" t="s">
        <v>42</v>
      </c>
      <c r="E178">
        <v>124.98</v>
      </c>
      <c r="F178">
        <v>95.62</v>
      </c>
      <c r="G178">
        <f>E178+F178</f>
        <v>220.60000000000002</v>
      </c>
      <c r="H178">
        <f>E178-F178</f>
        <v>29.36</v>
      </c>
      <c r="I178" t="s">
        <v>20</v>
      </c>
      <c r="J178" t="s">
        <v>17</v>
      </c>
      <c r="K178" t="str">
        <f>_xlfn.CONCAT(_xlfn.CONCAT(I178,"|"), J178)</f>
        <v>Schulwolf|Mike</v>
      </c>
      <c r="L178">
        <v>0</v>
      </c>
      <c r="M178">
        <v>0</v>
      </c>
      <c r="N178">
        <v>0</v>
      </c>
    </row>
    <row r="179" spans="1:14" hidden="1" x14ac:dyDescent="0.2">
      <c r="A179">
        <v>2025</v>
      </c>
      <c r="B179">
        <v>12</v>
      </c>
      <c r="C179" t="s">
        <v>521</v>
      </c>
      <c r="D179" t="s">
        <v>42</v>
      </c>
      <c r="E179">
        <v>124.08</v>
      </c>
      <c r="F179">
        <v>94.86</v>
      </c>
      <c r="G179">
        <f>E179+F179</f>
        <v>218.94</v>
      </c>
      <c r="H179">
        <f>E179-F179</f>
        <v>29.22</v>
      </c>
      <c r="I179" t="s">
        <v>29</v>
      </c>
      <c r="J179" t="s">
        <v>17</v>
      </c>
      <c r="K179" t="str">
        <f>_xlfn.CONCAT(_xlfn.CONCAT(I179,"|"), J179)</f>
        <v>Eli|Mike</v>
      </c>
      <c r="L179">
        <v>0</v>
      </c>
      <c r="M179">
        <v>0</v>
      </c>
      <c r="N179">
        <v>0</v>
      </c>
    </row>
    <row r="180" spans="1:14" hidden="1" x14ac:dyDescent="0.2">
      <c r="A180">
        <v>2025</v>
      </c>
      <c r="B180">
        <v>5</v>
      </c>
      <c r="C180" t="s">
        <v>42</v>
      </c>
      <c r="D180" t="s">
        <v>18</v>
      </c>
      <c r="E180">
        <v>128.18</v>
      </c>
      <c r="F180">
        <v>99.02</v>
      </c>
      <c r="G180">
        <f>E180+F180</f>
        <v>227.2</v>
      </c>
      <c r="H180">
        <f>E180-F180</f>
        <v>29.160000000000011</v>
      </c>
      <c r="I180" t="s">
        <v>17</v>
      </c>
      <c r="J180" t="s">
        <v>20</v>
      </c>
      <c r="K180" t="str">
        <f>_xlfn.CONCAT(_xlfn.CONCAT(I180,"|"), J180)</f>
        <v>Mike|Schulwolf</v>
      </c>
      <c r="L180">
        <v>0</v>
      </c>
      <c r="M180">
        <v>0</v>
      </c>
      <c r="N180">
        <v>0</v>
      </c>
    </row>
    <row r="181" spans="1:14" hidden="1" x14ac:dyDescent="0.2">
      <c r="A181">
        <v>2021</v>
      </c>
      <c r="B181">
        <v>7</v>
      </c>
      <c r="C181" t="s">
        <v>18</v>
      </c>
      <c r="D181" t="s">
        <v>31</v>
      </c>
      <c r="E181">
        <v>122.26</v>
      </c>
      <c r="F181">
        <v>93.28</v>
      </c>
      <c r="G181">
        <f>E181+F181</f>
        <v>215.54000000000002</v>
      </c>
      <c r="H181">
        <f>E181-F181</f>
        <v>28.980000000000004</v>
      </c>
      <c r="I181" t="s">
        <v>20</v>
      </c>
      <c r="J181" t="s">
        <v>33</v>
      </c>
      <c r="K181" t="str">
        <f>_xlfn.CONCAT(_xlfn.CONCAT(I181,"|"), J181)</f>
        <v>Schulwolf|Jay</v>
      </c>
      <c r="L181">
        <v>0</v>
      </c>
      <c r="M181">
        <v>0</v>
      </c>
      <c r="N181">
        <v>0</v>
      </c>
    </row>
    <row r="182" spans="1:14" hidden="1" x14ac:dyDescent="0.2">
      <c r="A182">
        <v>2024</v>
      </c>
      <c r="B182">
        <v>15</v>
      </c>
      <c r="C182" t="s">
        <v>35</v>
      </c>
      <c r="D182" t="s">
        <v>77</v>
      </c>
      <c r="E182">
        <v>96.88</v>
      </c>
      <c r="F182">
        <v>68</v>
      </c>
      <c r="G182">
        <f>E182+F182</f>
        <v>164.88</v>
      </c>
      <c r="H182">
        <f>E182-F182</f>
        <v>28.879999999999995</v>
      </c>
      <c r="I182" t="s">
        <v>49</v>
      </c>
      <c r="J182" t="s">
        <v>45</v>
      </c>
      <c r="K182" t="str">
        <f>_xlfn.CONCAT(_xlfn.CONCAT(I182,"|"), J182)</f>
        <v>Brand|Kevin</v>
      </c>
      <c r="L182">
        <v>0</v>
      </c>
      <c r="M182">
        <v>0</v>
      </c>
      <c r="N182">
        <v>0</v>
      </c>
    </row>
    <row r="183" spans="1:14" hidden="1" x14ac:dyDescent="0.2">
      <c r="A183">
        <v>2021</v>
      </c>
      <c r="B183">
        <v>2</v>
      </c>
      <c r="C183" t="s">
        <v>23</v>
      </c>
      <c r="D183" t="s">
        <v>27</v>
      </c>
      <c r="E183">
        <v>142.18</v>
      </c>
      <c r="F183">
        <v>113.4</v>
      </c>
      <c r="G183">
        <f>E183+F183</f>
        <v>255.58</v>
      </c>
      <c r="H183">
        <f>E183-F183</f>
        <v>28.78</v>
      </c>
      <c r="I183" t="s">
        <v>25</v>
      </c>
      <c r="J183" t="s">
        <v>29</v>
      </c>
      <c r="K183" t="str">
        <f>_xlfn.CONCAT(_xlfn.CONCAT(I183,"|"), J183)</f>
        <v>Burnett|Eli</v>
      </c>
      <c r="L183">
        <v>0</v>
      </c>
      <c r="M183">
        <v>0</v>
      </c>
      <c r="N183">
        <v>0</v>
      </c>
    </row>
    <row r="184" spans="1:14" hidden="1" x14ac:dyDescent="0.2">
      <c r="A184">
        <v>2024</v>
      </c>
      <c r="B184">
        <v>2</v>
      </c>
      <c r="C184" t="s">
        <v>26</v>
      </c>
      <c r="D184" t="s">
        <v>35</v>
      </c>
      <c r="E184">
        <v>106.16</v>
      </c>
      <c r="F184">
        <v>77.56</v>
      </c>
      <c r="G184">
        <f>E184+F184</f>
        <v>183.72</v>
      </c>
      <c r="H184">
        <f>E184-F184</f>
        <v>28.599999999999994</v>
      </c>
      <c r="I184" t="s">
        <v>28</v>
      </c>
      <c r="J184" t="s">
        <v>49</v>
      </c>
      <c r="K184" t="str">
        <f>_xlfn.CONCAT(_xlfn.CONCAT(I184,"|"), J184)</f>
        <v>Tommy|Brand</v>
      </c>
      <c r="L184">
        <v>0</v>
      </c>
      <c r="M184">
        <v>0</v>
      </c>
      <c r="N184">
        <v>0</v>
      </c>
    </row>
    <row r="185" spans="1:14" hidden="1" x14ac:dyDescent="0.2">
      <c r="A185">
        <v>2023</v>
      </c>
      <c r="B185">
        <v>3</v>
      </c>
      <c r="C185" t="s">
        <v>52</v>
      </c>
      <c r="D185" t="s">
        <v>18</v>
      </c>
      <c r="E185">
        <v>115.14</v>
      </c>
      <c r="F185">
        <v>86.56</v>
      </c>
      <c r="G185">
        <f>E185+F185</f>
        <v>201.7</v>
      </c>
      <c r="H185">
        <f>E185-F185</f>
        <v>28.58</v>
      </c>
      <c r="I185" t="s">
        <v>32</v>
      </c>
      <c r="J185" t="s">
        <v>20</v>
      </c>
      <c r="K185" t="str">
        <f>_xlfn.CONCAT(_xlfn.CONCAT(I185,"|"), J185)</f>
        <v>Cam|Schulwolf</v>
      </c>
      <c r="L185">
        <v>0</v>
      </c>
      <c r="M185">
        <v>0</v>
      </c>
      <c r="N185">
        <v>0</v>
      </c>
    </row>
    <row r="186" spans="1:14" hidden="1" x14ac:dyDescent="0.2">
      <c r="A186">
        <v>2024</v>
      </c>
      <c r="B186">
        <v>12</v>
      </c>
      <c r="C186" t="s">
        <v>42</v>
      </c>
      <c r="D186" t="s">
        <v>77</v>
      </c>
      <c r="E186">
        <v>119.86</v>
      </c>
      <c r="F186">
        <v>91.48</v>
      </c>
      <c r="G186">
        <f>E186+F186</f>
        <v>211.34</v>
      </c>
      <c r="H186">
        <f>E186-F186</f>
        <v>28.379999999999995</v>
      </c>
      <c r="I186" t="s">
        <v>17</v>
      </c>
      <c r="J186" t="s">
        <v>45</v>
      </c>
      <c r="K186" t="str">
        <f>_xlfn.CONCAT(_xlfn.CONCAT(I186,"|"), J186)</f>
        <v>Mike|Kevin</v>
      </c>
      <c r="L186">
        <v>0</v>
      </c>
      <c r="M186">
        <v>0</v>
      </c>
      <c r="N186">
        <v>0</v>
      </c>
    </row>
    <row r="187" spans="1:14" hidden="1" x14ac:dyDescent="0.2">
      <c r="A187">
        <v>2022</v>
      </c>
      <c r="B187">
        <v>1</v>
      </c>
      <c r="C187" t="s">
        <v>40</v>
      </c>
      <c r="D187" t="s">
        <v>14</v>
      </c>
      <c r="E187">
        <v>122.5</v>
      </c>
      <c r="F187">
        <v>94.62</v>
      </c>
      <c r="G187">
        <f>E187+F187</f>
        <v>217.12</v>
      </c>
      <c r="H187">
        <f>E187-F187</f>
        <v>27.879999999999995</v>
      </c>
      <c r="I187" t="s">
        <v>29</v>
      </c>
      <c r="J187" t="s">
        <v>16</v>
      </c>
      <c r="K187" t="str">
        <f>_xlfn.CONCAT(_xlfn.CONCAT(I187,"|"), J187)</f>
        <v>Eli|Brenton</v>
      </c>
      <c r="L187">
        <v>0</v>
      </c>
      <c r="M187">
        <v>0</v>
      </c>
      <c r="N187">
        <v>0</v>
      </c>
    </row>
    <row r="188" spans="1:14" hidden="1" x14ac:dyDescent="0.2">
      <c r="A188">
        <v>2024</v>
      </c>
      <c r="B188">
        <v>4</v>
      </c>
      <c r="C188" t="s">
        <v>77</v>
      </c>
      <c r="D188" t="s">
        <v>35</v>
      </c>
      <c r="E188">
        <v>131.5</v>
      </c>
      <c r="F188">
        <v>103.64</v>
      </c>
      <c r="G188">
        <f>E188+F188</f>
        <v>235.14</v>
      </c>
      <c r="H188">
        <f>E188-F188</f>
        <v>27.86</v>
      </c>
      <c r="I188" t="s">
        <v>45</v>
      </c>
      <c r="J188" t="s">
        <v>49</v>
      </c>
      <c r="K188" t="str">
        <f>_xlfn.CONCAT(_xlfn.CONCAT(I188,"|"), J188)</f>
        <v>Kevin|Brand</v>
      </c>
      <c r="L188">
        <v>0</v>
      </c>
      <c r="M188">
        <v>0</v>
      </c>
      <c r="N188">
        <v>0</v>
      </c>
    </row>
    <row r="189" spans="1:14" hidden="1" x14ac:dyDescent="0.2">
      <c r="A189">
        <v>2023</v>
      </c>
      <c r="B189">
        <v>12</v>
      </c>
      <c r="C189" t="s">
        <v>18</v>
      </c>
      <c r="D189" t="s">
        <v>50</v>
      </c>
      <c r="E189">
        <v>132.06</v>
      </c>
      <c r="F189">
        <v>104.32</v>
      </c>
      <c r="G189">
        <f>E189+F189</f>
        <v>236.38</v>
      </c>
      <c r="H189">
        <f>E189-F189</f>
        <v>27.740000000000009</v>
      </c>
      <c r="I189" t="s">
        <v>20</v>
      </c>
      <c r="J189" t="s">
        <v>29</v>
      </c>
      <c r="K189" t="str">
        <f>_xlfn.CONCAT(_xlfn.CONCAT(I189,"|"), J189)</f>
        <v>Schulwolf|Eli</v>
      </c>
      <c r="L189">
        <v>0</v>
      </c>
      <c r="M189">
        <v>0</v>
      </c>
      <c r="N189">
        <v>0</v>
      </c>
    </row>
    <row r="190" spans="1:14" hidden="1" x14ac:dyDescent="0.2">
      <c r="A190">
        <v>2025</v>
      </c>
      <c r="B190">
        <v>11</v>
      </c>
      <c r="C190" t="s">
        <v>31</v>
      </c>
      <c r="D190" t="s">
        <v>521</v>
      </c>
      <c r="E190">
        <v>119.52</v>
      </c>
      <c r="F190">
        <v>92.14</v>
      </c>
      <c r="G190">
        <f>E190+F190</f>
        <v>211.66</v>
      </c>
      <c r="H190">
        <f>E190-F190</f>
        <v>27.379999999999995</v>
      </c>
      <c r="I190" t="s">
        <v>33</v>
      </c>
      <c r="J190" t="s">
        <v>29</v>
      </c>
      <c r="K190" t="str">
        <f>_xlfn.CONCAT(_xlfn.CONCAT(I190,"|"), J190)</f>
        <v>Jay|Eli</v>
      </c>
      <c r="L190">
        <v>0</v>
      </c>
      <c r="M190">
        <v>0</v>
      </c>
      <c r="N190">
        <v>0</v>
      </c>
    </row>
    <row r="191" spans="1:14" hidden="1" x14ac:dyDescent="0.2">
      <c r="A191">
        <v>2018</v>
      </c>
      <c r="B191">
        <v>16</v>
      </c>
      <c r="C191" t="s">
        <v>58</v>
      </c>
      <c r="D191" t="s">
        <v>56</v>
      </c>
      <c r="E191">
        <v>119.5</v>
      </c>
      <c r="F191">
        <v>104.58</v>
      </c>
      <c r="G191">
        <f>E191+F191</f>
        <v>224.07999999999998</v>
      </c>
      <c r="H191">
        <f>E191-F191</f>
        <v>14.920000000000002</v>
      </c>
      <c r="I191" t="s">
        <v>36</v>
      </c>
      <c r="J191" t="s">
        <v>29</v>
      </c>
      <c r="K191" t="str">
        <f>_xlfn.CONCAT(_xlfn.CONCAT(I191,"|"), J191)</f>
        <v>Will|Eli</v>
      </c>
      <c r="L191">
        <v>1</v>
      </c>
      <c r="M191">
        <v>0</v>
      </c>
      <c r="N191">
        <v>0</v>
      </c>
    </row>
    <row r="192" spans="1:14" hidden="1" x14ac:dyDescent="0.2">
      <c r="A192">
        <v>2021</v>
      </c>
      <c r="B192">
        <v>11</v>
      </c>
      <c r="C192" t="s">
        <v>15</v>
      </c>
      <c r="D192" t="s">
        <v>35</v>
      </c>
      <c r="E192">
        <v>123.54</v>
      </c>
      <c r="F192">
        <v>96.3</v>
      </c>
      <c r="G192">
        <f>E192+F192</f>
        <v>219.84</v>
      </c>
      <c r="H192">
        <f>E192-F192</f>
        <v>27.240000000000009</v>
      </c>
      <c r="I192" t="s">
        <v>17</v>
      </c>
      <c r="J192" t="s">
        <v>37</v>
      </c>
      <c r="K192" t="str">
        <f>_xlfn.CONCAT(_xlfn.CONCAT(I192,"|"), J192)</f>
        <v>Mike|Brand/Kevin</v>
      </c>
      <c r="L192">
        <v>0</v>
      </c>
      <c r="M192">
        <v>0</v>
      </c>
      <c r="N192">
        <v>0</v>
      </c>
    </row>
    <row r="193" spans="1:14" hidden="1" x14ac:dyDescent="0.2">
      <c r="A193">
        <v>2021</v>
      </c>
      <c r="B193">
        <v>4</v>
      </c>
      <c r="C193" t="s">
        <v>22</v>
      </c>
      <c r="D193" t="s">
        <v>14</v>
      </c>
      <c r="E193">
        <v>132.5</v>
      </c>
      <c r="F193">
        <v>105.26</v>
      </c>
      <c r="G193">
        <f>E193+F193</f>
        <v>237.76</v>
      </c>
      <c r="H193">
        <f>E193-F193</f>
        <v>27.239999999999995</v>
      </c>
      <c r="I193" t="s">
        <v>24</v>
      </c>
      <c r="J193" t="s">
        <v>16</v>
      </c>
      <c r="K193" t="str">
        <f>_xlfn.CONCAT(_xlfn.CONCAT(I193,"|"), J193)</f>
        <v>Jasjaap|Brenton</v>
      </c>
      <c r="L193">
        <v>0</v>
      </c>
      <c r="M193">
        <v>0</v>
      </c>
      <c r="N193">
        <v>0</v>
      </c>
    </row>
    <row r="194" spans="1:14" hidden="1" x14ac:dyDescent="0.2">
      <c r="A194">
        <v>2024</v>
      </c>
      <c r="B194">
        <v>9</v>
      </c>
      <c r="C194" t="s">
        <v>42</v>
      </c>
      <c r="D194" t="s">
        <v>46</v>
      </c>
      <c r="E194">
        <v>123.54</v>
      </c>
      <c r="F194">
        <v>96.32</v>
      </c>
      <c r="G194">
        <f>E194+F194</f>
        <v>219.86</v>
      </c>
      <c r="H194">
        <f>E194-F194</f>
        <v>27.220000000000013</v>
      </c>
      <c r="I194" t="s">
        <v>17</v>
      </c>
      <c r="J194" t="s">
        <v>47</v>
      </c>
      <c r="K194" t="str">
        <f>_xlfn.CONCAT(_xlfn.CONCAT(I194,"|"), J194)</f>
        <v>Mike|Burnett/Jasjaap</v>
      </c>
      <c r="L194">
        <v>0</v>
      </c>
      <c r="M194">
        <v>0</v>
      </c>
      <c r="N194">
        <v>0</v>
      </c>
    </row>
    <row r="195" spans="1:14" hidden="1" x14ac:dyDescent="0.2">
      <c r="A195">
        <v>2025</v>
      </c>
      <c r="B195">
        <v>4</v>
      </c>
      <c r="C195" t="s">
        <v>521</v>
      </c>
      <c r="D195" t="s">
        <v>525</v>
      </c>
      <c r="E195">
        <v>135.1</v>
      </c>
      <c r="F195">
        <v>107.92</v>
      </c>
      <c r="G195">
        <f>E195+F195</f>
        <v>243.01999999999998</v>
      </c>
      <c r="H195">
        <f>E195-F195</f>
        <v>27.179999999999993</v>
      </c>
      <c r="I195" t="s">
        <v>29</v>
      </c>
      <c r="J195" t="s">
        <v>36</v>
      </c>
      <c r="K195" t="str">
        <f>_xlfn.CONCAT(_xlfn.CONCAT(I195,"|"), J195)</f>
        <v>Eli|Will</v>
      </c>
      <c r="L195">
        <v>0</v>
      </c>
      <c r="M195">
        <v>0</v>
      </c>
      <c r="N195">
        <v>0</v>
      </c>
    </row>
    <row r="196" spans="1:14" hidden="1" x14ac:dyDescent="0.2">
      <c r="A196">
        <v>2021</v>
      </c>
      <c r="B196">
        <v>3</v>
      </c>
      <c r="C196" t="s">
        <v>19</v>
      </c>
      <c r="D196" t="s">
        <v>27</v>
      </c>
      <c r="E196">
        <v>117.82</v>
      </c>
      <c r="F196">
        <v>90.64</v>
      </c>
      <c r="G196">
        <f>E196+F196</f>
        <v>208.45999999999998</v>
      </c>
      <c r="H196">
        <f>E196-F196</f>
        <v>27.179999999999993</v>
      </c>
      <c r="I196" t="s">
        <v>21</v>
      </c>
      <c r="J196" t="s">
        <v>29</v>
      </c>
      <c r="K196" t="str">
        <f>_xlfn.CONCAT(_xlfn.CONCAT(I196,"|"), J196)</f>
        <v>Todd|Eli</v>
      </c>
      <c r="L196">
        <v>0</v>
      </c>
      <c r="M196">
        <v>0</v>
      </c>
      <c r="N196">
        <v>0</v>
      </c>
    </row>
    <row r="197" spans="1:14" hidden="1" x14ac:dyDescent="0.2">
      <c r="A197">
        <v>2021</v>
      </c>
      <c r="B197">
        <v>9</v>
      </c>
      <c r="C197" t="s">
        <v>27</v>
      </c>
      <c r="D197" t="s">
        <v>31</v>
      </c>
      <c r="E197">
        <v>105.1</v>
      </c>
      <c r="F197">
        <v>77.94</v>
      </c>
      <c r="G197">
        <f>E197+F197</f>
        <v>183.04</v>
      </c>
      <c r="H197">
        <f>E197-F197</f>
        <v>27.159999999999997</v>
      </c>
      <c r="I197" t="s">
        <v>29</v>
      </c>
      <c r="J197" t="s">
        <v>33</v>
      </c>
      <c r="K197" t="str">
        <f>_xlfn.CONCAT(_xlfn.CONCAT(I197,"|"), J197)</f>
        <v>Eli|Jay</v>
      </c>
      <c r="L197">
        <v>0</v>
      </c>
      <c r="M197">
        <v>0</v>
      </c>
      <c r="N197">
        <v>0</v>
      </c>
    </row>
    <row r="198" spans="1:14" hidden="1" x14ac:dyDescent="0.2">
      <c r="A198">
        <v>2023</v>
      </c>
      <c r="B198">
        <v>12</v>
      </c>
      <c r="C198" t="s">
        <v>52</v>
      </c>
      <c r="D198" t="s">
        <v>51</v>
      </c>
      <c r="E198">
        <v>117.18</v>
      </c>
      <c r="F198">
        <v>90.18</v>
      </c>
      <c r="G198">
        <f>E198+F198</f>
        <v>207.36</v>
      </c>
      <c r="H198">
        <f>E198-F198</f>
        <v>27</v>
      </c>
      <c r="I198" t="s">
        <v>32</v>
      </c>
      <c r="J198" t="s">
        <v>21</v>
      </c>
      <c r="K198" t="str">
        <f>_xlfn.CONCAT(_xlfn.CONCAT(I198,"|"), J198)</f>
        <v>Cam|Todd</v>
      </c>
      <c r="L198">
        <v>0</v>
      </c>
      <c r="M198">
        <v>0</v>
      </c>
      <c r="N198">
        <v>0</v>
      </c>
    </row>
    <row r="199" spans="1:14" hidden="1" x14ac:dyDescent="0.2">
      <c r="A199">
        <v>2021</v>
      </c>
      <c r="B199">
        <v>11</v>
      </c>
      <c r="C199" t="s">
        <v>14</v>
      </c>
      <c r="D199" t="s">
        <v>19</v>
      </c>
      <c r="E199">
        <v>127.28</v>
      </c>
      <c r="F199">
        <v>100.46</v>
      </c>
      <c r="G199">
        <f>E199+F199</f>
        <v>227.74</v>
      </c>
      <c r="H199">
        <f>E199-F199</f>
        <v>26.820000000000007</v>
      </c>
      <c r="I199" t="s">
        <v>16</v>
      </c>
      <c r="J199" t="s">
        <v>21</v>
      </c>
      <c r="K199" t="str">
        <f>_xlfn.CONCAT(_xlfn.CONCAT(I199,"|"), J199)</f>
        <v>Brenton|Todd</v>
      </c>
      <c r="L199">
        <v>0</v>
      </c>
      <c r="M199">
        <v>0</v>
      </c>
      <c r="N199">
        <v>0</v>
      </c>
    </row>
    <row r="200" spans="1:14" hidden="1" x14ac:dyDescent="0.2">
      <c r="A200">
        <v>2024</v>
      </c>
      <c r="B200">
        <v>12</v>
      </c>
      <c r="C200" t="s">
        <v>14</v>
      </c>
      <c r="D200" t="s">
        <v>73</v>
      </c>
      <c r="E200">
        <v>117.96</v>
      </c>
      <c r="F200">
        <v>91.38</v>
      </c>
      <c r="G200">
        <f>E200+F200</f>
        <v>209.33999999999997</v>
      </c>
      <c r="H200">
        <f>E200-F200</f>
        <v>26.58</v>
      </c>
      <c r="I200" t="s">
        <v>16</v>
      </c>
      <c r="J200" t="s">
        <v>21</v>
      </c>
      <c r="K200" t="str">
        <f>_xlfn.CONCAT(_xlfn.CONCAT(I200,"|"), J200)</f>
        <v>Brenton|Todd</v>
      </c>
      <c r="L200">
        <v>0</v>
      </c>
      <c r="M200">
        <v>0</v>
      </c>
      <c r="N200">
        <v>0</v>
      </c>
    </row>
    <row r="201" spans="1:14" hidden="1" x14ac:dyDescent="0.2">
      <c r="A201">
        <v>2020</v>
      </c>
      <c r="B201">
        <v>15</v>
      </c>
      <c r="C201" t="s">
        <v>53</v>
      </c>
      <c r="D201" t="s">
        <v>26</v>
      </c>
      <c r="E201">
        <v>117.82</v>
      </c>
      <c r="F201">
        <v>103.82</v>
      </c>
      <c r="G201">
        <f>E201+F201</f>
        <v>221.64</v>
      </c>
      <c r="H201">
        <f>E201-F201</f>
        <v>14</v>
      </c>
      <c r="I201" t="s">
        <v>36</v>
      </c>
      <c r="J201" t="s">
        <v>28</v>
      </c>
      <c r="K201" t="str">
        <f>_xlfn.CONCAT(_xlfn.CONCAT(I201,"|"), J201)</f>
        <v>Will|Tommy</v>
      </c>
      <c r="L201">
        <v>1</v>
      </c>
      <c r="M201">
        <v>1</v>
      </c>
      <c r="N201">
        <v>0</v>
      </c>
    </row>
    <row r="202" spans="1:14" hidden="1" x14ac:dyDescent="0.2">
      <c r="A202">
        <v>2024</v>
      </c>
      <c r="B202">
        <v>3</v>
      </c>
      <c r="C202" t="s">
        <v>74</v>
      </c>
      <c r="D202" t="s">
        <v>73</v>
      </c>
      <c r="E202">
        <v>112.44</v>
      </c>
      <c r="F202">
        <v>86.06</v>
      </c>
      <c r="G202">
        <f>E202+F202</f>
        <v>198.5</v>
      </c>
      <c r="H202">
        <f>E202-F202</f>
        <v>26.379999999999995</v>
      </c>
      <c r="I202" t="s">
        <v>29</v>
      </c>
      <c r="J202" t="s">
        <v>21</v>
      </c>
      <c r="K202" t="str">
        <f>_xlfn.CONCAT(_xlfn.CONCAT(I202,"|"), J202)</f>
        <v>Eli|Todd</v>
      </c>
      <c r="L202">
        <v>0</v>
      </c>
      <c r="M202">
        <v>0</v>
      </c>
      <c r="N202">
        <v>0</v>
      </c>
    </row>
    <row r="203" spans="1:14" hidden="1" x14ac:dyDescent="0.2">
      <c r="A203">
        <v>2012</v>
      </c>
      <c r="B203">
        <v>16</v>
      </c>
      <c r="C203" t="s">
        <v>71</v>
      </c>
      <c r="D203" t="s">
        <v>70</v>
      </c>
      <c r="E203">
        <v>130.13999999999999</v>
      </c>
      <c r="F203">
        <v>103.78</v>
      </c>
      <c r="G203">
        <f>E203+F203</f>
        <v>233.92</v>
      </c>
      <c r="H203">
        <f>E203-F203</f>
        <v>26.359999999999985</v>
      </c>
      <c r="I203" t="s">
        <v>62</v>
      </c>
      <c r="J203" t="s">
        <v>36</v>
      </c>
      <c r="K203" t="str">
        <f>_xlfn.CONCAT(_xlfn.CONCAT(I203,"|"), J203)</f>
        <v>Codola|Will</v>
      </c>
      <c r="L203">
        <v>1</v>
      </c>
      <c r="M203">
        <v>0</v>
      </c>
      <c r="N203">
        <v>1</v>
      </c>
    </row>
    <row r="204" spans="1:14" hidden="1" x14ac:dyDescent="0.2">
      <c r="A204">
        <v>2024</v>
      </c>
      <c r="B204">
        <v>13</v>
      </c>
      <c r="C204" t="s">
        <v>74</v>
      </c>
      <c r="D204" t="s">
        <v>75</v>
      </c>
      <c r="E204">
        <v>130.52000000000001</v>
      </c>
      <c r="F204">
        <v>104.24</v>
      </c>
      <c r="G204">
        <f>E204+F204</f>
        <v>234.76</v>
      </c>
      <c r="H204">
        <f>E204-F204</f>
        <v>26.280000000000015</v>
      </c>
      <c r="I204" t="s">
        <v>29</v>
      </c>
      <c r="J204" t="s">
        <v>36</v>
      </c>
      <c r="K204" t="str">
        <f>_xlfn.CONCAT(_xlfn.CONCAT(I204,"|"), J204)</f>
        <v>Eli|Will</v>
      </c>
      <c r="L204">
        <v>0</v>
      </c>
      <c r="M204">
        <v>0</v>
      </c>
      <c r="N204">
        <v>0</v>
      </c>
    </row>
    <row r="205" spans="1:14" hidden="1" x14ac:dyDescent="0.2">
      <c r="A205">
        <v>2021</v>
      </c>
      <c r="B205">
        <v>16</v>
      </c>
      <c r="C205" t="s">
        <v>30</v>
      </c>
      <c r="D205" t="s">
        <v>18</v>
      </c>
      <c r="E205">
        <v>205.1</v>
      </c>
      <c r="F205">
        <v>113.88</v>
      </c>
      <c r="G205">
        <f>E205+F205</f>
        <v>318.98</v>
      </c>
      <c r="H205">
        <f>E205-F205</f>
        <v>91.22</v>
      </c>
      <c r="I205" t="s">
        <v>32</v>
      </c>
      <c r="J205" t="s">
        <v>20</v>
      </c>
      <c r="K205" t="str">
        <f>_xlfn.CONCAT(_xlfn.CONCAT(I205,"|"), J205)</f>
        <v>Cam|Schulwolf</v>
      </c>
      <c r="L205">
        <v>1</v>
      </c>
      <c r="M205">
        <v>1</v>
      </c>
      <c r="N205">
        <v>0</v>
      </c>
    </row>
    <row r="206" spans="1:14" hidden="1" x14ac:dyDescent="0.2">
      <c r="A206">
        <v>2024</v>
      </c>
      <c r="B206">
        <v>14</v>
      </c>
      <c r="C206" t="s">
        <v>76</v>
      </c>
      <c r="D206" t="s">
        <v>75</v>
      </c>
      <c r="E206">
        <v>154.66</v>
      </c>
      <c r="F206">
        <v>128.46</v>
      </c>
      <c r="G206">
        <f>E206+F206</f>
        <v>283.12</v>
      </c>
      <c r="H206">
        <f>E206-F206</f>
        <v>26.199999999999989</v>
      </c>
      <c r="I206" t="s">
        <v>32</v>
      </c>
      <c r="J206" t="s">
        <v>36</v>
      </c>
      <c r="K206" t="str">
        <f>_xlfn.CONCAT(_xlfn.CONCAT(I206,"|"), J206)</f>
        <v>Cam|Will</v>
      </c>
      <c r="L206">
        <v>0</v>
      </c>
      <c r="M206">
        <v>0</v>
      </c>
      <c r="N206">
        <v>0</v>
      </c>
    </row>
    <row r="207" spans="1:14" hidden="1" x14ac:dyDescent="0.2">
      <c r="A207">
        <v>2025</v>
      </c>
      <c r="B207">
        <v>5</v>
      </c>
      <c r="C207" t="s">
        <v>31</v>
      </c>
      <c r="D207" t="s">
        <v>525</v>
      </c>
      <c r="E207">
        <v>133.18</v>
      </c>
      <c r="F207">
        <v>107.04</v>
      </c>
      <c r="G207">
        <f>E207+F207</f>
        <v>240.22000000000003</v>
      </c>
      <c r="H207">
        <f>E207-F207</f>
        <v>26.14</v>
      </c>
      <c r="I207" t="s">
        <v>33</v>
      </c>
      <c r="J207" t="s">
        <v>36</v>
      </c>
      <c r="K207" t="str">
        <f>_xlfn.CONCAT(_xlfn.CONCAT(I207,"|"), J207)</f>
        <v>Jay|Will</v>
      </c>
      <c r="L207">
        <v>0</v>
      </c>
      <c r="M207">
        <v>0</v>
      </c>
      <c r="N207">
        <v>0</v>
      </c>
    </row>
    <row r="208" spans="1:14" hidden="1" x14ac:dyDescent="0.2">
      <c r="A208">
        <v>2021</v>
      </c>
      <c r="B208">
        <v>13</v>
      </c>
      <c r="C208" t="s">
        <v>23</v>
      </c>
      <c r="D208" t="s">
        <v>27</v>
      </c>
      <c r="E208">
        <v>128.06</v>
      </c>
      <c r="F208">
        <v>102.22</v>
      </c>
      <c r="G208">
        <f>E208+F208</f>
        <v>230.28</v>
      </c>
      <c r="H208">
        <f>E208-F208</f>
        <v>25.840000000000003</v>
      </c>
      <c r="I208" t="s">
        <v>25</v>
      </c>
      <c r="J208" t="s">
        <v>29</v>
      </c>
      <c r="K208" t="str">
        <f>_xlfn.CONCAT(_xlfn.CONCAT(I208,"|"), J208)</f>
        <v>Burnett|Eli</v>
      </c>
      <c r="L208">
        <v>0</v>
      </c>
      <c r="M208">
        <v>0</v>
      </c>
      <c r="N208">
        <v>0</v>
      </c>
    </row>
    <row r="209" spans="1:14" hidden="1" x14ac:dyDescent="0.2">
      <c r="A209">
        <v>2021</v>
      </c>
      <c r="B209">
        <v>3</v>
      </c>
      <c r="C209" t="s">
        <v>34</v>
      </c>
      <c r="D209" t="s">
        <v>26</v>
      </c>
      <c r="E209">
        <v>113.44</v>
      </c>
      <c r="F209">
        <v>87.78</v>
      </c>
      <c r="G209">
        <f>E209+F209</f>
        <v>201.22</v>
      </c>
      <c r="H209">
        <f>E209-F209</f>
        <v>25.659999999999997</v>
      </c>
      <c r="I209" t="s">
        <v>36</v>
      </c>
      <c r="J209" t="s">
        <v>28</v>
      </c>
      <c r="K209" t="str">
        <f>_xlfn.CONCAT(_xlfn.CONCAT(I209,"|"), J209)</f>
        <v>Will|Tommy</v>
      </c>
      <c r="L209">
        <v>0</v>
      </c>
      <c r="M209">
        <v>0</v>
      </c>
      <c r="N209">
        <v>0</v>
      </c>
    </row>
    <row r="210" spans="1:14" hidden="1" x14ac:dyDescent="0.2">
      <c r="A210">
        <v>2022</v>
      </c>
      <c r="B210">
        <v>17</v>
      </c>
      <c r="C210" t="s">
        <v>40</v>
      </c>
      <c r="D210" t="s">
        <v>14</v>
      </c>
      <c r="E210">
        <v>113.96</v>
      </c>
      <c r="F210">
        <v>113.78</v>
      </c>
      <c r="G210">
        <f>E210+F210</f>
        <v>227.74</v>
      </c>
      <c r="H210">
        <f>E210-F210</f>
        <v>0.17999999999999261</v>
      </c>
      <c r="I210" t="s">
        <v>29</v>
      </c>
      <c r="J210" t="s">
        <v>16</v>
      </c>
      <c r="K210" t="str">
        <f>_xlfn.CONCAT(_xlfn.CONCAT(I210,"|"), J210)</f>
        <v>Eli|Brenton</v>
      </c>
      <c r="L210">
        <v>1</v>
      </c>
      <c r="M210">
        <v>0</v>
      </c>
      <c r="N210">
        <v>0</v>
      </c>
    </row>
    <row r="211" spans="1:14" hidden="1" x14ac:dyDescent="0.2">
      <c r="A211">
        <v>2021</v>
      </c>
      <c r="B211">
        <v>8</v>
      </c>
      <c r="C211" t="s">
        <v>35</v>
      </c>
      <c r="D211" t="s">
        <v>27</v>
      </c>
      <c r="E211">
        <v>113.9</v>
      </c>
      <c r="F211">
        <v>88.32</v>
      </c>
      <c r="G211">
        <f>E211+F211</f>
        <v>202.22</v>
      </c>
      <c r="H211">
        <f>E211-F211</f>
        <v>25.580000000000013</v>
      </c>
      <c r="I211" t="s">
        <v>37</v>
      </c>
      <c r="J211" t="s">
        <v>29</v>
      </c>
      <c r="K211" t="str">
        <f>_xlfn.CONCAT(_xlfn.CONCAT(I211,"|"), J211)</f>
        <v>Brand/Kevin|Eli</v>
      </c>
      <c r="L211">
        <v>0</v>
      </c>
      <c r="M211">
        <v>0</v>
      </c>
      <c r="N211">
        <v>0</v>
      </c>
    </row>
    <row r="212" spans="1:14" hidden="1" x14ac:dyDescent="0.2">
      <c r="A212">
        <v>2025</v>
      </c>
      <c r="B212">
        <v>1</v>
      </c>
      <c r="C212" t="s">
        <v>31</v>
      </c>
      <c r="D212" t="s">
        <v>35</v>
      </c>
      <c r="E212">
        <v>119.12</v>
      </c>
      <c r="F212">
        <v>93.58</v>
      </c>
      <c r="G212">
        <f>E212+F212</f>
        <v>212.7</v>
      </c>
      <c r="H212">
        <f>E212-F212</f>
        <v>25.540000000000006</v>
      </c>
      <c r="I212" t="s">
        <v>33</v>
      </c>
      <c r="J212" t="s">
        <v>49</v>
      </c>
      <c r="K212" t="str">
        <f>_xlfn.CONCAT(_xlfn.CONCAT(I212,"|"), J212)</f>
        <v>Jay|Brand</v>
      </c>
      <c r="L212">
        <v>0</v>
      </c>
      <c r="M212">
        <v>0</v>
      </c>
      <c r="N212">
        <v>0</v>
      </c>
    </row>
    <row r="213" spans="1:14" hidden="1" x14ac:dyDescent="0.2">
      <c r="A213">
        <v>2021</v>
      </c>
      <c r="B213">
        <v>14</v>
      </c>
      <c r="C213" t="s">
        <v>19</v>
      </c>
      <c r="D213" t="s">
        <v>27</v>
      </c>
      <c r="E213">
        <v>96.22</v>
      </c>
      <c r="F213">
        <v>70.680000000000007</v>
      </c>
      <c r="G213">
        <f>E213+F213</f>
        <v>166.9</v>
      </c>
      <c r="H213">
        <f>E213-F213</f>
        <v>25.539999999999992</v>
      </c>
      <c r="I213" t="s">
        <v>21</v>
      </c>
      <c r="J213" t="s">
        <v>29</v>
      </c>
      <c r="K213" t="str">
        <f>_xlfn.CONCAT(_xlfn.CONCAT(I213,"|"), J213)</f>
        <v>Todd|Eli</v>
      </c>
      <c r="L213">
        <v>0</v>
      </c>
      <c r="M213">
        <v>0</v>
      </c>
      <c r="N213">
        <v>0</v>
      </c>
    </row>
    <row r="214" spans="1:14" hidden="1" x14ac:dyDescent="0.2">
      <c r="A214">
        <v>2025</v>
      </c>
      <c r="B214">
        <v>3</v>
      </c>
      <c r="C214" t="s">
        <v>35</v>
      </c>
      <c r="D214" t="s">
        <v>42</v>
      </c>
      <c r="E214">
        <v>115.64</v>
      </c>
      <c r="F214">
        <v>90.24</v>
      </c>
      <c r="G214">
        <f>E214+F214</f>
        <v>205.88</v>
      </c>
      <c r="H214">
        <f>E214-F214</f>
        <v>25.400000000000006</v>
      </c>
      <c r="I214" t="s">
        <v>49</v>
      </c>
      <c r="J214" t="s">
        <v>17</v>
      </c>
      <c r="K214" t="str">
        <f>_xlfn.CONCAT(_xlfn.CONCAT(I214,"|"), J214)</f>
        <v>Brand|Mike</v>
      </c>
      <c r="L214">
        <v>0</v>
      </c>
      <c r="M214">
        <v>0</v>
      </c>
      <c r="N214">
        <v>0</v>
      </c>
    </row>
    <row r="215" spans="1:14" hidden="1" x14ac:dyDescent="0.2">
      <c r="A215">
        <v>2025</v>
      </c>
      <c r="B215">
        <v>9</v>
      </c>
      <c r="C215" t="s">
        <v>18</v>
      </c>
      <c r="D215" t="s">
        <v>77</v>
      </c>
      <c r="E215">
        <v>135.69999999999999</v>
      </c>
      <c r="F215">
        <v>110.32</v>
      </c>
      <c r="G215">
        <f>E215+F215</f>
        <v>246.01999999999998</v>
      </c>
      <c r="H215">
        <f>E215-F215</f>
        <v>25.379999999999995</v>
      </c>
      <c r="I215" t="s">
        <v>20</v>
      </c>
      <c r="J215" t="s">
        <v>45</v>
      </c>
      <c r="K215" t="str">
        <f>_xlfn.CONCAT(_xlfn.CONCAT(I215,"|"), J215)</f>
        <v>Schulwolf|Kevin</v>
      </c>
      <c r="L215">
        <v>0</v>
      </c>
      <c r="M215">
        <v>0</v>
      </c>
      <c r="N215">
        <v>0</v>
      </c>
    </row>
    <row r="216" spans="1:14" hidden="1" x14ac:dyDescent="0.2">
      <c r="A216">
        <v>2022</v>
      </c>
      <c r="B216">
        <v>10</v>
      </c>
      <c r="C216" t="s">
        <v>42</v>
      </c>
      <c r="D216" t="s">
        <v>39</v>
      </c>
      <c r="E216">
        <v>122.8</v>
      </c>
      <c r="F216">
        <v>97.44</v>
      </c>
      <c r="G216">
        <f>E216+F216</f>
        <v>220.24</v>
      </c>
      <c r="H216">
        <f>E216-F216</f>
        <v>25.36</v>
      </c>
      <c r="I216" t="s">
        <v>17</v>
      </c>
      <c r="J216" t="s">
        <v>32</v>
      </c>
      <c r="K216" t="str">
        <f>_xlfn.CONCAT(_xlfn.CONCAT(I216,"|"), J216)</f>
        <v>Mike|Cam</v>
      </c>
      <c r="L216">
        <v>0</v>
      </c>
      <c r="M216">
        <v>0</v>
      </c>
      <c r="N216">
        <v>0</v>
      </c>
    </row>
    <row r="217" spans="1:14" hidden="1" x14ac:dyDescent="0.2">
      <c r="A217">
        <v>2022</v>
      </c>
      <c r="B217">
        <v>15</v>
      </c>
      <c r="C217" t="s">
        <v>14</v>
      </c>
      <c r="D217" t="s">
        <v>18</v>
      </c>
      <c r="E217">
        <v>126.2</v>
      </c>
      <c r="F217">
        <v>101.8</v>
      </c>
      <c r="G217">
        <f>E217+F217</f>
        <v>228</v>
      </c>
      <c r="H217">
        <f>E217-F217</f>
        <v>24.400000000000006</v>
      </c>
      <c r="I217" t="s">
        <v>16</v>
      </c>
      <c r="J217" t="s">
        <v>20</v>
      </c>
      <c r="K217" t="str">
        <f>_xlfn.CONCAT(_xlfn.CONCAT(I217,"|"), J217)</f>
        <v>Brenton|Schulwolf</v>
      </c>
      <c r="L217">
        <v>0</v>
      </c>
      <c r="M217">
        <v>0</v>
      </c>
      <c r="N217">
        <v>0</v>
      </c>
    </row>
    <row r="218" spans="1:14" hidden="1" x14ac:dyDescent="0.2">
      <c r="A218">
        <v>2021</v>
      </c>
      <c r="B218">
        <v>10</v>
      </c>
      <c r="C218" t="s">
        <v>35</v>
      </c>
      <c r="D218" t="s">
        <v>31</v>
      </c>
      <c r="E218">
        <v>110.54</v>
      </c>
      <c r="F218">
        <v>86.44</v>
      </c>
      <c r="G218">
        <f>E218+F218</f>
        <v>196.98000000000002</v>
      </c>
      <c r="H218">
        <f>E218-F218</f>
        <v>24.100000000000009</v>
      </c>
      <c r="I218" t="s">
        <v>37</v>
      </c>
      <c r="J218" t="s">
        <v>33</v>
      </c>
      <c r="K218" t="str">
        <f>_xlfn.CONCAT(_xlfn.CONCAT(I218,"|"), J218)</f>
        <v>Brand/Kevin|Jay</v>
      </c>
      <c r="L218">
        <v>0</v>
      </c>
      <c r="M218">
        <v>0</v>
      </c>
      <c r="N218">
        <v>0</v>
      </c>
    </row>
    <row r="219" spans="1:14" hidden="1" x14ac:dyDescent="0.2">
      <c r="A219">
        <v>2021</v>
      </c>
      <c r="B219">
        <v>2</v>
      </c>
      <c r="C219" t="s">
        <v>14</v>
      </c>
      <c r="D219" t="s">
        <v>35</v>
      </c>
      <c r="E219">
        <v>124.02</v>
      </c>
      <c r="F219">
        <v>100.12</v>
      </c>
      <c r="G219">
        <f>E219+F219</f>
        <v>224.14</v>
      </c>
      <c r="H219">
        <f>E219-F219</f>
        <v>23.899999999999991</v>
      </c>
      <c r="I219" t="s">
        <v>16</v>
      </c>
      <c r="J219" t="s">
        <v>37</v>
      </c>
      <c r="K219" t="str">
        <f>_xlfn.CONCAT(_xlfn.CONCAT(I219,"|"), J219)</f>
        <v>Brenton|Brand/Kevin</v>
      </c>
      <c r="L219">
        <v>0</v>
      </c>
      <c r="M219">
        <v>0</v>
      </c>
      <c r="N219">
        <v>0</v>
      </c>
    </row>
    <row r="220" spans="1:14" hidden="1" x14ac:dyDescent="0.2">
      <c r="A220">
        <v>2023</v>
      </c>
      <c r="B220">
        <v>1</v>
      </c>
      <c r="C220" t="s">
        <v>44</v>
      </c>
      <c r="D220" t="s">
        <v>26</v>
      </c>
      <c r="E220">
        <v>115.34</v>
      </c>
      <c r="F220">
        <v>91.8</v>
      </c>
      <c r="G220">
        <f>E220+F220</f>
        <v>207.14</v>
      </c>
      <c r="H220">
        <f>E220-F220</f>
        <v>23.540000000000006</v>
      </c>
      <c r="I220" t="s">
        <v>45</v>
      </c>
      <c r="J220" t="s">
        <v>28</v>
      </c>
      <c r="K220" t="str">
        <f>_xlfn.CONCAT(_xlfn.CONCAT(I220,"|"), J220)</f>
        <v>Kevin|Tommy</v>
      </c>
      <c r="L220">
        <v>0</v>
      </c>
      <c r="M220">
        <v>0</v>
      </c>
      <c r="N220">
        <v>0</v>
      </c>
    </row>
    <row r="221" spans="1:14" hidden="1" x14ac:dyDescent="0.2">
      <c r="A221">
        <v>2025</v>
      </c>
      <c r="B221">
        <v>9</v>
      </c>
      <c r="C221" t="s">
        <v>524</v>
      </c>
      <c r="D221" t="s">
        <v>31</v>
      </c>
      <c r="E221">
        <v>111.42</v>
      </c>
      <c r="F221">
        <v>87.98</v>
      </c>
      <c r="G221">
        <f>E221+F221</f>
        <v>199.4</v>
      </c>
      <c r="H221">
        <f>E221-F221</f>
        <v>23.439999999999998</v>
      </c>
      <c r="I221" t="s">
        <v>21</v>
      </c>
      <c r="J221" t="s">
        <v>33</v>
      </c>
      <c r="K221" t="str">
        <f>_xlfn.CONCAT(_xlfn.CONCAT(I221,"|"), J221)</f>
        <v>Todd|Jay</v>
      </c>
      <c r="L221">
        <v>0</v>
      </c>
      <c r="M221">
        <v>0</v>
      </c>
      <c r="N221">
        <v>0</v>
      </c>
    </row>
    <row r="222" spans="1:14" hidden="1" x14ac:dyDescent="0.2">
      <c r="A222">
        <v>2023</v>
      </c>
      <c r="B222">
        <v>7</v>
      </c>
      <c r="C222" t="s">
        <v>52</v>
      </c>
      <c r="D222" t="s">
        <v>42</v>
      </c>
      <c r="E222">
        <v>98.36</v>
      </c>
      <c r="F222">
        <v>74.959999999999994</v>
      </c>
      <c r="G222">
        <f>E222+F222</f>
        <v>173.32</v>
      </c>
      <c r="H222">
        <f>E222-F222</f>
        <v>23.400000000000006</v>
      </c>
      <c r="I222" t="s">
        <v>32</v>
      </c>
      <c r="J222" t="s">
        <v>17</v>
      </c>
      <c r="K222" t="str">
        <f>_xlfn.CONCAT(_xlfn.CONCAT(I222,"|"), J222)</f>
        <v>Cam|Mike</v>
      </c>
      <c r="L222">
        <v>0</v>
      </c>
      <c r="M222">
        <v>0</v>
      </c>
      <c r="N222">
        <v>0</v>
      </c>
    </row>
    <row r="223" spans="1:14" hidden="1" x14ac:dyDescent="0.2">
      <c r="A223">
        <v>2023</v>
      </c>
      <c r="B223">
        <v>13</v>
      </c>
      <c r="C223" t="s">
        <v>52</v>
      </c>
      <c r="D223" t="s">
        <v>46</v>
      </c>
      <c r="E223">
        <v>121.26</v>
      </c>
      <c r="F223">
        <v>98.06</v>
      </c>
      <c r="G223">
        <f>E223+F223</f>
        <v>219.32</v>
      </c>
      <c r="H223">
        <f>E223-F223</f>
        <v>23.200000000000003</v>
      </c>
      <c r="I223" t="s">
        <v>32</v>
      </c>
      <c r="J223" t="s">
        <v>47</v>
      </c>
      <c r="K223" t="str">
        <f>_xlfn.CONCAT(_xlfn.CONCAT(I223,"|"), J223)</f>
        <v>Cam|Burnett/Jasjaap</v>
      </c>
      <c r="L223">
        <v>0</v>
      </c>
      <c r="M223">
        <v>0</v>
      </c>
      <c r="N223">
        <v>0</v>
      </c>
    </row>
    <row r="224" spans="1:14" hidden="1" x14ac:dyDescent="0.2">
      <c r="A224">
        <v>2022</v>
      </c>
      <c r="B224">
        <v>12</v>
      </c>
      <c r="C224" t="s">
        <v>42</v>
      </c>
      <c r="D224" t="s">
        <v>23</v>
      </c>
      <c r="E224">
        <v>121.02</v>
      </c>
      <c r="F224">
        <v>97.96</v>
      </c>
      <c r="G224">
        <f>E224+F224</f>
        <v>218.98</v>
      </c>
      <c r="H224">
        <f>E224-F224</f>
        <v>23.060000000000002</v>
      </c>
      <c r="I224" t="s">
        <v>17</v>
      </c>
      <c r="J224" t="s">
        <v>25</v>
      </c>
      <c r="K224" t="str">
        <f>_xlfn.CONCAT(_xlfn.CONCAT(I224,"|"), J224)</f>
        <v>Mike|Burnett</v>
      </c>
      <c r="L224">
        <v>0</v>
      </c>
      <c r="M224">
        <v>0</v>
      </c>
      <c r="N224">
        <v>0</v>
      </c>
    </row>
    <row r="225" spans="1:14" hidden="1" x14ac:dyDescent="0.2">
      <c r="A225">
        <v>2023</v>
      </c>
      <c r="B225">
        <v>14</v>
      </c>
      <c r="C225" t="s">
        <v>35</v>
      </c>
      <c r="D225" t="s">
        <v>26</v>
      </c>
      <c r="E225">
        <v>106.42</v>
      </c>
      <c r="F225">
        <v>83.38</v>
      </c>
      <c r="G225">
        <f>E225+F225</f>
        <v>189.8</v>
      </c>
      <c r="H225">
        <f>E225-F225</f>
        <v>23.040000000000006</v>
      </c>
      <c r="I225" t="s">
        <v>49</v>
      </c>
      <c r="J225" t="s">
        <v>28</v>
      </c>
      <c r="K225" t="str">
        <f>_xlfn.CONCAT(_xlfn.CONCAT(I225,"|"), J225)</f>
        <v>Brand|Tommy</v>
      </c>
      <c r="L225">
        <v>0</v>
      </c>
      <c r="M225">
        <v>0</v>
      </c>
      <c r="N225">
        <v>0</v>
      </c>
    </row>
    <row r="226" spans="1:14" hidden="1" x14ac:dyDescent="0.2">
      <c r="A226">
        <v>2025</v>
      </c>
      <c r="B226">
        <v>1</v>
      </c>
      <c r="C226" t="s">
        <v>18</v>
      </c>
      <c r="D226" t="s">
        <v>524</v>
      </c>
      <c r="E226">
        <v>145.62</v>
      </c>
      <c r="F226">
        <v>122.66</v>
      </c>
      <c r="G226">
        <f>E226+F226</f>
        <v>268.27999999999997</v>
      </c>
      <c r="H226">
        <f>E226-F226</f>
        <v>22.960000000000008</v>
      </c>
      <c r="I226" t="s">
        <v>20</v>
      </c>
      <c r="J226" t="s">
        <v>21</v>
      </c>
      <c r="K226" t="str">
        <f>_xlfn.CONCAT(_xlfn.CONCAT(I226,"|"), J226)</f>
        <v>Schulwolf|Todd</v>
      </c>
      <c r="L226">
        <v>0</v>
      </c>
      <c r="M226">
        <v>0</v>
      </c>
      <c r="N226">
        <v>0</v>
      </c>
    </row>
    <row r="227" spans="1:14" hidden="1" x14ac:dyDescent="0.2">
      <c r="A227">
        <v>2021</v>
      </c>
      <c r="B227">
        <v>12</v>
      </c>
      <c r="C227" t="s">
        <v>34</v>
      </c>
      <c r="D227" t="s">
        <v>35</v>
      </c>
      <c r="E227">
        <v>107.52</v>
      </c>
      <c r="F227">
        <v>84.78</v>
      </c>
      <c r="G227">
        <f>E227+F227</f>
        <v>192.3</v>
      </c>
      <c r="H227">
        <f>E227-F227</f>
        <v>22.739999999999995</v>
      </c>
      <c r="I227" t="s">
        <v>36</v>
      </c>
      <c r="J227" t="s">
        <v>37</v>
      </c>
      <c r="K227" t="str">
        <f>_xlfn.CONCAT(_xlfn.CONCAT(I227,"|"), J227)</f>
        <v>Will|Brand/Kevin</v>
      </c>
      <c r="L227">
        <v>0</v>
      </c>
      <c r="M227">
        <v>0</v>
      </c>
      <c r="N227">
        <v>0</v>
      </c>
    </row>
    <row r="228" spans="1:14" hidden="1" x14ac:dyDescent="0.2">
      <c r="A228">
        <v>2021</v>
      </c>
      <c r="B228">
        <v>6</v>
      </c>
      <c r="C228" t="s">
        <v>23</v>
      </c>
      <c r="D228" t="s">
        <v>26</v>
      </c>
      <c r="E228">
        <v>127.54</v>
      </c>
      <c r="F228">
        <v>105.08</v>
      </c>
      <c r="G228">
        <f>E228+F228</f>
        <v>232.62</v>
      </c>
      <c r="H228">
        <f>E228-F228</f>
        <v>22.460000000000008</v>
      </c>
      <c r="I228" t="s">
        <v>25</v>
      </c>
      <c r="J228" t="s">
        <v>28</v>
      </c>
      <c r="K228" t="str">
        <f>_xlfn.CONCAT(_xlfn.CONCAT(I228,"|"), J228)</f>
        <v>Burnett|Tommy</v>
      </c>
      <c r="L228">
        <v>0</v>
      </c>
      <c r="M228">
        <v>0</v>
      </c>
      <c r="N228">
        <v>0</v>
      </c>
    </row>
    <row r="229" spans="1:14" hidden="1" x14ac:dyDescent="0.2">
      <c r="A229">
        <v>2018</v>
      </c>
      <c r="B229">
        <v>16</v>
      </c>
      <c r="C229" t="s">
        <v>57</v>
      </c>
      <c r="D229" t="s">
        <v>23</v>
      </c>
      <c r="E229">
        <v>126.12</v>
      </c>
      <c r="F229">
        <v>100.54</v>
      </c>
      <c r="G229">
        <f>E229+F229</f>
        <v>226.66000000000003</v>
      </c>
      <c r="H229">
        <f>E229-F229</f>
        <v>25.58</v>
      </c>
      <c r="I229" t="s">
        <v>17</v>
      </c>
      <c r="J229" t="s">
        <v>25</v>
      </c>
      <c r="K229" t="str">
        <f>_xlfn.CONCAT(_xlfn.CONCAT(I229,"|"), J229)</f>
        <v>Mike|Burnett</v>
      </c>
      <c r="L229">
        <v>1</v>
      </c>
      <c r="M229">
        <v>0</v>
      </c>
      <c r="N229">
        <v>1</v>
      </c>
    </row>
    <row r="230" spans="1:14" hidden="1" x14ac:dyDescent="0.2">
      <c r="A230">
        <v>2024</v>
      </c>
      <c r="B230">
        <v>12</v>
      </c>
      <c r="C230" t="s">
        <v>18</v>
      </c>
      <c r="D230" t="s">
        <v>26</v>
      </c>
      <c r="E230">
        <v>148.19999999999999</v>
      </c>
      <c r="F230">
        <v>125.86</v>
      </c>
      <c r="G230">
        <f>E230+F230</f>
        <v>274.06</v>
      </c>
      <c r="H230">
        <f>E230-F230</f>
        <v>22.339999999999989</v>
      </c>
      <c r="I230" t="s">
        <v>20</v>
      </c>
      <c r="J230" t="s">
        <v>28</v>
      </c>
      <c r="K230" t="str">
        <f>_xlfn.CONCAT(_xlfn.CONCAT(I230,"|"), J230)</f>
        <v>Schulwolf|Tommy</v>
      </c>
      <c r="L230">
        <v>0</v>
      </c>
      <c r="M230">
        <v>0</v>
      </c>
      <c r="N230">
        <v>0</v>
      </c>
    </row>
    <row r="231" spans="1:14" hidden="1" x14ac:dyDescent="0.2">
      <c r="A231">
        <v>2024</v>
      </c>
      <c r="B231">
        <v>8</v>
      </c>
      <c r="C231" t="s">
        <v>42</v>
      </c>
      <c r="D231" t="s">
        <v>35</v>
      </c>
      <c r="E231">
        <v>102.46</v>
      </c>
      <c r="F231">
        <v>80.319999999999993</v>
      </c>
      <c r="G231">
        <f>E231+F231</f>
        <v>182.77999999999997</v>
      </c>
      <c r="H231">
        <f>E231-F231</f>
        <v>22.14</v>
      </c>
      <c r="I231" t="s">
        <v>17</v>
      </c>
      <c r="J231" t="s">
        <v>49</v>
      </c>
      <c r="K231" t="str">
        <f>_xlfn.CONCAT(_xlfn.CONCAT(I231,"|"), J231)</f>
        <v>Mike|Brand</v>
      </c>
      <c r="L231">
        <v>0</v>
      </c>
      <c r="M231">
        <v>0</v>
      </c>
      <c r="N231">
        <v>0</v>
      </c>
    </row>
    <row r="232" spans="1:14" hidden="1" x14ac:dyDescent="0.2">
      <c r="A232">
        <v>2012</v>
      </c>
      <c r="B232">
        <v>15</v>
      </c>
      <c r="C232" t="s">
        <v>71</v>
      </c>
      <c r="D232" t="s">
        <v>72</v>
      </c>
      <c r="E232">
        <v>102.56</v>
      </c>
      <c r="F232">
        <v>100.38</v>
      </c>
      <c r="G232">
        <f>E232+F232</f>
        <v>202.94</v>
      </c>
      <c r="H232">
        <f>E232-F232</f>
        <v>2.1800000000000068</v>
      </c>
      <c r="I232" t="s">
        <v>62</v>
      </c>
      <c r="J232" t="s">
        <v>28</v>
      </c>
      <c r="K232" t="str">
        <f>_xlfn.CONCAT(_xlfn.CONCAT(I232,"|"), J232)</f>
        <v>Codola|Tommy</v>
      </c>
      <c r="L232">
        <v>1</v>
      </c>
      <c r="M232">
        <v>1</v>
      </c>
      <c r="N232">
        <v>0</v>
      </c>
    </row>
    <row r="233" spans="1:14" hidden="1" x14ac:dyDescent="0.2">
      <c r="A233">
        <v>2020</v>
      </c>
      <c r="B233">
        <v>15</v>
      </c>
      <c r="C233" t="s">
        <v>31</v>
      </c>
      <c r="D233" t="s">
        <v>54</v>
      </c>
      <c r="E233">
        <v>120.74</v>
      </c>
      <c r="F233">
        <v>100.36</v>
      </c>
      <c r="G233">
        <f>E233+F233</f>
        <v>221.1</v>
      </c>
      <c r="H233">
        <f>E233-F233</f>
        <v>20.379999999999995</v>
      </c>
      <c r="I233" t="s">
        <v>33</v>
      </c>
      <c r="J233" t="s">
        <v>32</v>
      </c>
      <c r="K233" t="str">
        <f>_xlfn.CONCAT(_xlfn.CONCAT(I233,"|"), J233)</f>
        <v>Jay|Cam</v>
      </c>
      <c r="L233">
        <v>1</v>
      </c>
      <c r="M233">
        <v>1</v>
      </c>
      <c r="N233">
        <v>0</v>
      </c>
    </row>
    <row r="234" spans="1:14" hidden="1" x14ac:dyDescent="0.2">
      <c r="A234">
        <v>2021</v>
      </c>
      <c r="B234">
        <v>15</v>
      </c>
      <c r="C234" t="s">
        <v>18</v>
      </c>
      <c r="D234" t="s">
        <v>35</v>
      </c>
      <c r="E234">
        <v>106.12</v>
      </c>
      <c r="F234">
        <v>84.4</v>
      </c>
      <c r="G234">
        <f>E234+F234</f>
        <v>190.52</v>
      </c>
      <c r="H234">
        <f>E234-F234</f>
        <v>21.72</v>
      </c>
      <c r="I234" t="s">
        <v>20</v>
      </c>
      <c r="J234" t="s">
        <v>37</v>
      </c>
      <c r="K234" t="str">
        <f>_xlfn.CONCAT(_xlfn.CONCAT(I234,"|"), J234)</f>
        <v>Schulwolf|Brand/Kevin</v>
      </c>
      <c r="L234">
        <v>0</v>
      </c>
      <c r="M234">
        <v>0</v>
      </c>
      <c r="N234">
        <v>0</v>
      </c>
    </row>
    <row r="235" spans="1:14" hidden="1" x14ac:dyDescent="0.2">
      <c r="A235">
        <v>2025</v>
      </c>
      <c r="B235">
        <v>5</v>
      </c>
      <c r="C235" t="s">
        <v>14</v>
      </c>
      <c r="D235" t="s">
        <v>46</v>
      </c>
      <c r="E235">
        <v>122.86</v>
      </c>
      <c r="F235">
        <v>101.24</v>
      </c>
      <c r="G235">
        <f>E235+F235</f>
        <v>224.1</v>
      </c>
      <c r="H235">
        <f>E235-F235</f>
        <v>21.620000000000005</v>
      </c>
      <c r="I235" t="s">
        <v>16</v>
      </c>
      <c r="J235" t="s">
        <v>47</v>
      </c>
      <c r="K235" t="str">
        <f>_xlfn.CONCAT(_xlfn.CONCAT(I235,"|"), J235)</f>
        <v>Brenton|Burnett/Jasjaap</v>
      </c>
      <c r="L235">
        <v>0</v>
      </c>
      <c r="M235">
        <v>0</v>
      </c>
      <c r="N235">
        <v>0</v>
      </c>
    </row>
    <row r="236" spans="1:14" hidden="1" x14ac:dyDescent="0.2">
      <c r="A236">
        <v>2024</v>
      </c>
      <c r="B236">
        <v>7</v>
      </c>
      <c r="C236" t="s">
        <v>77</v>
      </c>
      <c r="D236" t="s">
        <v>74</v>
      </c>
      <c r="E236">
        <v>131.63999999999999</v>
      </c>
      <c r="F236">
        <v>110.06</v>
      </c>
      <c r="G236">
        <f>E236+F236</f>
        <v>241.7</v>
      </c>
      <c r="H236">
        <f>E236-F236</f>
        <v>21.579999999999984</v>
      </c>
      <c r="I236" t="s">
        <v>45</v>
      </c>
      <c r="J236" t="s">
        <v>29</v>
      </c>
      <c r="K236" t="str">
        <f>_xlfn.CONCAT(_xlfn.CONCAT(I236,"|"), J236)</f>
        <v>Kevin|Eli</v>
      </c>
      <c r="L236">
        <v>0</v>
      </c>
      <c r="M236">
        <v>0</v>
      </c>
      <c r="N236">
        <v>0</v>
      </c>
    </row>
    <row r="237" spans="1:14" hidden="1" x14ac:dyDescent="0.2">
      <c r="A237">
        <v>2025</v>
      </c>
      <c r="B237">
        <v>11</v>
      </c>
      <c r="C237" t="s">
        <v>42</v>
      </c>
      <c r="D237" t="s">
        <v>14</v>
      </c>
      <c r="E237">
        <v>128.12</v>
      </c>
      <c r="F237">
        <v>106.62</v>
      </c>
      <c r="G237">
        <f>E237+F237</f>
        <v>234.74</v>
      </c>
      <c r="H237">
        <f>E237-F237</f>
        <v>21.5</v>
      </c>
      <c r="I237" t="s">
        <v>17</v>
      </c>
      <c r="J237" t="s">
        <v>16</v>
      </c>
      <c r="K237" t="str">
        <f>_xlfn.CONCAT(_xlfn.CONCAT(I237,"|"), J237)</f>
        <v>Mike|Brenton</v>
      </c>
      <c r="L237">
        <v>0</v>
      </c>
      <c r="M237">
        <v>0</v>
      </c>
      <c r="N237">
        <v>0</v>
      </c>
    </row>
    <row r="238" spans="1:14" hidden="1" x14ac:dyDescent="0.2">
      <c r="A238">
        <v>2024</v>
      </c>
      <c r="B238">
        <v>13</v>
      </c>
      <c r="C238" t="s">
        <v>46</v>
      </c>
      <c r="D238" t="s">
        <v>76</v>
      </c>
      <c r="E238">
        <v>134.76</v>
      </c>
      <c r="F238">
        <v>113.26</v>
      </c>
      <c r="G238">
        <f>E238+F238</f>
        <v>248.01999999999998</v>
      </c>
      <c r="H238">
        <f>E238-F238</f>
        <v>21.499999999999986</v>
      </c>
      <c r="I238" t="s">
        <v>47</v>
      </c>
      <c r="J238" t="s">
        <v>32</v>
      </c>
      <c r="K238" t="str">
        <f>_xlfn.CONCAT(_xlfn.CONCAT(I238,"|"), J238)</f>
        <v>Burnett/Jasjaap|Cam</v>
      </c>
      <c r="L238">
        <v>0</v>
      </c>
      <c r="M238">
        <v>0</v>
      </c>
      <c r="N238">
        <v>0</v>
      </c>
    </row>
    <row r="239" spans="1:14" hidden="1" x14ac:dyDescent="0.2">
      <c r="A239">
        <v>2022</v>
      </c>
      <c r="B239">
        <v>5</v>
      </c>
      <c r="C239" t="s">
        <v>26</v>
      </c>
      <c r="D239" t="s">
        <v>22</v>
      </c>
      <c r="E239">
        <v>129.46</v>
      </c>
      <c r="F239">
        <v>108.22</v>
      </c>
      <c r="G239">
        <f>E239+F239</f>
        <v>237.68</v>
      </c>
      <c r="H239">
        <f>E239-F239</f>
        <v>21.240000000000009</v>
      </c>
      <c r="I239" t="s">
        <v>28</v>
      </c>
      <c r="J239" t="s">
        <v>24</v>
      </c>
      <c r="K239" t="str">
        <f>_xlfn.CONCAT(_xlfn.CONCAT(I239,"|"), J239)</f>
        <v>Tommy|Jasjaap</v>
      </c>
      <c r="L239">
        <v>0</v>
      </c>
      <c r="M239">
        <v>0</v>
      </c>
      <c r="N239">
        <v>0</v>
      </c>
    </row>
    <row r="240" spans="1:14" hidden="1" x14ac:dyDescent="0.2">
      <c r="A240">
        <v>2021</v>
      </c>
      <c r="B240">
        <v>7</v>
      </c>
      <c r="C240" t="s">
        <v>35</v>
      </c>
      <c r="D240" t="s">
        <v>23</v>
      </c>
      <c r="E240">
        <v>120.24</v>
      </c>
      <c r="F240">
        <v>99</v>
      </c>
      <c r="G240">
        <f>E240+F240</f>
        <v>219.24</v>
      </c>
      <c r="H240">
        <f>E240-F240</f>
        <v>21.239999999999995</v>
      </c>
      <c r="I240" t="s">
        <v>37</v>
      </c>
      <c r="J240" t="s">
        <v>25</v>
      </c>
      <c r="K240" t="str">
        <f>_xlfn.CONCAT(_xlfn.CONCAT(I240,"|"), J240)</f>
        <v>Brand/Kevin|Burnett</v>
      </c>
      <c r="L240">
        <v>0</v>
      </c>
      <c r="M240">
        <v>0</v>
      </c>
      <c r="N240">
        <v>0</v>
      </c>
    </row>
    <row r="241" spans="1:14" hidden="1" x14ac:dyDescent="0.2">
      <c r="A241">
        <v>2024</v>
      </c>
      <c r="B241">
        <v>2</v>
      </c>
      <c r="C241" t="s">
        <v>76</v>
      </c>
      <c r="D241" t="s">
        <v>46</v>
      </c>
      <c r="E241">
        <v>146.84</v>
      </c>
      <c r="F241">
        <v>125.66</v>
      </c>
      <c r="G241">
        <f>E241+F241</f>
        <v>272.5</v>
      </c>
      <c r="H241">
        <f>E241-F241</f>
        <v>21.180000000000007</v>
      </c>
      <c r="I241" t="s">
        <v>32</v>
      </c>
      <c r="J241" t="s">
        <v>47</v>
      </c>
      <c r="K241" t="str">
        <f>_xlfn.CONCAT(_xlfn.CONCAT(I241,"|"), J241)</f>
        <v>Cam|Burnett/Jasjaap</v>
      </c>
      <c r="L241">
        <v>0</v>
      </c>
      <c r="M241">
        <v>0</v>
      </c>
      <c r="N241">
        <v>0</v>
      </c>
    </row>
    <row r="242" spans="1:14" hidden="1" x14ac:dyDescent="0.2">
      <c r="A242">
        <v>2023</v>
      </c>
      <c r="B242">
        <v>17</v>
      </c>
      <c r="C242" t="s">
        <v>48</v>
      </c>
      <c r="D242" t="s">
        <v>14</v>
      </c>
      <c r="E242">
        <v>120.4</v>
      </c>
      <c r="F242">
        <v>106.38</v>
      </c>
      <c r="G242">
        <f>E242+F242</f>
        <v>226.78</v>
      </c>
      <c r="H242">
        <f>E242-F242</f>
        <v>14.02000000000001</v>
      </c>
      <c r="I242" t="s">
        <v>36</v>
      </c>
      <c r="J242" t="s">
        <v>16</v>
      </c>
      <c r="K242" t="str">
        <f>_xlfn.CONCAT(_xlfn.CONCAT(I242,"|"), J242)</f>
        <v>Will|Brenton</v>
      </c>
      <c r="L242">
        <v>1</v>
      </c>
      <c r="M242">
        <v>0</v>
      </c>
      <c r="N242">
        <v>1</v>
      </c>
    </row>
    <row r="243" spans="1:14" hidden="1" x14ac:dyDescent="0.2">
      <c r="A243">
        <v>2021</v>
      </c>
      <c r="B243">
        <v>8</v>
      </c>
      <c r="C243" t="s">
        <v>18</v>
      </c>
      <c r="D243" t="s">
        <v>34</v>
      </c>
      <c r="E243">
        <v>127.16</v>
      </c>
      <c r="F243">
        <v>106.02</v>
      </c>
      <c r="G243">
        <f>E243+F243</f>
        <v>233.18</v>
      </c>
      <c r="H243">
        <f>E243-F243</f>
        <v>21.14</v>
      </c>
      <c r="I243" t="s">
        <v>20</v>
      </c>
      <c r="J243" t="s">
        <v>36</v>
      </c>
      <c r="K243" t="str">
        <f>_xlfn.CONCAT(_xlfn.CONCAT(I243,"|"), J243)</f>
        <v>Schulwolf|Will</v>
      </c>
      <c r="L243">
        <v>0</v>
      </c>
      <c r="M243">
        <v>0</v>
      </c>
      <c r="N243">
        <v>0</v>
      </c>
    </row>
    <row r="244" spans="1:14" hidden="1" x14ac:dyDescent="0.2">
      <c r="A244">
        <v>2023</v>
      </c>
      <c r="B244">
        <v>11</v>
      </c>
      <c r="C244" t="s">
        <v>51</v>
      </c>
      <c r="D244" t="s">
        <v>46</v>
      </c>
      <c r="E244">
        <v>109.86</v>
      </c>
      <c r="F244">
        <v>88.74</v>
      </c>
      <c r="G244">
        <f>E244+F244</f>
        <v>198.6</v>
      </c>
      <c r="H244">
        <f>E244-F244</f>
        <v>21.120000000000005</v>
      </c>
      <c r="I244" t="s">
        <v>21</v>
      </c>
      <c r="J244" t="s">
        <v>47</v>
      </c>
      <c r="K244" t="str">
        <f>_xlfn.CONCAT(_xlfn.CONCAT(I244,"|"), J244)</f>
        <v>Todd|Burnett/Jasjaap</v>
      </c>
      <c r="L244">
        <v>0</v>
      </c>
      <c r="M244">
        <v>0</v>
      </c>
      <c r="N244">
        <v>0</v>
      </c>
    </row>
    <row r="245" spans="1:14" hidden="1" x14ac:dyDescent="0.2">
      <c r="A245">
        <v>2025</v>
      </c>
      <c r="B245">
        <v>7</v>
      </c>
      <c r="C245" t="s">
        <v>35</v>
      </c>
      <c r="D245" t="s">
        <v>18</v>
      </c>
      <c r="E245">
        <v>151.63999999999999</v>
      </c>
      <c r="F245">
        <v>130.52000000000001</v>
      </c>
      <c r="G245">
        <f>E245+F245</f>
        <v>282.15999999999997</v>
      </c>
      <c r="H245">
        <f>E245-F245</f>
        <v>21.119999999999976</v>
      </c>
      <c r="I245" t="s">
        <v>49</v>
      </c>
      <c r="J245" t="s">
        <v>20</v>
      </c>
      <c r="K245" t="str">
        <f>_xlfn.CONCAT(_xlfn.CONCAT(I245,"|"), J245)</f>
        <v>Brand|Schulwolf</v>
      </c>
      <c r="L245">
        <v>0</v>
      </c>
      <c r="M245">
        <v>0</v>
      </c>
      <c r="N245">
        <v>0</v>
      </c>
    </row>
    <row r="246" spans="1:14" hidden="1" x14ac:dyDescent="0.2">
      <c r="A246">
        <v>2012</v>
      </c>
      <c r="B246">
        <v>15</v>
      </c>
      <c r="C246" t="s">
        <v>70</v>
      </c>
      <c r="D246" t="s">
        <v>35</v>
      </c>
      <c r="E246">
        <v>103.02</v>
      </c>
      <c r="F246">
        <v>99.56</v>
      </c>
      <c r="G246">
        <f>E246+F246</f>
        <v>202.57999999999998</v>
      </c>
      <c r="H246">
        <f>E246-F246</f>
        <v>3.4599999999999937</v>
      </c>
      <c r="I246" t="s">
        <v>36</v>
      </c>
      <c r="J246" t="s">
        <v>49</v>
      </c>
      <c r="K246" t="str">
        <f>_xlfn.CONCAT(_xlfn.CONCAT(I246,"|"), J246)</f>
        <v>Will|Brand</v>
      </c>
      <c r="L246">
        <v>1</v>
      </c>
      <c r="M246">
        <v>1</v>
      </c>
      <c r="N246">
        <v>0</v>
      </c>
    </row>
    <row r="247" spans="1:14" hidden="1" x14ac:dyDescent="0.2">
      <c r="A247">
        <v>2022</v>
      </c>
      <c r="B247">
        <v>15</v>
      </c>
      <c r="C247" t="s">
        <v>43</v>
      </c>
      <c r="D247" t="s">
        <v>26</v>
      </c>
      <c r="E247">
        <v>120.66</v>
      </c>
      <c r="F247">
        <v>99.6</v>
      </c>
      <c r="G247">
        <f>E247+F247</f>
        <v>220.26</v>
      </c>
      <c r="H247">
        <f>E247-F247</f>
        <v>21.060000000000002</v>
      </c>
      <c r="I247" t="s">
        <v>21</v>
      </c>
      <c r="J247" t="s">
        <v>28</v>
      </c>
      <c r="K247" t="str">
        <f>_xlfn.CONCAT(_xlfn.CONCAT(I247,"|"), J247)</f>
        <v>Todd|Tommy</v>
      </c>
      <c r="L247">
        <v>0</v>
      </c>
      <c r="M247">
        <v>0</v>
      </c>
      <c r="N247">
        <v>0</v>
      </c>
    </row>
    <row r="248" spans="1:14" hidden="1" x14ac:dyDescent="0.2">
      <c r="A248">
        <v>2025</v>
      </c>
      <c r="B248">
        <v>10</v>
      </c>
      <c r="C248" t="s">
        <v>31</v>
      </c>
      <c r="D248" t="s">
        <v>14</v>
      </c>
      <c r="E248">
        <v>106.6</v>
      </c>
      <c r="F248">
        <v>85.84</v>
      </c>
      <c r="G248">
        <f>E248+F248</f>
        <v>192.44</v>
      </c>
      <c r="H248">
        <f>E248-F248</f>
        <v>20.759999999999991</v>
      </c>
      <c r="I248" t="s">
        <v>33</v>
      </c>
      <c r="J248" t="s">
        <v>16</v>
      </c>
      <c r="K248" t="str">
        <f>_xlfn.CONCAT(_xlfn.CONCAT(I248,"|"), J248)</f>
        <v>Jay|Brenton</v>
      </c>
      <c r="L248">
        <v>0</v>
      </c>
      <c r="M248">
        <v>0</v>
      </c>
      <c r="N248">
        <v>0</v>
      </c>
    </row>
    <row r="249" spans="1:14" hidden="1" x14ac:dyDescent="0.2">
      <c r="A249">
        <v>2025</v>
      </c>
      <c r="B249">
        <v>11</v>
      </c>
      <c r="C249" t="s">
        <v>18</v>
      </c>
      <c r="D249" t="s">
        <v>526</v>
      </c>
      <c r="E249">
        <v>108.46</v>
      </c>
      <c r="F249">
        <v>87.8</v>
      </c>
      <c r="G249">
        <f>E249+F249</f>
        <v>196.26</v>
      </c>
      <c r="H249">
        <f>E249-F249</f>
        <v>20.659999999999997</v>
      </c>
      <c r="I249" t="s">
        <v>20</v>
      </c>
      <c r="J249" t="s">
        <v>32</v>
      </c>
      <c r="K249" t="str">
        <f>_xlfn.CONCAT(_xlfn.CONCAT(I249,"|"), J249)</f>
        <v>Schulwolf|Cam</v>
      </c>
      <c r="L249">
        <v>0</v>
      </c>
      <c r="M249">
        <v>0</v>
      </c>
      <c r="N249">
        <v>0</v>
      </c>
    </row>
    <row r="250" spans="1:14" hidden="1" x14ac:dyDescent="0.2">
      <c r="A250">
        <v>2023</v>
      </c>
      <c r="B250">
        <v>11</v>
      </c>
      <c r="C250" t="s">
        <v>14</v>
      </c>
      <c r="D250" t="s">
        <v>48</v>
      </c>
      <c r="E250">
        <v>112.3</v>
      </c>
      <c r="F250">
        <v>91.66</v>
      </c>
      <c r="G250">
        <f>E250+F250</f>
        <v>203.95999999999998</v>
      </c>
      <c r="H250">
        <f>E250-F250</f>
        <v>20.64</v>
      </c>
      <c r="I250" t="s">
        <v>16</v>
      </c>
      <c r="J250" t="s">
        <v>36</v>
      </c>
      <c r="K250" t="str">
        <f>_xlfn.CONCAT(_xlfn.CONCAT(I250,"|"), J250)</f>
        <v>Brenton|Will</v>
      </c>
      <c r="L250">
        <v>0</v>
      </c>
      <c r="M250">
        <v>0</v>
      </c>
      <c r="N250">
        <v>0</v>
      </c>
    </row>
    <row r="251" spans="1:14" hidden="1" x14ac:dyDescent="0.2">
      <c r="A251">
        <v>2024</v>
      </c>
      <c r="B251">
        <v>15</v>
      </c>
      <c r="C251" t="s">
        <v>26</v>
      </c>
      <c r="D251" t="s">
        <v>75</v>
      </c>
      <c r="E251">
        <v>136.47999999999999</v>
      </c>
      <c r="F251">
        <v>115.94</v>
      </c>
      <c r="G251">
        <f>E251+F251</f>
        <v>252.42</v>
      </c>
      <c r="H251">
        <f>E251-F251</f>
        <v>20.539999999999992</v>
      </c>
      <c r="I251" t="s">
        <v>28</v>
      </c>
      <c r="J251" t="s">
        <v>36</v>
      </c>
      <c r="K251" t="str">
        <f>_xlfn.CONCAT(_xlfn.CONCAT(I251,"|"), J251)</f>
        <v>Tommy|Will</v>
      </c>
      <c r="L251">
        <v>0</v>
      </c>
      <c r="M251">
        <v>0</v>
      </c>
      <c r="N251">
        <v>0</v>
      </c>
    </row>
    <row r="252" spans="1:14" hidden="1" x14ac:dyDescent="0.2">
      <c r="A252">
        <v>2021</v>
      </c>
      <c r="B252">
        <v>12</v>
      </c>
      <c r="C252" t="s">
        <v>30</v>
      </c>
      <c r="D252" t="s">
        <v>31</v>
      </c>
      <c r="E252">
        <v>125.9</v>
      </c>
      <c r="F252">
        <v>105.52</v>
      </c>
      <c r="G252">
        <f>E252+F252</f>
        <v>231.42000000000002</v>
      </c>
      <c r="H252">
        <f>E252-F252</f>
        <v>20.38000000000001</v>
      </c>
      <c r="I252" t="s">
        <v>32</v>
      </c>
      <c r="J252" t="s">
        <v>33</v>
      </c>
      <c r="K252" t="str">
        <f>_xlfn.CONCAT(_xlfn.CONCAT(I252,"|"), J252)</f>
        <v>Cam|Jay</v>
      </c>
      <c r="L252">
        <v>0</v>
      </c>
      <c r="M252">
        <v>0</v>
      </c>
      <c r="N252">
        <v>0</v>
      </c>
    </row>
    <row r="253" spans="1:14" hidden="1" x14ac:dyDescent="0.2">
      <c r="A253">
        <v>2023</v>
      </c>
      <c r="B253">
        <v>11</v>
      </c>
      <c r="C253" t="s">
        <v>35</v>
      </c>
      <c r="D253" t="s">
        <v>42</v>
      </c>
      <c r="E253">
        <v>138.78</v>
      </c>
      <c r="F253">
        <v>118.4</v>
      </c>
      <c r="G253">
        <f>E253+F253</f>
        <v>257.18</v>
      </c>
      <c r="H253">
        <f>E253-F253</f>
        <v>20.379999999999995</v>
      </c>
      <c r="I253" t="s">
        <v>49</v>
      </c>
      <c r="J253" t="s">
        <v>17</v>
      </c>
      <c r="K253" t="str">
        <f>_xlfn.CONCAT(_xlfn.CONCAT(I253,"|"), J253)</f>
        <v>Brand|Mike</v>
      </c>
      <c r="L253">
        <v>0</v>
      </c>
      <c r="M253">
        <v>0</v>
      </c>
      <c r="N253">
        <v>0</v>
      </c>
    </row>
    <row r="254" spans="1:14" hidden="1" x14ac:dyDescent="0.2">
      <c r="A254">
        <v>2022</v>
      </c>
      <c r="B254">
        <v>9</v>
      </c>
      <c r="C254" t="s">
        <v>43</v>
      </c>
      <c r="D254" t="s">
        <v>23</v>
      </c>
      <c r="E254">
        <v>125</v>
      </c>
      <c r="F254">
        <v>104.88</v>
      </c>
      <c r="G254">
        <f>E254+F254</f>
        <v>229.88</v>
      </c>
      <c r="H254">
        <f>E254-F254</f>
        <v>20.120000000000005</v>
      </c>
      <c r="I254" t="s">
        <v>21</v>
      </c>
      <c r="J254" t="s">
        <v>25</v>
      </c>
      <c r="K254" t="str">
        <f>_xlfn.CONCAT(_xlfn.CONCAT(I254,"|"), J254)</f>
        <v>Todd|Burnett</v>
      </c>
      <c r="L254">
        <v>0</v>
      </c>
      <c r="M254">
        <v>0</v>
      </c>
      <c r="N254">
        <v>0</v>
      </c>
    </row>
    <row r="255" spans="1:14" hidden="1" x14ac:dyDescent="0.2">
      <c r="A255">
        <v>2025</v>
      </c>
      <c r="B255">
        <v>8</v>
      </c>
      <c r="C255" t="s">
        <v>46</v>
      </c>
      <c r="D255" t="s">
        <v>42</v>
      </c>
      <c r="E255">
        <v>110.24</v>
      </c>
      <c r="F255">
        <v>90.12</v>
      </c>
      <c r="G255">
        <f>E255+F255</f>
        <v>200.36</v>
      </c>
      <c r="H255">
        <f>E255-F255</f>
        <v>20.11999999999999</v>
      </c>
      <c r="I255" t="s">
        <v>47</v>
      </c>
      <c r="J255" t="s">
        <v>17</v>
      </c>
      <c r="K255" t="str">
        <f>_xlfn.CONCAT(_xlfn.CONCAT(I255,"|"), J255)</f>
        <v>Burnett/Jasjaap|Mike</v>
      </c>
      <c r="L255">
        <v>0</v>
      </c>
      <c r="M255">
        <v>0</v>
      </c>
      <c r="N255">
        <v>0</v>
      </c>
    </row>
    <row r="256" spans="1:14" hidden="1" x14ac:dyDescent="0.2">
      <c r="A256">
        <v>2016</v>
      </c>
      <c r="B256">
        <v>15</v>
      </c>
      <c r="C256" t="s">
        <v>60</v>
      </c>
      <c r="D256" t="s">
        <v>58</v>
      </c>
      <c r="E256">
        <v>113.14</v>
      </c>
      <c r="F256">
        <v>98.56</v>
      </c>
      <c r="G256">
        <f>E256+F256</f>
        <v>211.7</v>
      </c>
      <c r="H256">
        <f>E256-F256</f>
        <v>14.579999999999998</v>
      </c>
      <c r="I256" t="s">
        <v>45</v>
      </c>
      <c r="J256" t="s">
        <v>36</v>
      </c>
      <c r="K256" t="str">
        <f>_xlfn.CONCAT(_xlfn.CONCAT(I256,"|"), J256)</f>
        <v>Kevin|Will</v>
      </c>
      <c r="L256">
        <v>1</v>
      </c>
      <c r="M256">
        <v>1</v>
      </c>
      <c r="N256">
        <v>0</v>
      </c>
    </row>
    <row r="257" spans="1:14" hidden="1" x14ac:dyDescent="0.2">
      <c r="A257">
        <v>2023</v>
      </c>
      <c r="B257">
        <v>13</v>
      </c>
      <c r="C257" t="s">
        <v>51</v>
      </c>
      <c r="D257" t="s">
        <v>18</v>
      </c>
      <c r="E257">
        <v>112.24</v>
      </c>
      <c r="F257">
        <v>92.22</v>
      </c>
      <c r="G257">
        <f>E257+F257</f>
        <v>204.45999999999998</v>
      </c>
      <c r="H257">
        <f>E257-F257</f>
        <v>20.019999999999996</v>
      </c>
      <c r="I257" t="s">
        <v>21</v>
      </c>
      <c r="J257" t="s">
        <v>20</v>
      </c>
      <c r="K257" t="str">
        <f>_xlfn.CONCAT(_xlfn.CONCAT(I257,"|"), J257)</f>
        <v>Todd|Schulwolf</v>
      </c>
      <c r="L257">
        <v>0</v>
      </c>
      <c r="M257">
        <v>0</v>
      </c>
      <c r="N257">
        <v>0</v>
      </c>
    </row>
    <row r="258" spans="1:14" hidden="1" x14ac:dyDescent="0.2">
      <c r="A258">
        <v>2021</v>
      </c>
      <c r="B258">
        <v>1</v>
      </c>
      <c r="C258" t="s">
        <v>18</v>
      </c>
      <c r="D258" t="s">
        <v>19</v>
      </c>
      <c r="E258">
        <v>93.02</v>
      </c>
      <c r="F258">
        <v>73.099999999999994</v>
      </c>
      <c r="G258">
        <f>E258+F258</f>
        <v>166.12</v>
      </c>
      <c r="H258">
        <f>E258-F258</f>
        <v>19.920000000000002</v>
      </c>
      <c r="I258" t="s">
        <v>20</v>
      </c>
      <c r="J258" t="s">
        <v>21</v>
      </c>
      <c r="K258" t="str">
        <f>_xlfn.CONCAT(_xlfn.CONCAT(I258,"|"), J258)</f>
        <v>Schulwolf|Todd</v>
      </c>
      <c r="L258">
        <v>0</v>
      </c>
      <c r="M258">
        <v>0</v>
      </c>
      <c r="N258">
        <v>0</v>
      </c>
    </row>
    <row r="259" spans="1:14" hidden="1" x14ac:dyDescent="0.2">
      <c r="A259">
        <v>2024</v>
      </c>
      <c r="B259">
        <v>6</v>
      </c>
      <c r="C259" t="s">
        <v>46</v>
      </c>
      <c r="D259" t="s">
        <v>77</v>
      </c>
      <c r="E259">
        <v>124.1</v>
      </c>
      <c r="F259">
        <v>104.18</v>
      </c>
      <c r="G259">
        <f>E259+F259</f>
        <v>228.28</v>
      </c>
      <c r="H259">
        <f>E259-F259</f>
        <v>19.919999999999987</v>
      </c>
      <c r="I259" t="s">
        <v>47</v>
      </c>
      <c r="J259" t="s">
        <v>45</v>
      </c>
      <c r="K259" t="str">
        <f>_xlfn.CONCAT(_xlfn.CONCAT(I259,"|"), J259)</f>
        <v>Burnett/Jasjaap|Kevin</v>
      </c>
      <c r="L259">
        <v>0</v>
      </c>
      <c r="M259">
        <v>0</v>
      </c>
      <c r="N259">
        <v>0</v>
      </c>
    </row>
    <row r="260" spans="1:14" hidden="1" x14ac:dyDescent="0.2">
      <c r="A260">
        <v>2023</v>
      </c>
      <c r="B260">
        <v>15</v>
      </c>
      <c r="C260" t="s">
        <v>31</v>
      </c>
      <c r="D260" t="s">
        <v>48</v>
      </c>
      <c r="E260">
        <v>116.94</v>
      </c>
      <c r="F260">
        <v>97.06</v>
      </c>
      <c r="G260">
        <f>E260+F260</f>
        <v>214</v>
      </c>
      <c r="H260">
        <f>E260-F260</f>
        <v>19.879999999999995</v>
      </c>
      <c r="I260" t="s">
        <v>33</v>
      </c>
      <c r="J260" t="s">
        <v>36</v>
      </c>
      <c r="K260" t="str">
        <f>_xlfn.CONCAT(_xlfn.CONCAT(I260,"|"), J260)</f>
        <v>Jay|Will</v>
      </c>
      <c r="L260">
        <v>0</v>
      </c>
      <c r="M260">
        <v>0</v>
      </c>
      <c r="N260">
        <v>0</v>
      </c>
    </row>
    <row r="261" spans="1:14" hidden="1" x14ac:dyDescent="0.2">
      <c r="A261">
        <v>2025</v>
      </c>
      <c r="B261">
        <v>1</v>
      </c>
      <c r="C261" t="s">
        <v>14</v>
      </c>
      <c r="D261" t="s">
        <v>26</v>
      </c>
      <c r="E261">
        <v>113.36</v>
      </c>
      <c r="F261">
        <v>93.62</v>
      </c>
      <c r="G261">
        <f>E261+F261</f>
        <v>206.98000000000002</v>
      </c>
      <c r="H261">
        <f>E261-F261</f>
        <v>19.739999999999995</v>
      </c>
      <c r="I261" t="s">
        <v>16</v>
      </c>
      <c r="J261" t="s">
        <v>28</v>
      </c>
      <c r="K261" t="str">
        <f>_xlfn.CONCAT(_xlfn.CONCAT(I261,"|"), J261)</f>
        <v>Brenton|Tommy</v>
      </c>
      <c r="L261">
        <v>0</v>
      </c>
      <c r="M261">
        <v>0</v>
      </c>
      <c r="N261">
        <v>0</v>
      </c>
    </row>
    <row r="262" spans="1:14" hidden="1" x14ac:dyDescent="0.2">
      <c r="A262">
        <v>2025</v>
      </c>
      <c r="B262">
        <v>16</v>
      </c>
      <c r="C262" t="s">
        <v>18</v>
      </c>
      <c r="D262" t="s">
        <v>31</v>
      </c>
      <c r="E262">
        <v>156.06</v>
      </c>
      <c r="F262">
        <v>105.72</v>
      </c>
      <c r="G262">
        <f>E262+F262</f>
        <v>261.77999999999997</v>
      </c>
      <c r="H262">
        <f>E262-F262</f>
        <v>50.34</v>
      </c>
      <c r="I262" t="s">
        <v>20</v>
      </c>
      <c r="J262" t="s">
        <v>33</v>
      </c>
      <c r="K262" t="str">
        <f>_xlfn.CONCAT(_xlfn.CONCAT(I262,"|"), J262)</f>
        <v>Schulwolf|Jay</v>
      </c>
      <c r="L262">
        <v>1</v>
      </c>
      <c r="M262">
        <v>1</v>
      </c>
      <c r="N262">
        <v>0</v>
      </c>
    </row>
    <row r="263" spans="1:14" hidden="1" x14ac:dyDescent="0.2">
      <c r="A263">
        <v>2022</v>
      </c>
      <c r="B263">
        <v>10</v>
      </c>
      <c r="C263" t="s">
        <v>18</v>
      </c>
      <c r="D263" t="s">
        <v>31</v>
      </c>
      <c r="E263">
        <v>104.1</v>
      </c>
      <c r="F263">
        <v>84.62</v>
      </c>
      <c r="G263">
        <f>E263+F263</f>
        <v>188.72</v>
      </c>
      <c r="H263">
        <f>E263-F263</f>
        <v>19.47999999999999</v>
      </c>
      <c r="I263" t="s">
        <v>20</v>
      </c>
      <c r="J263" t="s">
        <v>41</v>
      </c>
      <c r="K263" t="str">
        <f>_xlfn.CONCAT(_xlfn.CONCAT(I263,"|"), J263)</f>
        <v>Schulwolf|Jay/Brand</v>
      </c>
      <c r="L263">
        <v>0</v>
      </c>
      <c r="M263">
        <v>0</v>
      </c>
      <c r="N263">
        <v>0</v>
      </c>
    </row>
    <row r="264" spans="1:14" hidden="1" x14ac:dyDescent="0.2">
      <c r="A264">
        <v>2023</v>
      </c>
      <c r="B264">
        <v>5</v>
      </c>
      <c r="C264" t="s">
        <v>52</v>
      </c>
      <c r="D264" t="s">
        <v>14</v>
      </c>
      <c r="E264">
        <v>114.96</v>
      </c>
      <c r="F264">
        <v>95.52</v>
      </c>
      <c r="G264">
        <f>E264+F264</f>
        <v>210.48</v>
      </c>
      <c r="H264">
        <f>E264-F264</f>
        <v>19.439999999999998</v>
      </c>
      <c r="I264" t="s">
        <v>32</v>
      </c>
      <c r="J264" t="s">
        <v>16</v>
      </c>
      <c r="K264" t="str">
        <f>_xlfn.CONCAT(_xlfn.CONCAT(I264,"|"), J264)</f>
        <v>Cam|Brenton</v>
      </c>
      <c r="L264">
        <v>0</v>
      </c>
      <c r="M264">
        <v>0</v>
      </c>
      <c r="N264">
        <v>0</v>
      </c>
    </row>
    <row r="265" spans="1:14" hidden="1" x14ac:dyDescent="0.2">
      <c r="A265">
        <v>2024</v>
      </c>
      <c r="B265">
        <v>16</v>
      </c>
      <c r="C265" t="s">
        <v>18</v>
      </c>
      <c r="D265" t="s">
        <v>31</v>
      </c>
      <c r="E265">
        <v>149.72</v>
      </c>
      <c r="F265">
        <v>104.68</v>
      </c>
      <c r="G265">
        <f>E265+F265</f>
        <v>254.4</v>
      </c>
      <c r="H265">
        <f>E265-F265</f>
        <v>45.039999999999992</v>
      </c>
      <c r="I265" t="s">
        <v>20</v>
      </c>
      <c r="J265" t="s">
        <v>33</v>
      </c>
      <c r="K265" t="str">
        <f>_xlfn.CONCAT(_xlfn.CONCAT(I265,"|"), J265)</f>
        <v>Schulwolf|Jay</v>
      </c>
      <c r="L265">
        <v>1</v>
      </c>
      <c r="M265">
        <v>1</v>
      </c>
      <c r="N265">
        <v>0</v>
      </c>
    </row>
    <row r="266" spans="1:14" hidden="1" x14ac:dyDescent="0.2">
      <c r="A266">
        <v>2023</v>
      </c>
      <c r="B266">
        <v>6</v>
      </c>
      <c r="C266" t="s">
        <v>26</v>
      </c>
      <c r="D266" t="s">
        <v>31</v>
      </c>
      <c r="E266">
        <v>128.69999999999999</v>
      </c>
      <c r="F266">
        <v>109.54</v>
      </c>
      <c r="G266">
        <f>E266+F266</f>
        <v>238.24</v>
      </c>
      <c r="H266">
        <f>E266-F266</f>
        <v>19.159999999999982</v>
      </c>
      <c r="I266" t="s">
        <v>28</v>
      </c>
      <c r="J266" t="s">
        <v>33</v>
      </c>
      <c r="K266" t="str">
        <f>_xlfn.CONCAT(_xlfn.CONCAT(I266,"|"), J266)</f>
        <v>Tommy|Jay</v>
      </c>
      <c r="L266">
        <v>0</v>
      </c>
      <c r="M266">
        <v>0</v>
      </c>
      <c r="N266">
        <v>0</v>
      </c>
    </row>
    <row r="267" spans="1:14" hidden="1" x14ac:dyDescent="0.2">
      <c r="A267">
        <v>2023</v>
      </c>
      <c r="B267">
        <v>9</v>
      </c>
      <c r="C267" t="s">
        <v>44</v>
      </c>
      <c r="D267" t="s">
        <v>42</v>
      </c>
      <c r="E267">
        <v>125.72</v>
      </c>
      <c r="F267">
        <v>106.64</v>
      </c>
      <c r="G267">
        <f>E267+F267</f>
        <v>232.36</v>
      </c>
      <c r="H267">
        <f>E267-F267</f>
        <v>19.079999999999998</v>
      </c>
      <c r="I267" t="s">
        <v>45</v>
      </c>
      <c r="J267" t="s">
        <v>17</v>
      </c>
      <c r="K267" t="str">
        <f>_xlfn.CONCAT(_xlfn.CONCAT(I267,"|"), J267)</f>
        <v>Kevin|Mike</v>
      </c>
      <c r="L267">
        <v>0</v>
      </c>
      <c r="M267">
        <v>0</v>
      </c>
      <c r="N267">
        <v>0</v>
      </c>
    </row>
    <row r="268" spans="1:14" hidden="1" x14ac:dyDescent="0.2">
      <c r="A268">
        <v>2025</v>
      </c>
      <c r="B268">
        <v>14</v>
      </c>
      <c r="C268" t="s">
        <v>46</v>
      </c>
      <c r="D268" t="s">
        <v>526</v>
      </c>
      <c r="E268">
        <v>107.76</v>
      </c>
      <c r="F268">
        <v>88.86</v>
      </c>
      <c r="G268">
        <f>E268+F268</f>
        <v>196.62</v>
      </c>
      <c r="H268">
        <f>E268-F268</f>
        <v>18.900000000000006</v>
      </c>
      <c r="I268" t="s">
        <v>47</v>
      </c>
      <c r="J268" t="s">
        <v>32</v>
      </c>
      <c r="K268" t="str">
        <f>_xlfn.CONCAT(_xlfn.CONCAT(I268,"|"), J268)</f>
        <v>Burnett/Jasjaap|Cam</v>
      </c>
      <c r="L268">
        <v>0</v>
      </c>
      <c r="M268">
        <v>0</v>
      </c>
      <c r="N268">
        <v>0</v>
      </c>
    </row>
    <row r="269" spans="1:14" hidden="1" x14ac:dyDescent="0.2">
      <c r="A269">
        <v>2022</v>
      </c>
      <c r="B269">
        <v>14</v>
      </c>
      <c r="C269" t="s">
        <v>14</v>
      </c>
      <c r="D269" t="s">
        <v>44</v>
      </c>
      <c r="E269">
        <v>91.56</v>
      </c>
      <c r="F269">
        <v>72.78</v>
      </c>
      <c r="G269">
        <f>E269+F269</f>
        <v>164.34</v>
      </c>
      <c r="H269">
        <f>E269-F269</f>
        <v>18.78</v>
      </c>
      <c r="I269" t="s">
        <v>16</v>
      </c>
      <c r="J269" t="s">
        <v>45</v>
      </c>
      <c r="K269" t="str">
        <f>_xlfn.CONCAT(_xlfn.CONCAT(I269,"|"), J269)</f>
        <v>Brenton|Kevin</v>
      </c>
      <c r="L269">
        <v>0</v>
      </c>
      <c r="M269">
        <v>0</v>
      </c>
      <c r="N269">
        <v>0</v>
      </c>
    </row>
    <row r="270" spans="1:14" hidden="1" x14ac:dyDescent="0.2">
      <c r="A270">
        <v>2023</v>
      </c>
      <c r="B270">
        <v>1</v>
      </c>
      <c r="C270" t="s">
        <v>42</v>
      </c>
      <c r="D270" t="s">
        <v>46</v>
      </c>
      <c r="E270">
        <v>103.16</v>
      </c>
      <c r="F270">
        <v>84.46</v>
      </c>
      <c r="G270">
        <f>E270+F270</f>
        <v>187.62</v>
      </c>
      <c r="H270">
        <f>E270-F270</f>
        <v>18.700000000000003</v>
      </c>
      <c r="I270" t="s">
        <v>17</v>
      </c>
      <c r="J270" t="s">
        <v>47</v>
      </c>
      <c r="K270" t="str">
        <f>_xlfn.CONCAT(_xlfn.CONCAT(I270,"|"), J270)</f>
        <v>Mike|Burnett/Jasjaap</v>
      </c>
      <c r="L270">
        <v>0</v>
      </c>
      <c r="M270">
        <v>0</v>
      </c>
      <c r="N270">
        <v>0</v>
      </c>
    </row>
    <row r="271" spans="1:14" hidden="1" x14ac:dyDescent="0.2">
      <c r="A271">
        <v>2021</v>
      </c>
      <c r="B271">
        <v>15</v>
      </c>
      <c r="C271" t="s">
        <v>30</v>
      </c>
      <c r="D271" t="s">
        <v>26</v>
      </c>
      <c r="E271">
        <v>99.58</v>
      </c>
      <c r="F271">
        <v>80.959999999999994</v>
      </c>
      <c r="G271">
        <f>E271+F271</f>
        <v>180.54</v>
      </c>
      <c r="H271">
        <f>E271-F271</f>
        <v>18.620000000000005</v>
      </c>
      <c r="I271" t="s">
        <v>32</v>
      </c>
      <c r="J271" t="s">
        <v>28</v>
      </c>
      <c r="K271" t="str">
        <f>_xlfn.CONCAT(_xlfn.CONCAT(I271,"|"), J271)</f>
        <v>Cam|Tommy</v>
      </c>
      <c r="L271">
        <v>0</v>
      </c>
      <c r="M271">
        <v>0</v>
      </c>
      <c r="N271">
        <v>0</v>
      </c>
    </row>
    <row r="272" spans="1:14" hidden="1" x14ac:dyDescent="0.2">
      <c r="A272">
        <v>2023</v>
      </c>
      <c r="B272">
        <v>4</v>
      </c>
      <c r="C272" t="s">
        <v>50</v>
      </c>
      <c r="D272" t="s">
        <v>35</v>
      </c>
      <c r="E272">
        <v>91.24</v>
      </c>
      <c r="F272">
        <v>72.66</v>
      </c>
      <c r="G272">
        <f>E272+F272</f>
        <v>163.89999999999998</v>
      </c>
      <c r="H272">
        <f>E272-F272</f>
        <v>18.579999999999998</v>
      </c>
      <c r="I272" t="s">
        <v>29</v>
      </c>
      <c r="J272" t="s">
        <v>49</v>
      </c>
      <c r="K272" t="str">
        <f>_xlfn.CONCAT(_xlfn.CONCAT(I272,"|"), J272)</f>
        <v>Eli|Brand</v>
      </c>
      <c r="L272">
        <v>0</v>
      </c>
      <c r="M272">
        <v>0</v>
      </c>
      <c r="N272">
        <v>0</v>
      </c>
    </row>
    <row r="273" spans="1:14" hidden="1" x14ac:dyDescent="0.2">
      <c r="A273">
        <v>2024</v>
      </c>
      <c r="B273">
        <v>4</v>
      </c>
      <c r="C273" t="s">
        <v>31</v>
      </c>
      <c r="D273" t="s">
        <v>14</v>
      </c>
      <c r="E273">
        <v>126.64</v>
      </c>
      <c r="F273">
        <v>108.28</v>
      </c>
      <c r="G273">
        <f>E273+F273</f>
        <v>234.92000000000002</v>
      </c>
      <c r="H273">
        <f>E273-F273</f>
        <v>18.36</v>
      </c>
      <c r="I273" t="s">
        <v>33</v>
      </c>
      <c r="J273" t="s">
        <v>16</v>
      </c>
      <c r="K273" t="str">
        <f>_xlfn.CONCAT(_xlfn.CONCAT(I273,"|"), J273)</f>
        <v>Jay|Brenton</v>
      </c>
      <c r="L273">
        <v>0</v>
      </c>
      <c r="M273">
        <v>0</v>
      </c>
      <c r="N273">
        <v>0</v>
      </c>
    </row>
    <row r="274" spans="1:14" hidden="1" x14ac:dyDescent="0.2">
      <c r="A274">
        <v>2024</v>
      </c>
      <c r="B274">
        <v>6</v>
      </c>
      <c r="C274" t="s">
        <v>31</v>
      </c>
      <c r="D274" t="s">
        <v>74</v>
      </c>
      <c r="E274">
        <v>110.32</v>
      </c>
      <c r="F274">
        <v>92.06</v>
      </c>
      <c r="G274">
        <f>E274+F274</f>
        <v>202.38</v>
      </c>
      <c r="H274">
        <f>E274-F274</f>
        <v>18.259999999999991</v>
      </c>
      <c r="I274" t="s">
        <v>33</v>
      </c>
      <c r="J274" t="s">
        <v>29</v>
      </c>
      <c r="K274" t="str">
        <f>_xlfn.CONCAT(_xlfn.CONCAT(I274,"|"), J274)</f>
        <v>Jay|Eli</v>
      </c>
      <c r="L274">
        <v>0</v>
      </c>
      <c r="M274">
        <v>0</v>
      </c>
      <c r="N274">
        <v>0</v>
      </c>
    </row>
    <row r="275" spans="1:14" hidden="1" x14ac:dyDescent="0.2">
      <c r="A275">
        <v>2022</v>
      </c>
      <c r="B275">
        <v>3</v>
      </c>
      <c r="C275" t="s">
        <v>38</v>
      </c>
      <c r="D275" t="s">
        <v>23</v>
      </c>
      <c r="E275">
        <v>107.82</v>
      </c>
      <c r="F275">
        <v>89.74</v>
      </c>
      <c r="G275">
        <f>E275+F275</f>
        <v>197.56</v>
      </c>
      <c r="H275">
        <f>E275-F275</f>
        <v>18.079999999999998</v>
      </c>
      <c r="I275" t="s">
        <v>36</v>
      </c>
      <c r="J275" t="s">
        <v>25</v>
      </c>
      <c r="K275" t="str">
        <f>_xlfn.CONCAT(_xlfn.CONCAT(I275,"|"), J275)</f>
        <v>Will|Burnett</v>
      </c>
      <c r="L275">
        <v>0</v>
      </c>
      <c r="M275">
        <v>0</v>
      </c>
      <c r="N275">
        <v>0</v>
      </c>
    </row>
    <row r="276" spans="1:14" hidden="1" x14ac:dyDescent="0.2">
      <c r="A276">
        <v>2022</v>
      </c>
      <c r="B276">
        <v>15</v>
      </c>
      <c r="C276" t="s">
        <v>44</v>
      </c>
      <c r="D276" t="s">
        <v>42</v>
      </c>
      <c r="E276">
        <v>142.74</v>
      </c>
      <c r="F276">
        <v>125</v>
      </c>
      <c r="G276">
        <f>E276+F276</f>
        <v>267.74</v>
      </c>
      <c r="H276">
        <f>E276-F276</f>
        <v>17.740000000000009</v>
      </c>
      <c r="I276" t="s">
        <v>45</v>
      </c>
      <c r="J276" t="s">
        <v>17</v>
      </c>
      <c r="K276" t="str">
        <f>_xlfn.CONCAT(_xlfn.CONCAT(I276,"|"), J276)</f>
        <v>Kevin|Mike</v>
      </c>
      <c r="L276">
        <v>0</v>
      </c>
      <c r="M276">
        <v>0</v>
      </c>
      <c r="N276">
        <v>0</v>
      </c>
    </row>
    <row r="277" spans="1:14" hidden="1" x14ac:dyDescent="0.2">
      <c r="A277">
        <v>2021</v>
      </c>
      <c r="B277">
        <v>4</v>
      </c>
      <c r="C277" t="s">
        <v>15</v>
      </c>
      <c r="D277" t="s">
        <v>27</v>
      </c>
      <c r="E277">
        <v>105.62</v>
      </c>
      <c r="F277">
        <v>87.88</v>
      </c>
      <c r="G277">
        <f>E277+F277</f>
        <v>193.5</v>
      </c>
      <c r="H277">
        <f>E277-F277</f>
        <v>17.740000000000009</v>
      </c>
      <c r="I277" t="s">
        <v>17</v>
      </c>
      <c r="J277" t="s">
        <v>29</v>
      </c>
      <c r="K277" t="str">
        <f>_xlfn.CONCAT(_xlfn.CONCAT(I277,"|"), J277)</f>
        <v>Mike|Eli</v>
      </c>
      <c r="L277">
        <v>0</v>
      </c>
      <c r="M277">
        <v>0</v>
      </c>
      <c r="N277">
        <v>0</v>
      </c>
    </row>
    <row r="278" spans="1:14" hidden="1" x14ac:dyDescent="0.2">
      <c r="A278">
        <v>2022</v>
      </c>
      <c r="B278">
        <v>9</v>
      </c>
      <c r="C278" t="s">
        <v>40</v>
      </c>
      <c r="D278" t="s">
        <v>18</v>
      </c>
      <c r="E278">
        <v>131.5</v>
      </c>
      <c r="F278">
        <v>113.9</v>
      </c>
      <c r="G278">
        <f>E278+F278</f>
        <v>245.4</v>
      </c>
      <c r="H278">
        <f>E278-F278</f>
        <v>17.599999999999994</v>
      </c>
      <c r="I278" t="s">
        <v>29</v>
      </c>
      <c r="J278" t="s">
        <v>20</v>
      </c>
      <c r="K278" t="str">
        <f>_xlfn.CONCAT(_xlfn.CONCAT(I278,"|"), J278)</f>
        <v>Eli|Schulwolf</v>
      </c>
      <c r="L278">
        <v>0</v>
      </c>
      <c r="M278">
        <v>0</v>
      </c>
      <c r="N278">
        <v>0</v>
      </c>
    </row>
    <row r="279" spans="1:14" hidden="1" x14ac:dyDescent="0.2">
      <c r="A279">
        <v>2023</v>
      </c>
      <c r="B279">
        <v>12</v>
      </c>
      <c r="C279" t="s">
        <v>14</v>
      </c>
      <c r="D279" t="s">
        <v>31</v>
      </c>
      <c r="E279">
        <v>113.5</v>
      </c>
      <c r="F279">
        <v>95.9</v>
      </c>
      <c r="G279">
        <f>E279+F279</f>
        <v>209.4</v>
      </c>
      <c r="H279">
        <f>E279-F279</f>
        <v>17.599999999999994</v>
      </c>
      <c r="I279" t="s">
        <v>16</v>
      </c>
      <c r="J279" t="s">
        <v>33</v>
      </c>
      <c r="K279" t="str">
        <f>_xlfn.CONCAT(_xlfn.CONCAT(I279,"|"), J279)</f>
        <v>Brenton|Jay</v>
      </c>
      <c r="L279">
        <v>0</v>
      </c>
      <c r="M279">
        <v>0</v>
      </c>
      <c r="N279">
        <v>0</v>
      </c>
    </row>
    <row r="280" spans="1:14" hidden="1" x14ac:dyDescent="0.2">
      <c r="A280">
        <v>2025</v>
      </c>
      <c r="B280">
        <v>14</v>
      </c>
      <c r="C280" t="s">
        <v>14</v>
      </c>
      <c r="D280" t="s">
        <v>525</v>
      </c>
      <c r="E280">
        <v>148.63999999999999</v>
      </c>
      <c r="F280">
        <v>131.13999999999999</v>
      </c>
      <c r="G280">
        <f>E280+F280</f>
        <v>279.77999999999997</v>
      </c>
      <c r="H280">
        <f>E280-F280</f>
        <v>17.5</v>
      </c>
      <c r="I280" t="s">
        <v>16</v>
      </c>
      <c r="J280" t="s">
        <v>36</v>
      </c>
      <c r="K280" t="str">
        <f>_xlfn.CONCAT(_xlfn.CONCAT(I280,"|"), J280)</f>
        <v>Brenton|Will</v>
      </c>
      <c r="L280">
        <v>0</v>
      </c>
      <c r="M280">
        <v>0</v>
      </c>
      <c r="N280">
        <v>0</v>
      </c>
    </row>
    <row r="281" spans="1:14" hidden="1" x14ac:dyDescent="0.2">
      <c r="A281">
        <v>2025</v>
      </c>
      <c r="B281">
        <v>8</v>
      </c>
      <c r="C281" t="s">
        <v>26</v>
      </c>
      <c r="D281" t="s">
        <v>77</v>
      </c>
      <c r="E281">
        <v>87.06</v>
      </c>
      <c r="F281">
        <v>69.58</v>
      </c>
      <c r="G281">
        <f>E281+F281</f>
        <v>156.63999999999999</v>
      </c>
      <c r="H281">
        <f>E281-F281</f>
        <v>17.480000000000004</v>
      </c>
      <c r="I281" t="s">
        <v>28</v>
      </c>
      <c r="J281" t="s">
        <v>45</v>
      </c>
      <c r="K281" t="str">
        <f>_xlfn.CONCAT(_xlfn.CONCAT(I281,"|"), J281)</f>
        <v>Tommy|Kevin</v>
      </c>
      <c r="L281">
        <v>0</v>
      </c>
      <c r="M281">
        <v>0</v>
      </c>
      <c r="N281">
        <v>0</v>
      </c>
    </row>
    <row r="282" spans="1:14" hidden="1" x14ac:dyDescent="0.2">
      <c r="A282">
        <v>2022</v>
      </c>
      <c r="B282">
        <v>6</v>
      </c>
      <c r="C282" t="s">
        <v>18</v>
      </c>
      <c r="D282" t="s">
        <v>39</v>
      </c>
      <c r="E282">
        <v>121.98</v>
      </c>
      <c r="F282">
        <v>105.04</v>
      </c>
      <c r="G282">
        <f>E282+F282</f>
        <v>227.02</v>
      </c>
      <c r="H282">
        <f>E282-F282</f>
        <v>16.939999999999998</v>
      </c>
      <c r="I282" t="s">
        <v>20</v>
      </c>
      <c r="J282" t="s">
        <v>32</v>
      </c>
      <c r="K282" t="str">
        <f>_xlfn.CONCAT(_xlfn.CONCAT(I282,"|"), J282)</f>
        <v>Schulwolf|Cam</v>
      </c>
      <c r="L282">
        <v>0</v>
      </c>
      <c r="M282">
        <v>0</v>
      </c>
      <c r="N282">
        <v>0</v>
      </c>
    </row>
    <row r="283" spans="1:14" hidden="1" x14ac:dyDescent="0.2">
      <c r="A283">
        <v>2025</v>
      </c>
      <c r="B283">
        <v>9</v>
      </c>
      <c r="C283" t="s">
        <v>521</v>
      </c>
      <c r="D283" t="s">
        <v>14</v>
      </c>
      <c r="E283">
        <v>131.80000000000001</v>
      </c>
      <c r="F283">
        <v>115.06</v>
      </c>
      <c r="G283">
        <f>E283+F283</f>
        <v>246.86</v>
      </c>
      <c r="H283">
        <f>E283-F283</f>
        <v>16.740000000000009</v>
      </c>
      <c r="I283" t="s">
        <v>29</v>
      </c>
      <c r="J283" t="s">
        <v>16</v>
      </c>
      <c r="K283" t="str">
        <f>_xlfn.CONCAT(_xlfn.CONCAT(I283,"|"), J283)</f>
        <v>Eli|Brenton</v>
      </c>
      <c r="L283">
        <v>0</v>
      </c>
      <c r="M283">
        <v>0</v>
      </c>
      <c r="N283">
        <v>0</v>
      </c>
    </row>
    <row r="284" spans="1:14" hidden="1" x14ac:dyDescent="0.2">
      <c r="A284">
        <v>2022</v>
      </c>
      <c r="B284">
        <v>4</v>
      </c>
      <c r="C284" t="s">
        <v>39</v>
      </c>
      <c r="D284" t="s">
        <v>31</v>
      </c>
      <c r="E284">
        <v>100.94</v>
      </c>
      <c r="F284">
        <v>84.26</v>
      </c>
      <c r="G284">
        <f>E284+F284</f>
        <v>185.2</v>
      </c>
      <c r="H284">
        <f>E284-F284</f>
        <v>16.679999999999993</v>
      </c>
      <c r="I284" t="s">
        <v>32</v>
      </c>
      <c r="J284" t="s">
        <v>41</v>
      </c>
      <c r="K284" t="str">
        <f>_xlfn.CONCAT(_xlfn.CONCAT(I284,"|"), J284)</f>
        <v>Cam|Jay/Brand</v>
      </c>
      <c r="L284">
        <v>0</v>
      </c>
      <c r="M284">
        <v>0</v>
      </c>
      <c r="N284">
        <v>0</v>
      </c>
    </row>
    <row r="285" spans="1:14" hidden="1" x14ac:dyDescent="0.2">
      <c r="A285">
        <v>2024</v>
      </c>
      <c r="B285">
        <v>16</v>
      </c>
      <c r="C285" t="s">
        <v>46</v>
      </c>
      <c r="D285" t="s">
        <v>42</v>
      </c>
      <c r="E285">
        <v>119.72</v>
      </c>
      <c r="F285">
        <v>103.1</v>
      </c>
      <c r="G285">
        <f>E285+F285</f>
        <v>222.82</v>
      </c>
      <c r="H285">
        <f>E285-F285</f>
        <v>16.620000000000005</v>
      </c>
      <c r="I285" t="s">
        <v>47</v>
      </c>
      <c r="J285" t="s">
        <v>17</v>
      </c>
      <c r="K285" t="str">
        <f>_xlfn.CONCAT(_xlfn.CONCAT(I285,"|"), J285)</f>
        <v>Burnett/Jasjaap|Mike</v>
      </c>
      <c r="L285">
        <v>1</v>
      </c>
      <c r="M285">
        <v>1</v>
      </c>
      <c r="N285">
        <v>0</v>
      </c>
    </row>
    <row r="286" spans="1:14" hidden="1" x14ac:dyDescent="0.2">
      <c r="A286">
        <v>2023</v>
      </c>
      <c r="B286">
        <v>2</v>
      </c>
      <c r="C286" t="s">
        <v>31</v>
      </c>
      <c r="D286" t="s">
        <v>35</v>
      </c>
      <c r="E286">
        <v>103.74</v>
      </c>
      <c r="F286">
        <v>87.14</v>
      </c>
      <c r="G286">
        <f>E286+F286</f>
        <v>190.88</v>
      </c>
      <c r="H286">
        <f>E286-F286</f>
        <v>16.599999999999994</v>
      </c>
      <c r="I286" t="s">
        <v>33</v>
      </c>
      <c r="J286" t="s">
        <v>49</v>
      </c>
      <c r="K286" t="str">
        <f>_xlfn.CONCAT(_xlfn.CONCAT(I286,"|"), J286)</f>
        <v>Jay|Brand</v>
      </c>
      <c r="L286">
        <v>0</v>
      </c>
      <c r="M286">
        <v>0</v>
      </c>
      <c r="N286">
        <v>0</v>
      </c>
    </row>
    <row r="287" spans="1:14" hidden="1" x14ac:dyDescent="0.2">
      <c r="A287">
        <v>2024</v>
      </c>
      <c r="B287">
        <v>5</v>
      </c>
      <c r="C287" t="s">
        <v>75</v>
      </c>
      <c r="D287" t="s">
        <v>18</v>
      </c>
      <c r="E287">
        <v>120.16</v>
      </c>
      <c r="F287">
        <v>103.82</v>
      </c>
      <c r="G287">
        <f>E287+F287</f>
        <v>223.98</v>
      </c>
      <c r="H287">
        <f>E287-F287</f>
        <v>16.340000000000003</v>
      </c>
      <c r="I287" t="s">
        <v>36</v>
      </c>
      <c r="J287" t="s">
        <v>20</v>
      </c>
      <c r="K287" t="str">
        <f>_xlfn.CONCAT(_xlfn.CONCAT(I287,"|"), J287)</f>
        <v>Will|Schulwolf</v>
      </c>
      <c r="L287">
        <v>0</v>
      </c>
      <c r="M287">
        <v>0</v>
      </c>
      <c r="N287">
        <v>0</v>
      </c>
    </row>
    <row r="288" spans="1:14" hidden="1" x14ac:dyDescent="0.2">
      <c r="A288">
        <v>2025</v>
      </c>
      <c r="B288">
        <v>8</v>
      </c>
      <c r="C288" t="s">
        <v>524</v>
      </c>
      <c r="D288" t="s">
        <v>521</v>
      </c>
      <c r="E288">
        <v>135.62</v>
      </c>
      <c r="F288">
        <v>119.56</v>
      </c>
      <c r="G288">
        <f>E288+F288</f>
        <v>255.18</v>
      </c>
      <c r="H288">
        <f>E288-F288</f>
        <v>16.060000000000002</v>
      </c>
      <c r="I288" t="s">
        <v>21</v>
      </c>
      <c r="J288" t="s">
        <v>29</v>
      </c>
      <c r="K288" t="str">
        <f>_xlfn.CONCAT(_xlfn.CONCAT(I288,"|"), J288)</f>
        <v>Todd|Eli</v>
      </c>
      <c r="L288">
        <v>0</v>
      </c>
      <c r="M288">
        <v>0</v>
      </c>
      <c r="N288">
        <v>0</v>
      </c>
    </row>
    <row r="289" spans="1:14" hidden="1" x14ac:dyDescent="0.2">
      <c r="A289">
        <v>2023</v>
      </c>
      <c r="B289">
        <v>13</v>
      </c>
      <c r="C289" t="s">
        <v>35</v>
      </c>
      <c r="D289" t="s">
        <v>31</v>
      </c>
      <c r="E289">
        <v>114.18</v>
      </c>
      <c r="F289">
        <v>98.28</v>
      </c>
      <c r="G289">
        <f>E289+F289</f>
        <v>212.46</v>
      </c>
      <c r="H289">
        <f>E289-F289</f>
        <v>15.900000000000006</v>
      </c>
      <c r="I289" t="s">
        <v>49</v>
      </c>
      <c r="J289" t="s">
        <v>33</v>
      </c>
      <c r="K289" t="str">
        <f>_xlfn.CONCAT(_xlfn.CONCAT(I289,"|"), J289)</f>
        <v>Brand|Jay</v>
      </c>
      <c r="L289">
        <v>0</v>
      </c>
      <c r="M289">
        <v>0</v>
      </c>
      <c r="N289">
        <v>0</v>
      </c>
    </row>
    <row r="290" spans="1:14" hidden="1" x14ac:dyDescent="0.2">
      <c r="A290">
        <v>2021</v>
      </c>
      <c r="B290">
        <v>14</v>
      </c>
      <c r="C290" t="s">
        <v>31</v>
      </c>
      <c r="D290" t="s">
        <v>23</v>
      </c>
      <c r="E290">
        <v>121.92</v>
      </c>
      <c r="F290">
        <v>106.1</v>
      </c>
      <c r="G290">
        <f>E290+F290</f>
        <v>228.01999999999998</v>
      </c>
      <c r="H290">
        <f>E290-F290</f>
        <v>15.820000000000007</v>
      </c>
      <c r="I290" t="s">
        <v>33</v>
      </c>
      <c r="J290" t="s">
        <v>25</v>
      </c>
      <c r="K290" t="str">
        <f>_xlfn.CONCAT(_xlfn.CONCAT(I290,"|"), J290)</f>
        <v>Jay|Burnett</v>
      </c>
      <c r="L290">
        <v>0</v>
      </c>
      <c r="M290">
        <v>0</v>
      </c>
      <c r="N290">
        <v>0</v>
      </c>
    </row>
    <row r="291" spans="1:14" hidden="1" x14ac:dyDescent="0.2">
      <c r="A291">
        <v>2023</v>
      </c>
      <c r="B291">
        <v>9</v>
      </c>
      <c r="C291" t="s">
        <v>48</v>
      </c>
      <c r="D291" t="s">
        <v>18</v>
      </c>
      <c r="E291">
        <v>124.76</v>
      </c>
      <c r="F291">
        <v>109.04</v>
      </c>
      <c r="G291">
        <f>E291+F291</f>
        <v>233.8</v>
      </c>
      <c r="H291">
        <f>E291-F291</f>
        <v>15.719999999999999</v>
      </c>
      <c r="I291" t="s">
        <v>36</v>
      </c>
      <c r="J291" t="s">
        <v>20</v>
      </c>
      <c r="K291" t="str">
        <f>_xlfn.CONCAT(_xlfn.CONCAT(I291,"|"), J291)</f>
        <v>Will|Schulwolf</v>
      </c>
      <c r="L291">
        <v>0</v>
      </c>
      <c r="M291">
        <v>0</v>
      </c>
      <c r="N291">
        <v>0</v>
      </c>
    </row>
    <row r="292" spans="1:14" hidden="1" x14ac:dyDescent="0.2">
      <c r="A292">
        <v>2022</v>
      </c>
      <c r="B292">
        <v>10</v>
      </c>
      <c r="C292" t="s">
        <v>14</v>
      </c>
      <c r="D292" t="s">
        <v>38</v>
      </c>
      <c r="E292">
        <v>117.18</v>
      </c>
      <c r="F292">
        <v>101.48</v>
      </c>
      <c r="G292">
        <f>E292+F292</f>
        <v>218.66000000000003</v>
      </c>
      <c r="H292">
        <f>E292-F292</f>
        <v>15.700000000000003</v>
      </c>
      <c r="I292" t="s">
        <v>16</v>
      </c>
      <c r="J292" t="s">
        <v>36</v>
      </c>
      <c r="K292" t="str">
        <f>_xlfn.CONCAT(_xlfn.CONCAT(I292,"|"), J292)</f>
        <v>Brenton|Will</v>
      </c>
      <c r="L292">
        <v>0</v>
      </c>
      <c r="M292">
        <v>0</v>
      </c>
      <c r="N292">
        <v>0</v>
      </c>
    </row>
    <row r="293" spans="1:14" hidden="1" x14ac:dyDescent="0.2">
      <c r="A293">
        <v>2025</v>
      </c>
      <c r="B293">
        <v>10</v>
      </c>
      <c r="C293" t="s">
        <v>521</v>
      </c>
      <c r="D293" t="s">
        <v>35</v>
      </c>
      <c r="E293">
        <v>147.30000000000001</v>
      </c>
      <c r="F293">
        <v>131.62</v>
      </c>
      <c r="G293">
        <f>E293+F293</f>
        <v>278.92</v>
      </c>
      <c r="H293">
        <f>E293-F293</f>
        <v>15.680000000000007</v>
      </c>
      <c r="I293" t="s">
        <v>29</v>
      </c>
      <c r="J293" t="s">
        <v>49</v>
      </c>
      <c r="K293" t="str">
        <f>_xlfn.CONCAT(_xlfn.CONCAT(I293,"|"), J293)</f>
        <v>Eli|Brand</v>
      </c>
      <c r="L293">
        <v>0</v>
      </c>
      <c r="M293">
        <v>0</v>
      </c>
      <c r="N293">
        <v>0</v>
      </c>
    </row>
    <row r="294" spans="1:14" hidden="1" x14ac:dyDescent="0.2">
      <c r="A294">
        <v>2022</v>
      </c>
      <c r="B294">
        <v>7</v>
      </c>
      <c r="C294" t="s">
        <v>42</v>
      </c>
      <c r="D294" t="s">
        <v>26</v>
      </c>
      <c r="E294">
        <v>102.8</v>
      </c>
      <c r="F294">
        <v>87.12</v>
      </c>
      <c r="G294">
        <f>E294+F294</f>
        <v>189.92000000000002</v>
      </c>
      <c r="H294">
        <f>E294-F294</f>
        <v>15.679999999999993</v>
      </c>
      <c r="I294" t="s">
        <v>17</v>
      </c>
      <c r="J294" t="s">
        <v>28</v>
      </c>
      <c r="K294" t="str">
        <f>_xlfn.CONCAT(_xlfn.CONCAT(I294,"|"), J294)</f>
        <v>Mike|Tommy</v>
      </c>
      <c r="L294">
        <v>0</v>
      </c>
      <c r="M294">
        <v>0</v>
      </c>
      <c r="N294">
        <v>0</v>
      </c>
    </row>
    <row r="295" spans="1:14" hidden="1" x14ac:dyDescent="0.2">
      <c r="A295">
        <v>2021</v>
      </c>
      <c r="B295">
        <v>3</v>
      </c>
      <c r="C295" t="s">
        <v>35</v>
      </c>
      <c r="D295" t="s">
        <v>30</v>
      </c>
      <c r="E295">
        <v>142.69999999999999</v>
      </c>
      <c r="F295">
        <v>127.04</v>
      </c>
      <c r="G295">
        <f>E295+F295</f>
        <v>269.74</v>
      </c>
      <c r="H295">
        <f>E295-F295</f>
        <v>15.659999999999982</v>
      </c>
      <c r="I295" t="s">
        <v>37</v>
      </c>
      <c r="J295" t="s">
        <v>32</v>
      </c>
      <c r="K295" t="str">
        <f>_xlfn.CONCAT(_xlfn.CONCAT(I295,"|"), J295)</f>
        <v>Brand/Kevin|Cam</v>
      </c>
      <c r="L295">
        <v>0</v>
      </c>
      <c r="M295">
        <v>0</v>
      </c>
      <c r="N295">
        <v>0</v>
      </c>
    </row>
    <row r="296" spans="1:14" hidden="1" x14ac:dyDescent="0.2">
      <c r="A296">
        <v>2022</v>
      </c>
      <c r="B296">
        <v>3</v>
      </c>
      <c r="C296" t="s">
        <v>22</v>
      </c>
      <c r="D296" t="s">
        <v>43</v>
      </c>
      <c r="E296">
        <v>121.04</v>
      </c>
      <c r="F296">
        <v>105.4</v>
      </c>
      <c r="G296">
        <f>E296+F296</f>
        <v>226.44</v>
      </c>
      <c r="H296">
        <f>E296-F296</f>
        <v>15.64</v>
      </c>
      <c r="I296" t="s">
        <v>24</v>
      </c>
      <c r="J296" t="s">
        <v>21</v>
      </c>
      <c r="K296" t="str">
        <f>_xlfn.CONCAT(_xlfn.CONCAT(I296,"|"), J296)</f>
        <v>Jasjaap|Todd</v>
      </c>
      <c r="L296">
        <v>0</v>
      </c>
      <c r="M296">
        <v>0</v>
      </c>
      <c r="N296">
        <v>0</v>
      </c>
    </row>
    <row r="297" spans="1:14" hidden="1" x14ac:dyDescent="0.2">
      <c r="A297">
        <v>2024</v>
      </c>
      <c r="B297">
        <v>4</v>
      </c>
      <c r="C297" t="s">
        <v>76</v>
      </c>
      <c r="D297" t="s">
        <v>73</v>
      </c>
      <c r="E297">
        <v>120.88</v>
      </c>
      <c r="F297">
        <v>105.34</v>
      </c>
      <c r="G297">
        <f>E297+F297</f>
        <v>226.22</v>
      </c>
      <c r="H297">
        <f>E297-F297</f>
        <v>15.539999999999992</v>
      </c>
      <c r="I297" t="s">
        <v>32</v>
      </c>
      <c r="J297" t="s">
        <v>21</v>
      </c>
      <c r="K297" t="str">
        <f>_xlfn.CONCAT(_xlfn.CONCAT(I297,"|"), J297)</f>
        <v>Cam|Todd</v>
      </c>
      <c r="L297">
        <v>0</v>
      </c>
      <c r="M297">
        <v>0</v>
      </c>
      <c r="N297">
        <v>0</v>
      </c>
    </row>
    <row r="298" spans="1:14" hidden="1" x14ac:dyDescent="0.2">
      <c r="A298">
        <v>2022</v>
      </c>
      <c r="B298">
        <v>3</v>
      </c>
      <c r="C298" t="s">
        <v>26</v>
      </c>
      <c r="D298" t="s">
        <v>18</v>
      </c>
      <c r="E298">
        <v>113.3</v>
      </c>
      <c r="F298">
        <v>97.76</v>
      </c>
      <c r="G298">
        <f>E298+F298</f>
        <v>211.06</v>
      </c>
      <c r="H298">
        <f>E298-F298</f>
        <v>15.539999999999992</v>
      </c>
      <c r="I298" t="s">
        <v>28</v>
      </c>
      <c r="J298" t="s">
        <v>20</v>
      </c>
      <c r="K298" t="str">
        <f>_xlfn.CONCAT(_xlfn.CONCAT(I298,"|"), J298)</f>
        <v>Tommy|Schulwolf</v>
      </c>
      <c r="L298">
        <v>0</v>
      </c>
      <c r="M298">
        <v>0</v>
      </c>
      <c r="N298">
        <v>0</v>
      </c>
    </row>
    <row r="299" spans="1:14" hidden="1" x14ac:dyDescent="0.2">
      <c r="A299">
        <v>2025</v>
      </c>
      <c r="B299">
        <v>17</v>
      </c>
      <c r="C299" t="s">
        <v>18</v>
      </c>
      <c r="D299" t="s">
        <v>35</v>
      </c>
      <c r="E299">
        <v>138</v>
      </c>
      <c r="F299">
        <v>100.9</v>
      </c>
      <c r="G299">
        <f>E299+F299</f>
        <v>238.9</v>
      </c>
      <c r="H299">
        <f>E299-F299</f>
        <v>37.099999999999994</v>
      </c>
      <c r="I299" t="s">
        <v>20</v>
      </c>
      <c r="J299" t="s">
        <v>49</v>
      </c>
      <c r="K299" t="str">
        <f>_xlfn.CONCAT(_xlfn.CONCAT(I299,"|"), J299)</f>
        <v>Schulwolf|Brand</v>
      </c>
      <c r="L299">
        <v>1</v>
      </c>
      <c r="M299">
        <v>0</v>
      </c>
      <c r="N299">
        <v>1</v>
      </c>
    </row>
    <row r="300" spans="1:14" hidden="1" x14ac:dyDescent="0.2">
      <c r="A300">
        <v>2022</v>
      </c>
      <c r="B300">
        <v>1</v>
      </c>
      <c r="C300" t="s">
        <v>31</v>
      </c>
      <c r="D300" t="s">
        <v>26</v>
      </c>
      <c r="E300">
        <v>117.9</v>
      </c>
      <c r="F300">
        <v>102.48</v>
      </c>
      <c r="G300">
        <f>E300+F300</f>
        <v>220.38</v>
      </c>
      <c r="H300">
        <f>E300-F300</f>
        <v>15.420000000000002</v>
      </c>
      <c r="I300" t="s">
        <v>41</v>
      </c>
      <c r="J300" t="s">
        <v>28</v>
      </c>
      <c r="K300" t="str">
        <f>_xlfn.CONCAT(_xlfn.CONCAT(I300,"|"), J300)</f>
        <v>Jay/Brand|Tommy</v>
      </c>
      <c r="L300">
        <v>0</v>
      </c>
      <c r="M300">
        <v>0</v>
      </c>
      <c r="N300">
        <v>0</v>
      </c>
    </row>
    <row r="301" spans="1:14" hidden="1" x14ac:dyDescent="0.2">
      <c r="A301">
        <v>2024</v>
      </c>
      <c r="B301">
        <v>9</v>
      </c>
      <c r="C301" t="s">
        <v>74</v>
      </c>
      <c r="D301" t="s">
        <v>26</v>
      </c>
      <c r="E301">
        <v>119.28</v>
      </c>
      <c r="F301">
        <v>103.9</v>
      </c>
      <c r="G301">
        <f>E301+F301</f>
        <v>223.18</v>
      </c>
      <c r="H301">
        <f>E301-F301</f>
        <v>15.379999999999995</v>
      </c>
      <c r="I301" t="s">
        <v>29</v>
      </c>
      <c r="J301" t="s">
        <v>28</v>
      </c>
      <c r="K301" t="str">
        <f>_xlfn.CONCAT(_xlfn.CONCAT(I301,"|"), J301)</f>
        <v>Eli|Tommy</v>
      </c>
      <c r="L301">
        <v>0</v>
      </c>
      <c r="M301">
        <v>0</v>
      </c>
      <c r="N301">
        <v>0</v>
      </c>
    </row>
    <row r="302" spans="1:14" hidden="1" x14ac:dyDescent="0.2">
      <c r="A302">
        <v>2024</v>
      </c>
      <c r="B302">
        <v>4</v>
      </c>
      <c r="C302" t="s">
        <v>26</v>
      </c>
      <c r="D302" t="s">
        <v>75</v>
      </c>
      <c r="E302">
        <v>119.1</v>
      </c>
      <c r="F302">
        <v>103.88</v>
      </c>
      <c r="G302">
        <f>E302+F302</f>
        <v>222.98</v>
      </c>
      <c r="H302">
        <f>E302-F302</f>
        <v>15.219999999999999</v>
      </c>
      <c r="I302" t="s">
        <v>28</v>
      </c>
      <c r="J302" t="s">
        <v>36</v>
      </c>
      <c r="K302" t="str">
        <f>_xlfn.CONCAT(_xlfn.CONCAT(I302,"|"), J302)</f>
        <v>Tommy|Will</v>
      </c>
      <c r="L302">
        <v>0</v>
      </c>
      <c r="M302">
        <v>0</v>
      </c>
      <c r="N302">
        <v>0</v>
      </c>
    </row>
    <row r="303" spans="1:14" hidden="1" x14ac:dyDescent="0.2">
      <c r="A303">
        <v>2021</v>
      </c>
      <c r="B303">
        <v>1</v>
      </c>
      <c r="C303" t="s">
        <v>34</v>
      </c>
      <c r="D303" t="s">
        <v>35</v>
      </c>
      <c r="E303">
        <v>148.38</v>
      </c>
      <c r="F303">
        <v>133.18</v>
      </c>
      <c r="G303">
        <f>E303+F303</f>
        <v>281.56</v>
      </c>
      <c r="H303">
        <f>E303-F303</f>
        <v>15.199999999999989</v>
      </c>
      <c r="I303" t="s">
        <v>36</v>
      </c>
      <c r="J303" t="s">
        <v>37</v>
      </c>
      <c r="K303" t="str">
        <f>_xlfn.CONCAT(_xlfn.CONCAT(I303,"|"), J303)</f>
        <v>Will|Brand/Kevin</v>
      </c>
      <c r="L303">
        <v>0</v>
      </c>
      <c r="M303">
        <v>0</v>
      </c>
      <c r="N303">
        <v>0</v>
      </c>
    </row>
    <row r="304" spans="1:14" hidden="1" x14ac:dyDescent="0.2">
      <c r="A304">
        <v>2022</v>
      </c>
      <c r="B304">
        <v>5</v>
      </c>
      <c r="C304" t="s">
        <v>23</v>
      </c>
      <c r="D304" t="s">
        <v>40</v>
      </c>
      <c r="E304">
        <v>102.14</v>
      </c>
      <c r="F304">
        <v>87.06</v>
      </c>
      <c r="G304">
        <f>E304+F304</f>
        <v>189.2</v>
      </c>
      <c r="H304">
        <f>E304-F304</f>
        <v>15.079999999999998</v>
      </c>
      <c r="I304" t="s">
        <v>25</v>
      </c>
      <c r="J304" t="s">
        <v>29</v>
      </c>
      <c r="K304" t="str">
        <f>_xlfn.CONCAT(_xlfn.CONCAT(I304,"|"), J304)</f>
        <v>Burnett|Eli</v>
      </c>
      <c r="L304">
        <v>0</v>
      </c>
      <c r="M304">
        <v>0</v>
      </c>
      <c r="N304">
        <v>0</v>
      </c>
    </row>
    <row r="305" spans="1:14" hidden="1" x14ac:dyDescent="0.2">
      <c r="A305">
        <v>2024</v>
      </c>
      <c r="B305">
        <v>1</v>
      </c>
      <c r="C305" t="s">
        <v>46</v>
      </c>
      <c r="D305" t="s">
        <v>74</v>
      </c>
      <c r="E305">
        <v>103.64</v>
      </c>
      <c r="F305">
        <v>88.62</v>
      </c>
      <c r="G305">
        <f>E305+F305</f>
        <v>192.26</v>
      </c>
      <c r="H305">
        <f>E305-F305</f>
        <v>15.019999999999996</v>
      </c>
      <c r="I305" t="s">
        <v>47</v>
      </c>
      <c r="J305" t="s">
        <v>29</v>
      </c>
      <c r="K305" t="str">
        <f>_xlfn.CONCAT(_xlfn.CONCAT(I305,"|"), J305)</f>
        <v>Burnett/Jasjaap|Eli</v>
      </c>
      <c r="L305">
        <v>0</v>
      </c>
      <c r="M305">
        <v>0</v>
      </c>
      <c r="N305">
        <v>0</v>
      </c>
    </row>
    <row r="306" spans="1:14" hidden="1" x14ac:dyDescent="0.2">
      <c r="A306">
        <v>2021</v>
      </c>
      <c r="B306">
        <v>12</v>
      </c>
      <c r="C306" t="s">
        <v>14</v>
      </c>
      <c r="D306" t="s">
        <v>15</v>
      </c>
      <c r="E306">
        <v>124.98</v>
      </c>
      <c r="F306">
        <v>110.2</v>
      </c>
      <c r="G306">
        <f>E306+F306</f>
        <v>235.18</v>
      </c>
      <c r="H306">
        <f>E306-F306</f>
        <v>14.780000000000001</v>
      </c>
      <c r="I306" t="s">
        <v>16</v>
      </c>
      <c r="J306" t="s">
        <v>17</v>
      </c>
      <c r="K306" t="str">
        <f>_xlfn.CONCAT(_xlfn.CONCAT(I306,"|"), J306)</f>
        <v>Brenton|Mike</v>
      </c>
      <c r="L306">
        <v>0</v>
      </c>
      <c r="M306">
        <v>0</v>
      </c>
      <c r="N306">
        <v>0</v>
      </c>
    </row>
    <row r="307" spans="1:14" hidden="1" x14ac:dyDescent="0.2">
      <c r="A307">
        <v>2024</v>
      </c>
      <c r="B307">
        <v>1</v>
      </c>
      <c r="C307" t="s">
        <v>18</v>
      </c>
      <c r="D307" t="s">
        <v>26</v>
      </c>
      <c r="E307">
        <v>142.1</v>
      </c>
      <c r="F307">
        <v>127.38</v>
      </c>
      <c r="G307">
        <f>E307+F307</f>
        <v>269.48</v>
      </c>
      <c r="H307">
        <f>E307-F307</f>
        <v>14.719999999999999</v>
      </c>
      <c r="I307" t="s">
        <v>20</v>
      </c>
      <c r="J307" t="s">
        <v>28</v>
      </c>
      <c r="K307" t="str">
        <f>_xlfn.CONCAT(_xlfn.CONCAT(I307,"|"), J307)</f>
        <v>Schulwolf|Tommy</v>
      </c>
      <c r="L307">
        <v>0</v>
      </c>
      <c r="M307">
        <v>0</v>
      </c>
      <c r="N307">
        <v>0</v>
      </c>
    </row>
    <row r="308" spans="1:14" hidden="1" x14ac:dyDescent="0.2">
      <c r="A308">
        <v>2025</v>
      </c>
      <c r="B308">
        <v>1</v>
      </c>
      <c r="C308" t="s">
        <v>42</v>
      </c>
      <c r="D308" t="s">
        <v>521</v>
      </c>
      <c r="E308">
        <v>92.52</v>
      </c>
      <c r="F308">
        <v>77.84</v>
      </c>
      <c r="G308">
        <f>E308+F308</f>
        <v>170.36</v>
      </c>
      <c r="H308">
        <f>E308-F308</f>
        <v>14.679999999999993</v>
      </c>
      <c r="I308" t="s">
        <v>17</v>
      </c>
      <c r="J308" t="s">
        <v>29</v>
      </c>
      <c r="K308" t="str">
        <f>_xlfn.CONCAT(_xlfn.CONCAT(I308,"|"), J308)</f>
        <v>Mike|Eli</v>
      </c>
      <c r="L308">
        <v>0</v>
      </c>
      <c r="M308">
        <v>0</v>
      </c>
      <c r="N308">
        <v>0</v>
      </c>
    </row>
    <row r="309" spans="1:14" x14ac:dyDescent="0.2">
      <c r="A309">
        <v>2025</v>
      </c>
      <c r="B309">
        <v>5</v>
      </c>
      <c r="C309" t="s">
        <v>521</v>
      </c>
      <c r="D309" t="s">
        <v>77</v>
      </c>
      <c r="E309">
        <v>151.22</v>
      </c>
      <c r="F309">
        <v>145.46</v>
      </c>
      <c r="G309">
        <f>E309+F309</f>
        <v>296.68</v>
      </c>
      <c r="H309">
        <f>E309-F309</f>
        <v>5.7599999999999909</v>
      </c>
      <c r="I309" t="s">
        <v>29</v>
      </c>
      <c r="J309" t="s">
        <v>45</v>
      </c>
      <c r="K309" t="str">
        <f>_xlfn.CONCAT(_xlfn.CONCAT(I309,"|"), J309)</f>
        <v>Eli|Kevin</v>
      </c>
      <c r="L309">
        <v>0</v>
      </c>
      <c r="M309">
        <v>0</v>
      </c>
      <c r="N309">
        <v>0</v>
      </c>
    </row>
    <row r="310" spans="1:14" hidden="1" x14ac:dyDescent="0.2">
      <c r="A310">
        <v>2025</v>
      </c>
      <c r="B310">
        <v>1</v>
      </c>
      <c r="C310" t="s">
        <v>526</v>
      </c>
      <c r="D310" t="s">
        <v>525</v>
      </c>
      <c r="E310">
        <v>113.2</v>
      </c>
      <c r="F310">
        <v>98.62</v>
      </c>
      <c r="G310">
        <f>E310+F310</f>
        <v>211.82</v>
      </c>
      <c r="H310">
        <f>E310-F310</f>
        <v>14.579999999999998</v>
      </c>
      <c r="I310" t="s">
        <v>32</v>
      </c>
      <c r="J310" t="s">
        <v>36</v>
      </c>
      <c r="K310" t="str">
        <f>_xlfn.CONCAT(_xlfn.CONCAT(I310,"|"), J310)</f>
        <v>Cam|Will</v>
      </c>
      <c r="L310">
        <v>0</v>
      </c>
      <c r="M310">
        <v>0</v>
      </c>
      <c r="N310">
        <v>0</v>
      </c>
    </row>
    <row r="311" spans="1:14" hidden="1" x14ac:dyDescent="0.2">
      <c r="A311">
        <v>2024</v>
      </c>
      <c r="B311">
        <v>1</v>
      </c>
      <c r="C311" t="s">
        <v>77</v>
      </c>
      <c r="D311" t="s">
        <v>42</v>
      </c>
      <c r="E311">
        <v>114.46</v>
      </c>
      <c r="F311">
        <v>100.04</v>
      </c>
      <c r="G311">
        <f>E311+F311</f>
        <v>214.5</v>
      </c>
      <c r="H311">
        <f>E311-F311</f>
        <v>14.419999999999987</v>
      </c>
      <c r="I311" t="s">
        <v>45</v>
      </c>
      <c r="J311" t="s">
        <v>17</v>
      </c>
      <c r="K311" t="str">
        <f>_xlfn.CONCAT(_xlfn.CONCAT(I311,"|"), J311)</f>
        <v>Kevin|Mike</v>
      </c>
      <c r="L311">
        <v>0</v>
      </c>
      <c r="M311">
        <v>0</v>
      </c>
      <c r="N311">
        <v>0</v>
      </c>
    </row>
    <row r="312" spans="1:14" hidden="1" x14ac:dyDescent="0.2">
      <c r="A312">
        <v>2021</v>
      </c>
      <c r="B312">
        <v>5</v>
      </c>
      <c r="C312" t="s">
        <v>35</v>
      </c>
      <c r="D312" t="s">
        <v>26</v>
      </c>
      <c r="E312">
        <v>139.47999999999999</v>
      </c>
      <c r="F312">
        <v>125.28</v>
      </c>
      <c r="G312">
        <f>E312+F312</f>
        <v>264.76</v>
      </c>
      <c r="H312">
        <f>E312-F312</f>
        <v>14.199999999999989</v>
      </c>
      <c r="I312" t="s">
        <v>37</v>
      </c>
      <c r="J312" t="s">
        <v>28</v>
      </c>
      <c r="K312" t="str">
        <f>_xlfn.CONCAT(_xlfn.CONCAT(I312,"|"), J312)</f>
        <v>Brand/Kevin|Tommy</v>
      </c>
      <c r="L312">
        <v>0</v>
      </c>
      <c r="M312">
        <v>0</v>
      </c>
      <c r="N312">
        <v>0</v>
      </c>
    </row>
    <row r="313" spans="1:14" hidden="1" x14ac:dyDescent="0.2">
      <c r="A313">
        <v>2024</v>
      </c>
      <c r="B313">
        <v>1</v>
      </c>
      <c r="C313" t="s">
        <v>73</v>
      </c>
      <c r="D313" t="s">
        <v>14</v>
      </c>
      <c r="E313">
        <v>124.36</v>
      </c>
      <c r="F313">
        <v>110.18</v>
      </c>
      <c r="G313">
        <f>E313+F313</f>
        <v>234.54000000000002</v>
      </c>
      <c r="H313">
        <f>E313-F313</f>
        <v>14.179999999999993</v>
      </c>
      <c r="I313" t="s">
        <v>21</v>
      </c>
      <c r="J313" t="s">
        <v>16</v>
      </c>
      <c r="K313" t="str">
        <f>_xlfn.CONCAT(_xlfn.CONCAT(I313,"|"), J313)</f>
        <v>Todd|Brenton</v>
      </c>
      <c r="L313">
        <v>0</v>
      </c>
      <c r="M313">
        <v>0</v>
      </c>
      <c r="N313">
        <v>0</v>
      </c>
    </row>
    <row r="314" spans="1:14" hidden="1" x14ac:dyDescent="0.2">
      <c r="A314">
        <v>2024</v>
      </c>
      <c r="B314">
        <v>7</v>
      </c>
      <c r="C314" t="s">
        <v>35</v>
      </c>
      <c r="D314" t="s">
        <v>73</v>
      </c>
      <c r="E314">
        <v>122.06</v>
      </c>
      <c r="F314">
        <v>107.96</v>
      </c>
      <c r="G314">
        <f>E314+F314</f>
        <v>230.01999999999998</v>
      </c>
      <c r="H314">
        <f>E314-F314</f>
        <v>14.100000000000009</v>
      </c>
      <c r="I314" t="s">
        <v>49</v>
      </c>
      <c r="J314" t="s">
        <v>21</v>
      </c>
      <c r="K314" t="str">
        <f>_xlfn.CONCAT(_xlfn.CONCAT(I314,"|"), J314)</f>
        <v>Brand|Todd</v>
      </c>
      <c r="L314">
        <v>0</v>
      </c>
      <c r="M314">
        <v>0</v>
      </c>
      <c r="N314">
        <v>0</v>
      </c>
    </row>
    <row r="315" spans="1:14" hidden="1" x14ac:dyDescent="0.2">
      <c r="A315">
        <v>2021</v>
      </c>
      <c r="B315">
        <v>6</v>
      </c>
      <c r="C315" t="s">
        <v>18</v>
      </c>
      <c r="D315" t="s">
        <v>27</v>
      </c>
      <c r="E315">
        <v>114.2</v>
      </c>
      <c r="F315">
        <v>100.1</v>
      </c>
      <c r="G315">
        <f>E315+F315</f>
        <v>214.3</v>
      </c>
      <c r="H315">
        <f>E315-F315</f>
        <v>14.100000000000009</v>
      </c>
      <c r="I315" t="s">
        <v>20</v>
      </c>
      <c r="J315" t="s">
        <v>29</v>
      </c>
      <c r="K315" t="str">
        <f>_xlfn.CONCAT(_xlfn.CONCAT(I315,"|"), J315)</f>
        <v>Schulwolf|Eli</v>
      </c>
      <c r="L315">
        <v>0</v>
      </c>
      <c r="M315">
        <v>0</v>
      </c>
      <c r="N315">
        <v>0</v>
      </c>
    </row>
    <row r="316" spans="1:14" hidden="1" x14ac:dyDescent="0.2">
      <c r="A316">
        <v>2022</v>
      </c>
      <c r="B316">
        <v>16</v>
      </c>
      <c r="C316" t="s">
        <v>42</v>
      </c>
      <c r="D316" t="s">
        <v>40</v>
      </c>
      <c r="E316">
        <v>105.58</v>
      </c>
      <c r="F316">
        <v>94.26</v>
      </c>
      <c r="G316">
        <f>E316+F316</f>
        <v>199.84</v>
      </c>
      <c r="H316">
        <f>E316-F316</f>
        <v>11.319999999999993</v>
      </c>
      <c r="I316" t="s">
        <v>17</v>
      </c>
      <c r="J316" t="s">
        <v>29</v>
      </c>
      <c r="K316" t="str">
        <f>_xlfn.CONCAT(_xlfn.CONCAT(I316,"|"), J316)</f>
        <v>Mike|Eli</v>
      </c>
      <c r="L316">
        <v>1</v>
      </c>
      <c r="M316">
        <v>1</v>
      </c>
      <c r="N316">
        <v>0</v>
      </c>
    </row>
    <row r="317" spans="1:14" hidden="1" x14ac:dyDescent="0.2">
      <c r="A317">
        <v>2022</v>
      </c>
      <c r="B317">
        <v>6</v>
      </c>
      <c r="C317" t="s">
        <v>31</v>
      </c>
      <c r="D317" t="s">
        <v>23</v>
      </c>
      <c r="E317">
        <v>121.12</v>
      </c>
      <c r="F317">
        <v>107.12</v>
      </c>
      <c r="G317">
        <f>E317+F317</f>
        <v>228.24</v>
      </c>
      <c r="H317">
        <f>E317-F317</f>
        <v>14</v>
      </c>
      <c r="I317" t="s">
        <v>41</v>
      </c>
      <c r="J317" t="s">
        <v>25</v>
      </c>
      <c r="K317" t="str">
        <f>_xlfn.CONCAT(_xlfn.CONCAT(I317,"|"), J317)</f>
        <v>Jay/Brand|Burnett</v>
      </c>
      <c r="L317">
        <v>0</v>
      </c>
      <c r="M317">
        <v>0</v>
      </c>
      <c r="N317">
        <v>0</v>
      </c>
    </row>
    <row r="318" spans="1:14" hidden="1" x14ac:dyDescent="0.2">
      <c r="A318">
        <v>2025</v>
      </c>
      <c r="B318">
        <v>3</v>
      </c>
      <c r="C318" t="s">
        <v>26</v>
      </c>
      <c r="D318" t="s">
        <v>31</v>
      </c>
      <c r="E318">
        <v>106.56</v>
      </c>
      <c r="F318">
        <v>92.62</v>
      </c>
      <c r="G318">
        <f>E318+F318</f>
        <v>199.18</v>
      </c>
      <c r="H318">
        <f>E318-F318</f>
        <v>13.939999999999998</v>
      </c>
      <c r="I318" t="s">
        <v>28</v>
      </c>
      <c r="J318" t="s">
        <v>33</v>
      </c>
      <c r="K318" t="str">
        <f>_xlfn.CONCAT(_xlfn.CONCAT(I318,"|"), J318)</f>
        <v>Tommy|Jay</v>
      </c>
      <c r="L318">
        <v>0</v>
      </c>
      <c r="M318">
        <v>0</v>
      </c>
      <c r="N318">
        <v>0</v>
      </c>
    </row>
    <row r="319" spans="1:14" hidden="1" x14ac:dyDescent="0.2">
      <c r="A319">
        <v>2025</v>
      </c>
      <c r="B319">
        <v>8</v>
      </c>
      <c r="C319" t="s">
        <v>31</v>
      </c>
      <c r="D319" t="s">
        <v>526</v>
      </c>
      <c r="E319">
        <v>111.68</v>
      </c>
      <c r="F319">
        <v>97.76</v>
      </c>
      <c r="G319">
        <f>E319+F319</f>
        <v>209.44</v>
      </c>
      <c r="H319">
        <f>E319-F319</f>
        <v>13.920000000000002</v>
      </c>
      <c r="I319" t="s">
        <v>33</v>
      </c>
      <c r="J319" t="s">
        <v>32</v>
      </c>
      <c r="K319" t="str">
        <f>_xlfn.CONCAT(_xlfn.CONCAT(I319,"|"), J319)</f>
        <v>Jay|Cam</v>
      </c>
      <c r="L319">
        <v>0</v>
      </c>
      <c r="M319">
        <v>0</v>
      </c>
      <c r="N319">
        <v>0</v>
      </c>
    </row>
    <row r="320" spans="1:14" hidden="1" x14ac:dyDescent="0.2">
      <c r="A320">
        <v>2025</v>
      </c>
      <c r="B320">
        <v>7</v>
      </c>
      <c r="C320" t="s">
        <v>524</v>
      </c>
      <c r="D320" t="s">
        <v>14</v>
      </c>
      <c r="E320">
        <v>121.06</v>
      </c>
      <c r="F320">
        <v>107.28</v>
      </c>
      <c r="G320">
        <f>E320+F320</f>
        <v>228.34</v>
      </c>
      <c r="H320">
        <f>E320-F320</f>
        <v>13.780000000000001</v>
      </c>
      <c r="I320" t="s">
        <v>21</v>
      </c>
      <c r="J320" t="s">
        <v>16</v>
      </c>
      <c r="K320" t="str">
        <f>_xlfn.CONCAT(_xlfn.CONCAT(I320,"|"), J320)</f>
        <v>Todd|Brenton</v>
      </c>
      <c r="L320">
        <v>0</v>
      </c>
      <c r="M320">
        <v>0</v>
      </c>
      <c r="N320">
        <v>0</v>
      </c>
    </row>
    <row r="321" spans="1:14" hidden="1" x14ac:dyDescent="0.2">
      <c r="A321">
        <v>2022</v>
      </c>
      <c r="B321">
        <v>14</v>
      </c>
      <c r="C321" t="s">
        <v>26</v>
      </c>
      <c r="D321" t="s">
        <v>18</v>
      </c>
      <c r="E321">
        <v>121</v>
      </c>
      <c r="F321">
        <v>107.26</v>
      </c>
      <c r="G321">
        <f>E321+F321</f>
        <v>228.26</v>
      </c>
      <c r="H321">
        <f>E321-F321</f>
        <v>13.739999999999995</v>
      </c>
      <c r="I321" t="s">
        <v>28</v>
      </c>
      <c r="J321" t="s">
        <v>20</v>
      </c>
      <c r="K321" t="str">
        <f>_xlfn.CONCAT(_xlfn.CONCAT(I321,"|"), J321)</f>
        <v>Tommy|Schulwolf</v>
      </c>
      <c r="L321">
        <v>0</v>
      </c>
      <c r="M321">
        <v>0</v>
      </c>
      <c r="N321">
        <v>0</v>
      </c>
    </row>
    <row r="322" spans="1:14" hidden="1" x14ac:dyDescent="0.2">
      <c r="A322">
        <v>2025</v>
      </c>
      <c r="B322">
        <v>3</v>
      </c>
      <c r="C322" t="s">
        <v>14</v>
      </c>
      <c r="D322" t="s">
        <v>525</v>
      </c>
      <c r="E322">
        <v>130.82</v>
      </c>
      <c r="F322">
        <v>117.2</v>
      </c>
      <c r="G322">
        <f>E322+F322</f>
        <v>248.01999999999998</v>
      </c>
      <c r="H322">
        <f>E322-F322</f>
        <v>13.61999999999999</v>
      </c>
      <c r="I322" t="s">
        <v>16</v>
      </c>
      <c r="J322" t="s">
        <v>36</v>
      </c>
      <c r="K322" t="str">
        <f>_xlfn.CONCAT(_xlfn.CONCAT(I322,"|"), J322)</f>
        <v>Brenton|Will</v>
      </c>
      <c r="L322">
        <v>0</v>
      </c>
      <c r="M322">
        <v>0</v>
      </c>
      <c r="N322">
        <v>0</v>
      </c>
    </row>
    <row r="323" spans="1:14" hidden="1" x14ac:dyDescent="0.2">
      <c r="A323">
        <v>2023</v>
      </c>
      <c r="B323">
        <v>14</v>
      </c>
      <c r="C323" t="s">
        <v>52</v>
      </c>
      <c r="D323" t="s">
        <v>18</v>
      </c>
      <c r="E323">
        <v>129.72</v>
      </c>
      <c r="F323">
        <v>116.2</v>
      </c>
      <c r="G323">
        <f>E323+F323</f>
        <v>245.92000000000002</v>
      </c>
      <c r="H323">
        <f>E323-F323</f>
        <v>13.519999999999996</v>
      </c>
      <c r="I323" t="s">
        <v>32</v>
      </c>
      <c r="J323" t="s">
        <v>20</v>
      </c>
      <c r="K323" t="str">
        <f>_xlfn.CONCAT(_xlfn.CONCAT(I323,"|"), J323)</f>
        <v>Cam|Schulwolf</v>
      </c>
      <c r="L323">
        <v>0</v>
      </c>
      <c r="M323">
        <v>0</v>
      </c>
      <c r="N323">
        <v>0</v>
      </c>
    </row>
    <row r="324" spans="1:14" hidden="1" x14ac:dyDescent="0.2">
      <c r="A324">
        <v>2021</v>
      </c>
      <c r="B324">
        <v>10</v>
      </c>
      <c r="C324" t="s">
        <v>26</v>
      </c>
      <c r="D324" t="s">
        <v>18</v>
      </c>
      <c r="E324">
        <v>113.52</v>
      </c>
      <c r="F324">
        <v>100.08</v>
      </c>
      <c r="G324">
        <f>E324+F324</f>
        <v>213.6</v>
      </c>
      <c r="H324">
        <f>E324-F324</f>
        <v>13.439999999999998</v>
      </c>
      <c r="I324" t="s">
        <v>28</v>
      </c>
      <c r="J324" t="s">
        <v>20</v>
      </c>
      <c r="K324" t="str">
        <f>_xlfn.CONCAT(_xlfn.CONCAT(I324,"|"), J324)</f>
        <v>Tommy|Schulwolf</v>
      </c>
      <c r="L324">
        <v>0</v>
      </c>
      <c r="M324">
        <v>0</v>
      </c>
      <c r="N324">
        <v>0</v>
      </c>
    </row>
    <row r="325" spans="1:14" hidden="1" x14ac:dyDescent="0.2">
      <c r="A325">
        <v>2023</v>
      </c>
      <c r="B325">
        <v>2</v>
      </c>
      <c r="C325" t="s">
        <v>18</v>
      </c>
      <c r="D325" t="s">
        <v>51</v>
      </c>
      <c r="E325">
        <v>133.54</v>
      </c>
      <c r="F325">
        <v>120.18</v>
      </c>
      <c r="G325">
        <f>E325+F325</f>
        <v>253.72</v>
      </c>
      <c r="H325">
        <f>E325-F325</f>
        <v>13.359999999999985</v>
      </c>
      <c r="I325" t="s">
        <v>20</v>
      </c>
      <c r="J325" t="s">
        <v>21</v>
      </c>
      <c r="K325" t="str">
        <f>_xlfn.CONCAT(_xlfn.CONCAT(I325,"|"), J325)</f>
        <v>Schulwolf|Todd</v>
      </c>
      <c r="L325">
        <v>0</v>
      </c>
      <c r="M325">
        <v>0</v>
      </c>
      <c r="N325">
        <v>0</v>
      </c>
    </row>
    <row r="326" spans="1:14" hidden="1" x14ac:dyDescent="0.2">
      <c r="A326">
        <v>2024</v>
      </c>
      <c r="B326">
        <v>2</v>
      </c>
      <c r="C326" t="s">
        <v>75</v>
      </c>
      <c r="D326" t="s">
        <v>74</v>
      </c>
      <c r="E326">
        <v>128.78</v>
      </c>
      <c r="F326">
        <v>115.72</v>
      </c>
      <c r="G326">
        <f>E326+F326</f>
        <v>244.5</v>
      </c>
      <c r="H326">
        <f>E326-F326</f>
        <v>13.060000000000002</v>
      </c>
      <c r="I326" t="s">
        <v>36</v>
      </c>
      <c r="J326" t="s">
        <v>29</v>
      </c>
      <c r="K326" t="str">
        <f>_xlfn.CONCAT(_xlfn.CONCAT(I326,"|"), J326)</f>
        <v>Will|Eli</v>
      </c>
      <c r="L326">
        <v>0</v>
      </c>
      <c r="M326">
        <v>0</v>
      </c>
      <c r="N326">
        <v>0</v>
      </c>
    </row>
    <row r="327" spans="1:14" hidden="1" x14ac:dyDescent="0.2">
      <c r="A327">
        <v>2024</v>
      </c>
      <c r="B327">
        <v>11</v>
      </c>
      <c r="C327" t="s">
        <v>77</v>
      </c>
      <c r="D327" t="s">
        <v>26</v>
      </c>
      <c r="E327">
        <v>123.98</v>
      </c>
      <c r="F327">
        <v>110.98</v>
      </c>
      <c r="G327">
        <f>E327+F327</f>
        <v>234.96</v>
      </c>
      <c r="H327">
        <f>E327-F327</f>
        <v>13</v>
      </c>
      <c r="I327" t="s">
        <v>45</v>
      </c>
      <c r="J327" t="s">
        <v>28</v>
      </c>
      <c r="K327" t="str">
        <f>_xlfn.CONCAT(_xlfn.CONCAT(I327,"|"), J327)</f>
        <v>Kevin|Tommy</v>
      </c>
      <c r="L327">
        <v>0</v>
      </c>
      <c r="M327">
        <v>0</v>
      </c>
      <c r="N327">
        <v>0</v>
      </c>
    </row>
    <row r="328" spans="1:14" hidden="1" x14ac:dyDescent="0.2">
      <c r="A328">
        <v>2025</v>
      </c>
      <c r="B328">
        <v>2</v>
      </c>
      <c r="C328" t="s">
        <v>42</v>
      </c>
      <c r="D328" t="s">
        <v>31</v>
      </c>
      <c r="E328">
        <v>127.44</v>
      </c>
      <c r="F328">
        <v>114.48</v>
      </c>
      <c r="G328">
        <f>E328+F328</f>
        <v>241.92000000000002</v>
      </c>
      <c r="H328">
        <f>E328-F328</f>
        <v>12.959999999999994</v>
      </c>
      <c r="I328" t="s">
        <v>17</v>
      </c>
      <c r="J328" t="s">
        <v>33</v>
      </c>
      <c r="K328" t="str">
        <f>_xlfn.CONCAT(_xlfn.CONCAT(I328,"|"), J328)</f>
        <v>Mike|Jay</v>
      </c>
      <c r="L328">
        <v>0</v>
      </c>
      <c r="M328">
        <v>0</v>
      </c>
      <c r="N328">
        <v>0</v>
      </c>
    </row>
    <row r="329" spans="1:14" hidden="1" x14ac:dyDescent="0.2">
      <c r="A329">
        <v>2022</v>
      </c>
      <c r="B329">
        <v>4</v>
      </c>
      <c r="C329" t="s">
        <v>40</v>
      </c>
      <c r="D329" t="s">
        <v>38</v>
      </c>
      <c r="E329">
        <v>145.58000000000001</v>
      </c>
      <c r="F329">
        <v>132.66</v>
      </c>
      <c r="G329">
        <f>E329+F329</f>
        <v>278.24</v>
      </c>
      <c r="H329">
        <f>E329-F329</f>
        <v>12.920000000000016</v>
      </c>
      <c r="I329" t="s">
        <v>29</v>
      </c>
      <c r="J329" t="s">
        <v>36</v>
      </c>
      <c r="K329" t="str">
        <f>_xlfn.CONCAT(_xlfn.CONCAT(I329,"|"), J329)</f>
        <v>Eli|Will</v>
      </c>
      <c r="L329">
        <v>0</v>
      </c>
      <c r="M329">
        <v>0</v>
      </c>
      <c r="N329">
        <v>0</v>
      </c>
    </row>
    <row r="330" spans="1:14" hidden="1" x14ac:dyDescent="0.2">
      <c r="A330">
        <v>2021</v>
      </c>
      <c r="B330">
        <v>11</v>
      </c>
      <c r="C330" t="s">
        <v>23</v>
      </c>
      <c r="D330" t="s">
        <v>18</v>
      </c>
      <c r="E330">
        <v>105.02</v>
      </c>
      <c r="F330">
        <v>92.1</v>
      </c>
      <c r="G330">
        <f>E330+F330</f>
        <v>197.12</v>
      </c>
      <c r="H330">
        <f>E330-F330</f>
        <v>12.920000000000002</v>
      </c>
      <c r="I330" t="s">
        <v>25</v>
      </c>
      <c r="J330" t="s">
        <v>20</v>
      </c>
      <c r="K330" t="str">
        <f>_xlfn.CONCAT(_xlfn.CONCAT(I330,"|"), J330)</f>
        <v>Burnett|Schulwolf</v>
      </c>
      <c r="L330">
        <v>0</v>
      </c>
      <c r="M330">
        <v>0</v>
      </c>
      <c r="N330">
        <v>0</v>
      </c>
    </row>
    <row r="331" spans="1:14" hidden="1" x14ac:dyDescent="0.2">
      <c r="A331">
        <v>2022</v>
      </c>
      <c r="B331">
        <v>13</v>
      </c>
      <c r="C331" t="s">
        <v>23</v>
      </c>
      <c r="D331" t="s">
        <v>39</v>
      </c>
      <c r="E331">
        <v>120</v>
      </c>
      <c r="F331">
        <v>107.28</v>
      </c>
      <c r="G331">
        <f>E331+F331</f>
        <v>227.28</v>
      </c>
      <c r="H331">
        <f>E331-F331</f>
        <v>12.719999999999999</v>
      </c>
      <c r="I331" t="s">
        <v>25</v>
      </c>
      <c r="J331" t="s">
        <v>32</v>
      </c>
      <c r="K331" t="str">
        <f>_xlfn.CONCAT(_xlfn.CONCAT(I331,"|"), J331)</f>
        <v>Burnett|Cam</v>
      </c>
      <c r="L331">
        <v>0</v>
      </c>
      <c r="M331">
        <v>0</v>
      </c>
      <c r="N331">
        <v>0</v>
      </c>
    </row>
    <row r="332" spans="1:14" hidden="1" x14ac:dyDescent="0.2">
      <c r="A332">
        <v>2023</v>
      </c>
      <c r="B332">
        <v>2</v>
      </c>
      <c r="C332" t="s">
        <v>42</v>
      </c>
      <c r="D332" t="s">
        <v>48</v>
      </c>
      <c r="E332">
        <v>122.5</v>
      </c>
      <c r="F332">
        <v>109.8</v>
      </c>
      <c r="G332">
        <f>E332+F332</f>
        <v>232.3</v>
      </c>
      <c r="H332">
        <f>E332-F332</f>
        <v>12.700000000000003</v>
      </c>
      <c r="I332" t="s">
        <v>17</v>
      </c>
      <c r="J332" t="s">
        <v>36</v>
      </c>
      <c r="K332" t="str">
        <f>_xlfn.CONCAT(_xlfn.CONCAT(I332,"|"), J332)</f>
        <v>Mike|Will</v>
      </c>
      <c r="L332">
        <v>0</v>
      </c>
      <c r="M332">
        <v>0</v>
      </c>
      <c r="N332">
        <v>0</v>
      </c>
    </row>
    <row r="333" spans="1:14" hidden="1" x14ac:dyDescent="0.2">
      <c r="A333">
        <v>2022</v>
      </c>
      <c r="B333">
        <v>5</v>
      </c>
      <c r="C333" t="s">
        <v>43</v>
      </c>
      <c r="D333" t="s">
        <v>14</v>
      </c>
      <c r="E333">
        <v>134.36000000000001</v>
      </c>
      <c r="F333">
        <v>121.68</v>
      </c>
      <c r="G333">
        <f>E333+F333</f>
        <v>256.04000000000002</v>
      </c>
      <c r="H333">
        <f>E333-F333</f>
        <v>12.680000000000007</v>
      </c>
      <c r="I333" t="s">
        <v>21</v>
      </c>
      <c r="J333" t="s">
        <v>16</v>
      </c>
      <c r="K333" t="str">
        <f>_xlfn.CONCAT(_xlfn.CONCAT(I333,"|"), J333)</f>
        <v>Todd|Brenton</v>
      </c>
      <c r="L333">
        <v>0</v>
      </c>
      <c r="M333">
        <v>0</v>
      </c>
      <c r="N333">
        <v>0</v>
      </c>
    </row>
    <row r="334" spans="1:14" hidden="1" x14ac:dyDescent="0.2">
      <c r="A334">
        <v>2024</v>
      </c>
      <c r="B334">
        <v>8</v>
      </c>
      <c r="C334" t="s">
        <v>26</v>
      </c>
      <c r="D334" t="s">
        <v>31</v>
      </c>
      <c r="E334">
        <v>117.82</v>
      </c>
      <c r="F334">
        <v>105.16</v>
      </c>
      <c r="G334">
        <f>E334+F334</f>
        <v>222.98</v>
      </c>
      <c r="H334">
        <f>E334-F334</f>
        <v>12.659999999999997</v>
      </c>
      <c r="I334" t="s">
        <v>28</v>
      </c>
      <c r="J334" t="s">
        <v>33</v>
      </c>
      <c r="K334" t="str">
        <f>_xlfn.CONCAT(_xlfn.CONCAT(I334,"|"), J334)</f>
        <v>Tommy|Jay</v>
      </c>
      <c r="L334">
        <v>0</v>
      </c>
      <c r="M334">
        <v>0</v>
      </c>
      <c r="N334">
        <v>0</v>
      </c>
    </row>
    <row r="335" spans="1:14" hidden="1" x14ac:dyDescent="0.2">
      <c r="A335">
        <v>2024</v>
      </c>
      <c r="B335">
        <v>10</v>
      </c>
      <c r="C335" t="s">
        <v>46</v>
      </c>
      <c r="D335" t="s">
        <v>14</v>
      </c>
      <c r="E335">
        <v>105.42</v>
      </c>
      <c r="F335">
        <v>92.94</v>
      </c>
      <c r="G335">
        <f>E335+F335</f>
        <v>198.36</v>
      </c>
      <c r="H335">
        <f>E335-F335</f>
        <v>12.480000000000004</v>
      </c>
      <c r="I335" t="s">
        <v>47</v>
      </c>
      <c r="J335" t="s">
        <v>16</v>
      </c>
      <c r="K335" t="str">
        <f>_xlfn.CONCAT(_xlfn.CONCAT(I335,"|"), J335)</f>
        <v>Burnett/Jasjaap|Brenton</v>
      </c>
      <c r="L335">
        <v>0</v>
      </c>
      <c r="M335">
        <v>0</v>
      </c>
      <c r="N335">
        <v>0</v>
      </c>
    </row>
    <row r="336" spans="1:14" hidden="1" x14ac:dyDescent="0.2">
      <c r="A336">
        <v>2024</v>
      </c>
      <c r="B336">
        <v>13</v>
      </c>
      <c r="C336" t="s">
        <v>18</v>
      </c>
      <c r="D336" t="s">
        <v>77</v>
      </c>
      <c r="E336">
        <v>113.44</v>
      </c>
      <c r="F336">
        <v>100.98</v>
      </c>
      <c r="G336">
        <f>E336+F336</f>
        <v>214.42000000000002</v>
      </c>
      <c r="H336">
        <f>E336-F336</f>
        <v>12.459999999999994</v>
      </c>
      <c r="I336" t="s">
        <v>20</v>
      </c>
      <c r="J336" t="s">
        <v>45</v>
      </c>
      <c r="K336" t="str">
        <f>_xlfn.CONCAT(_xlfn.CONCAT(I336,"|"), J336)</f>
        <v>Schulwolf|Kevin</v>
      </c>
      <c r="L336">
        <v>0</v>
      </c>
      <c r="M336">
        <v>0</v>
      </c>
      <c r="N336">
        <v>0</v>
      </c>
    </row>
    <row r="337" spans="1:14" hidden="1" x14ac:dyDescent="0.2">
      <c r="A337">
        <v>2022</v>
      </c>
      <c r="B337">
        <v>8</v>
      </c>
      <c r="C337" t="s">
        <v>43</v>
      </c>
      <c r="D337" t="s">
        <v>38</v>
      </c>
      <c r="E337">
        <v>110.58</v>
      </c>
      <c r="F337">
        <v>98.12</v>
      </c>
      <c r="G337">
        <f>E337+F337</f>
        <v>208.7</v>
      </c>
      <c r="H337">
        <f>E337-F337</f>
        <v>12.459999999999994</v>
      </c>
      <c r="I337" t="s">
        <v>21</v>
      </c>
      <c r="J337" t="s">
        <v>36</v>
      </c>
      <c r="K337" t="str">
        <f>_xlfn.CONCAT(_xlfn.CONCAT(I337,"|"), J337)</f>
        <v>Todd|Will</v>
      </c>
      <c r="L337">
        <v>0</v>
      </c>
      <c r="M337">
        <v>0</v>
      </c>
      <c r="N337">
        <v>0</v>
      </c>
    </row>
    <row r="338" spans="1:14" hidden="1" x14ac:dyDescent="0.2">
      <c r="A338">
        <v>2023</v>
      </c>
      <c r="B338">
        <v>14</v>
      </c>
      <c r="C338" t="s">
        <v>42</v>
      </c>
      <c r="D338" t="s">
        <v>31</v>
      </c>
      <c r="E338">
        <v>131.63999999999999</v>
      </c>
      <c r="F338">
        <v>119.36</v>
      </c>
      <c r="G338">
        <f>E338+F338</f>
        <v>251</v>
      </c>
      <c r="H338">
        <f>E338-F338</f>
        <v>12.279999999999987</v>
      </c>
      <c r="I338" t="s">
        <v>17</v>
      </c>
      <c r="J338" t="s">
        <v>33</v>
      </c>
      <c r="K338" t="str">
        <f>_xlfn.CONCAT(_xlfn.CONCAT(I338,"|"), J338)</f>
        <v>Mike|Jay</v>
      </c>
      <c r="L338">
        <v>0</v>
      </c>
      <c r="M338">
        <v>0</v>
      </c>
      <c r="N338">
        <v>0</v>
      </c>
    </row>
    <row r="339" spans="1:14" hidden="1" x14ac:dyDescent="0.2">
      <c r="A339">
        <v>2022</v>
      </c>
      <c r="B339">
        <v>12</v>
      </c>
      <c r="C339" t="s">
        <v>26</v>
      </c>
      <c r="D339" t="s">
        <v>31</v>
      </c>
      <c r="E339">
        <v>112.76</v>
      </c>
      <c r="F339">
        <v>100.84</v>
      </c>
      <c r="G339">
        <f>E339+F339</f>
        <v>213.60000000000002</v>
      </c>
      <c r="H339">
        <f>E339-F339</f>
        <v>11.920000000000002</v>
      </c>
      <c r="I339" t="s">
        <v>28</v>
      </c>
      <c r="J339" t="s">
        <v>41</v>
      </c>
      <c r="K339" t="str">
        <f>_xlfn.CONCAT(_xlfn.CONCAT(I339,"|"), J339)</f>
        <v>Tommy|Jay/Brand</v>
      </c>
      <c r="L339">
        <v>0</v>
      </c>
      <c r="M339">
        <v>0</v>
      </c>
      <c r="N339">
        <v>0</v>
      </c>
    </row>
    <row r="340" spans="1:14" hidden="1" x14ac:dyDescent="0.2">
      <c r="A340">
        <v>2022</v>
      </c>
      <c r="B340">
        <v>10</v>
      </c>
      <c r="C340" t="s">
        <v>43</v>
      </c>
      <c r="D340" t="s">
        <v>40</v>
      </c>
      <c r="E340">
        <v>107.06</v>
      </c>
      <c r="F340">
        <v>95.14</v>
      </c>
      <c r="G340">
        <f>E340+F340</f>
        <v>202.2</v>
      </c>
      <c r="H340">
        <f>E340-F340</f>
        <v>11.920000000000002</v>
      </c>
      <c r="I340" t="s">
        <v>21</v>
      </c>
      <c r="J340" t="s">
        <v>29</v>
      </c>
      <c r="K340" t="str">
        <f>_xlfn.CONCAT(_xlfn.CONCAT(I340,"|"), J340)</f>
        <v>Todd|Eli</v>
      </c>
      <c r="L340">
        <v>0</v>
      </c>
      <c r="M340">
        <v>0</v>
      </c>
      <c r="N340">
        <v>0</v>
      </c>
    </row>
    <row r="341" spans="1:14" hidden="1" x14ac:dyDescent="0.2">
      <c r="A341">
        <v>2023</v>
      </c>
      <c r="B341">
        <v>15</v>
      </c>
      <c r="C341" t="s">
        <v>14</v>
      </c>
      <c r="D341" t="s">
        <v>51</v>
      </c>
      <c r="E341">
        <v>134.47999999999999</v>
      </c>
      <c r="F341">
        <v>122.64</v>
      </c>
      <c r="G341">
        <f>E341+F341</f>
        <v>257.12</v>
      </c>
      <c r="H341">
        <f>E341-F341</f>
        <v>11.839999999999989</v>
      </c>
      <c r="I341" t="s">
        <v>16</v>
      </c>
      <c r="J341" t="s">
        <v>21</v>
      </c>
      <c r="K341" t="str">
        <f>_xlfn.CONCAT(_xlfn.CONCAT(I341,"|"), J341)</f>
        <v>Brenton|Todd</v>
      </c>
      <c r="L341">
        <v>0</v>
      </c>
      <c r="M341">
        <v>0</v>
      </c>
      <c r="N341">
        <v>0</v>
      </c>
    </row>
    <row r="342" spans="1:14" hidden="1" x14ac:dyDescent="0.2">
      <c r="A342">
        <v>2023</v>
      </c>
      <c r="B342">
        <v>6</v>
      </c>
      <c r="C342" t="s">
        <v>42</v>
      </c>
      <c r="D342" t="s">
        <v>51</v>
      </c>
      <c r="E342">
        <v>107.58</v>
      </c>
      <c r="F342">
        <v>96.02</v>
      </c>
      <c r="G342">
        <f>E342+F342</f>
        <v>203.6</v>
      </c>
      <c r="H342">
        <f>E342-F342</f>
        <v>11.560000000000002</v>
      </c>
      <c r="I342" t="s">
        <v>17</v>
      </c>
      <c r="J342" t="s">
        <v>21</v>
      </c>
      <c r="K342" t="str">
        <f>_xlfn.CONCAT(_xlfn.CONCAT(I342,"|"), J342)</f>
        <v>Mike|Todd</v>
      </c>
      <c r="L342">
        <v>0</v>
      </c>
      <c r="M342">
        <v>0</v>
      </c>
      <c r="N342">
        <v>0</v>
      </c>
    </row>
    <row r="343" spans="1:14" hidden="1" x14ac:dyDescent="0.2">
      <c r="A343">
        <v>2021</v>
      </c>
      <c r="B343">
        <v>7</v>
      </c>
      <c r="C343" t="s">
        <v>27</v>
      </c>
      <c r="D343" t="s">
        <v>22</v>
      </c>
      <c r="E343">
        <v>105.14</v>
      </c>
      <c r="F343">
        <v>93.66</v>
      </c>
      <c r="G343">
        <f>E343+F343</f>
        <v>198.8</v>
      </c>
      <c r="H343">
        <f>E343-F343</f>
        <v>11.480000000000004</v>
      </c>
      <c r="I343" t="s">
        <v>29</v>
      </c>
      <c r="J343" t="s">
        <v>24</v>
      </c>
      <c r="K343" t="str">
        <f>_xlfn.CONCAT(_xlfn.CONCAT(I343,"|"), J343)</f>
        <v>Eli|Jasjaap</v>
      </c>
      <c r="L343">
        <v>0</v>
      </c>
      <c r="M343">
        <v>0</v>
      </c>
      <c r="N343">
        <v>0</v>
      </c>
    </row>
    <row r="344" spans="1:14" hidden="1" x14ac:dyDescent="0.2">
      <c r="A344">
        <v>2021</v>
      </c>
      <c r="B344">
        <v>6</v>
      </c>
      <c r="C344" t="s">
        <v>30</v>
      </c>
      <c r="D344" t="s">
        <v>19</v>
      </c>
      <c r="E344">
        <v>127.26</v>
      </c>
      <c r="F344">
        <v>115.82</v>
      </c>
      <c r="G344">
        <f>E344+F344</f>
        <v>243.07999999999998</v>
      </c>
      <c r="H344">
        <f>E344-F344</f>
        <v>11.440000000000012</v>
      </c>
      <c r="I344" t="s">
        <v>32</v>
      </c>
      <c r="J344" t="s">
        <v>21</v>
      </c>
      <c r="K344" t="str">
        <f>_xlfn.CONCAT(_xlfn.CONCAT(I344,"|"), J344)</f>
        <v>Cam|Todd</v>
      </c>
      <c r="L344">
        <v>0</v>
      </c>
      <c r="M344">
        <v>0</v>
      </c>
      <c r="N344">
        <v>0</v>
      </c>
    </row>
    <row r="345" spans="1:14" hidden="1" x14ac:dyDescent="0.2">
      <c r="A345">
        <v>2021</v>
      </c>
      <c r="B345">
        <v>10</v>
      </c>
      <c r="C345" t="s">
        <v>14</v>
      </c>
      <c r="D345" t="s">
        <v>23</v>
      </c>
      <c r="E345">
        <v>111.94</v>
      </c>
      <c r="F345">
        <v>100.52</v>
      </c>
      <c r="G345">
        <f>E345+F345</f>
        <v>212.45999999999998</v>
      </c>
      <c r="H345">
        <f>E345-F345</f>
        <v>11.420000000000002</v>
      </c>
      <c r="I345" t="s">
        <v>16</v>
      </c>
      <c r="J345" t="s">
        <v>25</v>
      </c>
      <c r="K345" t="str">
        <f>_xlfn.CONCAT(_xlfn.CONCAT(I345,"|"), J345)</f>
        <v>Brenton|Burnett</v>
      </c>
      <c r="L345">
        <v>0</v>
      </c>
      <c r="M345">
        <v>0</v>
      </c>
      <c r="N345">
        <v>0</v>
      </c>
    </row>
    <row r="346" spans="1:14" hidden="1" x14ac:dyDescent="0.2">
      <c r="A346">
        <v>2025</v>
      </c>
      <c r="B346">
        <v>16</v>
      </c>
      <c r="C346" t="s">
        <v>35</v>
      </c>
      <c r="D346" t="s">
        <v>524</v>
      </c>
      <c r="E346">
        <v>143.69999999999999</v>
      </c>
      <c r="F346">
        <v>93.1</v>
      </c>
      <c r="G346">
        <f>E346+F346</f>
        <v>236.79999999999998</v>
      </c>
      <c r="H346">
        <f>E346-F346</f>
        <v>50.599999999999994</v>
      </c>
      <c r="I346" t="s">
        <v>49</v>
      </c>
      <c r="J346" t="s">
        <v>21</v>
      </c>
      <c r="K346" t="str">
        <f>_xlfn.CONCAT(_xlfn.CONCAT(I346,"|"), J346)</f>
        <v>Brand|Todd</v>
      </c>
      <c r="L346">
        <v>1</v>
      </c>
      <c r="M346">
        <v>1</v>
      </c>
      <c r="N346">
        <v>0</v>
      </c>
    </row>
    <row r="347" spans="1:14" hidden="1" x14ac:dyDescent="0.2">
      <c r="A347">
        <v>2023</v>
      </c>
      <c r="B347">
        <v>7</v>
      </c>
      <c r="C347" t="s">
        <v>35</v>
      </c>
      <c r="D347" t="s">
        <v>18</v>
      </c>
      <c r="E347">
        <v>95.64</v>
      </c>
      <c r="F347">
        <v>84.56</v>
      </c>
      <c r="G347">
        <f>E347+F347</f>
        <v>180.2</v>
      </c>
      <c r="H347">
        <f>E347-F347</f>
        <v>11.079999999999998</v>
      </c>
      <c r="I347" t="s">
        <v>49</v>
      </c>
      <c r="J347" t="s">
        <v>20</v>
      </c>
      <c r="K347" t="str">
        <f>_xlfn.CONCAT(_xlfn.CONCAT(I347,"|"), J347)</f>
        <v>Brand|Schulwolf</v>
      </c>
      <c r="L347">
        <v>0</v>
      </c>
      <c r="M347">
        <v>0</v>
      </c>
      <c r="N347">
        <v>0</v>
      </c>
    </row>
    <row r="348" spans="1:14" hidden="1" x14ac:dyDescent="0.2">
      <c r="A348">
        <v>2024</v>
      </c>
      <c r="B348">
        <v>15</v>
      </c>
      <c r="C348" t="s">
        <v>73</v>
      </c>
      <c r="D348" t="s">
        <v>76</v>
      </c>
      <c r="E348">
        <v>118.94</v>
      </c>
      <c r="F348">
        <v>107.94</v>
      </c>
      <c r="G348">
        <f>E348+F348</f>
        <v>226.88</v>
      </c>
      <c r="H348">
        <f>E348-F348</f>
        <v>11</v>
      </c>
      <c r="I348" t="s">
        <v>21</v>
      </c>
      <c r="J348" t="s">
        <v>32</v>
      </c>
      <c r="K348" t="str">
        <f>_xlfn.CONCAT(_xlfn.CONCAT(I348,"|"), J348)</f>
        <v>Todd|Cam</v>
      </c>
      <c r="L348">
        <v>0</v>
      </c>
      <c r="M348">
        <v>0</v>
      </c>
      <c r="N348">
        <v>0</v>
      </c>
    </row>
    <row r="349" spans="1:14" hidden="1" x14ac:dyDescent="0.2">
      <c r="A349">
        <v>2022</v>
      </c>
      <c r="B349">
        <v>5</v>
      </c>
      <c r="C349" t="s">
        <v>38</v>
      </c>
      <c r="D349" t="s">
        <v>31</v>
      </c>
      <c r="E349">
        <v>116.56</v>
      </c>
      <c r="F349">
        <v>105.64</v>
      </c>
      <c r="G349">
        <f>E349+F349</f>
        <v>222.2</v>
      </c>
      <c r="H349">
        <f>E349-F349</f>
        <v>10.920000000000002</v>
      </c>
      <c r="I349" t="s">
        <v>36</v>
      </c>
      <c r="J349" t="s">
        <v>41</v>
      </c>
      <c r="K349" t="str">
        <f>_xlfn.CONCAT(_xlfn.CONCAT(I349,"|"), J349)</f>
        <v>Will|Jay/Brand</v>
      </c>
      <c r="L349">
        <v>0</v>
      </c>
      <c r="M349">
        <v>0</v>
      </c>
      <c r="N349">
        <v>0</v>
      </c>
    </row>
    <row r="350" spans="1:14" hidden="1" x14ac:dyDescent="0.2">
      <c r="A350">
        <v>2024</v>
      </c>
      <c r="B350">
        <v>9</v>
      </c>
      <c r="C350" t="s">
        <v>18</v>
      </c>
      <c r="D350" t="s">
        <v>31</v>
      </c>
      <c r="E350">
        <v>128.86000000000001</v>
      </c>
      <c r="F350">
        <v>118</v>
      </c>
      <c r="G350">
        <f>E350+F350</f>
        <v>246.86</v>
      </c>
      <c r="H350">
        <f>E350-F350</f>
        <v>10.860000000000014</v>
      </c>
      <c r="I350" t="s">
        <v>20</v>
      </c>
      <c r="J350" t="s">
        <v>33</v>
      </c>
      <c r="K350" t="str">
        <f>_xlfn.CONCAT(_xlfn.CONCAT(I350,"|"), J350)</f>
        <v>Schulwolf|Jay</v>
      </c>
      <c r="L350">
        <v>0</v>
      </c>
      <c r="M350">
        <v>0</v>
      </c>
      <c r="N350">
        <v>0</v>
      </c>
    </row>
    <row r="351" spans="1:14" hidden="1" x14ac:dyDescent="0.2">
      <c r="A351">
        <v>2021</v>
      </c>
      <c r="B351">
        <v>3</v>
      </c>
      <c r="C351" t="s">
        <v>22</v>
      </c>
      <c r="D351" t="s">
        <v>15</v>
      </c>
      <c r="E351">
        <v>130.12</v>
      </c>
      <c r="F351">
        <v>119.32</v>
      </c>
      <c r="G351">
        <f>E351+F351</f>
        <v>249.44</v>
      </c>
      <c r="H351">
        <f>E351-F351</f>
        <v>10.800000000000011</v>
      </c>
      <c r="I351" t="s">
        <v>24</v>
      </c>
      <c r="J351" t="s">
        <v>17</v>
      </c>
      <c r="K351" t="str">
        <f>_xlfn.CONCAT(_xlfn.CONCAT(I351,"|"), J351)</f>
        <v>Jasjaap|Mike</v>
      </c>
      <c r="L351">
        <v>0</v>
      </c>
      <c r="M351">
        <v>0</v>
      </c>
      <c r="N351">
        <v>0</v>
      </c>
    </row>
    <row r="352" spans="1:14" hidden="1" x14ac:dyDescent="0.2">
      <c r="A352">
        <v>2024</v>
      </c>
      <c r="B352">
        <v>3</v>
      </c>
      <c r="C352" t="s">
        <v>76</v>
      </c>
      <c r="D352" t="s">
        <v>75</v>
      </c>
      <c r="E352">
        <v>117.86</v>
      </c>
      <c r="F352">
        <v>107.06</v>
      </c>
      <c r="G352">
        <f>E352+F352</f>
        <v>224.92000000000002</v>
      </c>
      <c r="H352">
        <f>E352-F352</f>
        <v>10.799999999999997</v>
      </c>
      <c r="I352" t="s">
        <v>32</v>
      </c>
      <c r="J352" t="s">
        <v>36</v>
      </c>
      <c r="K352" t="str">
        <f>_xlfn.CONCAT(_xlfn.CONCAT(I352,"|"), J352)</f>
        <v>Cam|Will</v>
      </c>
      <c r="L352">
        <v>0</v>
      </c>
      <c r="M352">
        <v>0</v>
      </c>
      <c r="N352">
        <v>0</v>
      </c>
    </row>
    <row r="353" spans="1:14" hidden="1" x14ac:dyDescent="0.2">
      <c r="A353">
        <v>2022</v>
      </c>
      <c r="B353">
        <v>15</v>
      </c>
      <c r="C353" t="s">
        <v>39</v>
      </c>
      <c r="D353" t="s">
        <v>31</v>
      </c>
      <c r="E353">
        <v>97.18</v>
      </c>
      <c r="F353">
        <v>86.52</v>
      </c>
      <c r="G353">
        <f>E353+F353</f>
        <v>183.7</v>
      </c>
      <c r="H353">
        <f>E353-F353</f>
        <v>10.660000000000011</v>
      </c>
      <c r="I353" t="s">
        <v>32</v>
      </c>
      <c r="J353" t="s">
        <v>41</v>
      </c>
      <c r="K353" t="str">
        <f>_xlfn.CONCAT(_xlfn.CONCAT(I353,"|"), J353)</f>
        <v>Cam|Jay/Brand</v>
      </c>
      <c r="L353">
        <v>0</v>
      </c>
      <c r="M353">
        <v>0</v>
      </c>
      <c r="N353">
        <v>0</v>
      </c>
    </row>
    <row r="354" spans="1:14" hidden="1" x14ac:dyDescent="0.2">
      <c r="A354">
        <v>2024</v>
      </c>
      <c r="B354">
        <v>9</v>
      </c>
      <c r="C354" t="s">
        <v>73</v>
      </c>
      <c r="D354" t="s">
        <v>75</v>
      </c>
      <c r="E354">
        <v>102.2</v>
      </c>
      <c r="F354">
        <v>91.78</v>
      </c>
      <c r="G354">
        <f>E354+F354</f>
        <v>193.98000000000002</v>
      </c>
      <c r="H354">
        <f>E354-F354</f>
        <v>10.420000000000002</v>
      </c>
      <c r="I354" t="s">
        <v>21</v>
      </c>
      <c r="J354" t="s">
        <v>36</v>
      </c>
      <c r="K354" t="str">
        <f>_xlfn.CONCAT(_xlfn.CONCAT(I354,"|"), J354)</f>
        <v>Todd|Will</v>
      </c>
      <c r="L354">
        <v>0</v>
      </c>
      <c r="M354">
        <v>0</v>
      </c>
      <c r="N354">
        <v>0</v>
      </c>
    </row>
    <row r="355" spans="1:14" hidden="1" x14ac:dyDescent="0.2">
      <c r="A355">
        <v>2025</v>
      </c>
      <c r="B355">
        <v>13</v>
      </c>
      <c r="C355" t="s">
        <v>18</v>
      </c>
      <c r="D355" t="s">
        <v>14</v>
      </c>
      <c r="E355">
        <v>102.34</v>
      </c>
      <c r="F355">
        <v>91.94</v>
      </c>
      <c r="G355">
        <f>E355+F355</f>
        <v>194.28</v>
      </c>
      <c r="H355">
        <f>E355-F355</f>
        <v>10.400000000000006</v>
      </c>
      <c r="I355" t="s">
        <v>20</v>
      </c>
      <c r="J355" t="s">
        <v>16</v>
      </c>
      <c r="K355" t="str">
        <f>_xlfn.CONCAT(_xlfn.CONCAT(I355,"|"), J355)</f>
        <v>Schulwolf|Brenton</v>
      </c>
      <c r="L355">
        <v>0</v>
      </c>
      <c r="M355">
        <v>0</v>
      </c>
      <c r="N355">
        <v>0</v>
      </c>
    </row>
    <row r="356" spans="1:14" hidden="1" x14ac:dyDescent="0.2">
      <c r="A356">
        <v>2024</v>
      </c>
      <c r="B356">
        <v>7</v>
      </c>
      <c r="C356" t="s">
        <v>18</v>
      </c>
      <c r="D356" t="s">
        <v>42</v>
      </c>
      <c r="E356">
        <v>108.74</v>
      </c>
      <c r="F356">
        <v>98.56</v>
      </c>
      <c r="G356">
        <f>E356+F356</f>
        <v>207.3</v>
      </c>
      <c r="H356">
        <f>E356-F356</f>
        <v>10.179999999999993</v>
      </c>
      <c r="I356" t="s">
        <v>20</v>
      </c>
      <c r="J356" t="s">
        <v>17</v>
      </c>
      <c r="K356" t="str">
        <f>_xlfn.CONCAT(_xlfn.CONCAT(I356,"|"), J356)</f>
        <v>Schulwolf|Mike</v>
      </c>
      <c r="L356">
        <v>0</v>
      </c>
      <c r="M356">
        <v>0</v>
      </c>
      <c r="N356">
        <v>0</v>
      </c>
    </row>
    <row r="357" spans="1:14" hidden="1" x14ac:dyDescent="0.2">
      <c r="A357">
        <v>2023</v>
      </c>
      <c r="B357">
        <v>6</v>
      </c>
      <c r="C357" t="s">
        <v>48</v>
      </c>
      <c r="D357" t="s">
        <v>50</v>
      </c>
      <c r="E357">
        <v>103</v>
      </c>
      <c r="F357">
        <v>92.84</v>
      </c>
      <c r="G357">
        <f>E357+F357</f>
        <v>195.84</v>
      </c>
      <c r="H357">
        <f>E357-F357</f>
        <v>10.159999999999997</v>
      </c>
      <c r="I357" t="s">
        <v>36</v>
      </c>
      <c r="J357" t="s">
        <v>29</v>
      </c>
      <c r="K357" t="str">
        <f>_xlfn.CONCAT(_xlfn.CONCAT(I357,"|"), J357)</f>
        <v>Will|Eli</v>
      </c>
      <c r="L357">
        <v>0</v>
      </c>
      <c r="M357">
        <v>0</v>
      </c>
      <c r="N357">
        <v>0</v>
      </c>
    </row>
    <row r="358" spans="1:14" hidden="1" x14ac:dyDescent="0.2">
      <c r="A358">
        <v>2022</v>
      </c>
      <c r="B358">
        <v>11</v>
      </c>
      <c r="C358" t="s">
        <v>26</v>
      </c>
      <c r="D358" t="s">
        <v>40</v>
      </c>
      <c r="E358">
        <v>109.7</v>
      </c>
      <c r="F358">
        <v>99.62</v>
      </c>
      <c r="G358">
        <f>E358+F358</f>
        <v>209.32</v>
      </c>
      <c r="H358">
        <f>E358-F358</f>
        <v>10.079999999999998</v>
      </c>
      <c r="I358" t="s">
        <v>28</v>
      </c>
      <c r="J358" t="s">
        <v>29</v>
      </c>
      <c r="K358" t="str">
        <f>_xlfn.CONCAT(_xlfn.CONCAT(I358,"|"), J358)</f>
        <v>Tommy|Eli</v>
      </c>
      <c r="L358">
        <v>0</v>
      </c>
      <c r="M358">
        <v>0</v>
      </c>
      <c r="N358">
        <v>0</v>
      </c>
    </row>
    <row r="359" spans="1:14" hidden="1" x14ac:dyDescent="0.2">
      <c r="A359">
        <v>2016</v>
      </c>
      <c r="B359">
        <v>15</v>
      </c>
      <c r="C359" t="s">
        <v>23</v>
      </c>
      <c r="D359" t="s">
        <v>22</v>
      </c>
      <c r="E359">
        <v>92.12</v>
      </c>
      <c r="F359">
        <v>88.26</v>
      </c>
      <c r="G359">
        <f>E359+F359</f>
        <v>180.38</v>
      </c>
      <c r="H359">
        <f>E359-F359</f>
        <v>3.8599999999999994</v>
      </c>
      <c r="I359" t="s">
        <v>25</v>
      </c>
      <c r="J359" t="s">
        <v>24</v>
      </c>
      <c r="K359" t="str">
        <f>_xlfn.CONCAT(_xlfn.CONCAT(I359,"|"), J359)</f>
        <v>Burnett|Jasjaap</v>
      </c>
      <c r="L359">
        <v>1</v>
      </c>
      <c r="M359">
        <v>1</v>
      </c>
      <c r="N359">
        <v>0</v>
      </c>
    </row>
    <row r="360" spans="1:14" hidden="1" x14ac:dyDescent="0.2">
      <c r="A360">
        <v>2021</v>
      </c>
      <c r="B360">
        <v>15</v>
      </c>
      <c r="C360" t="s">
        <v>34</v>
      </c>
      <c r="D360" t="s">
        <v>23</v>
      </c>
      <c r="E360">
        <v>92.44</v>
      </c>
      <c r="F360">
        <v>82.36</v>
      </c>
      <c r="G360">
        <f>E360+F360</f>
        <v>174.8</v>
      </c>
      <c r="H360">
        <f>E360-F360</f>
        <v>10.079999999999998</v>
      </c>
      <c r="I360" t="s">
        <v>36</v>
      </c>
      <c r="J360" t="s">
        <v>25</v>
      </c>
      <c r="K360" t="str">
        <f>_xlfn.CONCAT(_xlfn.CONCAT(I360,"|"), J360)</f>
        <v>Will|Burnett</v>
      </c>
      <c r="L360">
        <v>0</v>
      </c>
      <c r="M360">
        <v>0</v>
      </c>
      <c r="N360">
        <v>0</v>
      </c>
    </row>
    <row r="361" spans="1:14" hidden="1" x14ac:dyDescent="0.2">
      <c r="A361">
        <v>2021</v>
      </c>
      <c r="B361">
        <v>1</v>
      </c>
      <c r="C361" t="s">
        <v>22</v>
      </c>
      <c r="D361" t="s">
        <v>23</v>
      </c>
      <c r="E361">
        <v>101.64</v>
      </c>
      <c r="F361">
        <v>91.62</v>
      </c>
      <c r="G361">
        <f>E361+F361</f>
        <v>193.26</v>
      </c>
      <c r="H361">
        <f>E361-F361</f>
        <v>10.019999999999996</v>
      </c>
      <c r="I361" t="s">
        <v>24</v>
      </c>
      <c r="J361" t="s">
        <v>25</v>
      </c>
      <c r="K361" t="str">
        <f>_xlfn.CONCAT(_xlfn.CONCAT(I361,"|"), J361)</f>
        <v>Jasjaap|Burnett</v>
      </c>
      <c r="L361">
        <v>0</v>
      </c>
      <c r="M361">
        <v>0</v>
      </c>
      <c r="N361">
        <v>0</v>
      </c>
    </row>
    <row r="362" spans="1:14" x14ac:dyDescent="0.2">
      <c r="A362">
        <v>2025</v>
      </c>
      <c r="B362">
        <v>10</v>
      </c>
      <c r="C362" t="s">
        <v>524</v>
      </c>
      <c r="D362" t="s">
        <v>42</v>
      </c>
      <c r="E362">
        <v>128.54</v>
      </c>
      <c r="F362">
        <v>119.98</v>
      </c>
      <c r="G362">
        <f>E362+F362</f>
        <v>248.51999999999998</v>
      </c>
      <c r="H362">
        <f>E362-F362</f>
        <v>8.5599999999999881</v>
      </c>
      <c r="I362" t="s">
        <v>21</v>
      </c>
      <c r="J362" t="s">
        <v>17</v>
      </c>
      <c r="K362" t="str">
        <f>_xlfn.CONCAT(_xlfn.CONCAT(I362,"|"), J362)</f>
        <v>Todd|Mike</v>
      </c>
      <c r="L362">
        <v>0</v>
      </c>
      <c r="M362">
        <v>0</v>
      </c>
      <c r="N362">
        <v>0</v>
      </c>
    </row>
    <row r="363" spans="1:14" hidden="1" x14ac:dyDescent="0.2">
      <c r="A363">
        <v>2023</v>
      </c>
      <c r="B363">
        <v>4</v>
      </c>
      <c r="C363" t="s">
        <v>26</v>
      </c>
      <c r="D363" t="s">
        <v>42</v>
      </c>
      <c r="E363">
        <v>124.66</v>
      </c>
      <c r="F363">
        <v>114.78</v>
      </c>
      <c r="G363">
        <f>E363+F363</f>
        <v>239.44</v>
      </c>
      <c r="H363">
        <f>E363-F363</f>
        <v>9.8799999999999955</v>
      </c>
      <c r="I363" t="s">
        <v>28</v>
      </c>
      <c r="J363" t="s">
        <v>17</v>
      </c>
      <c r="K363" t="str">
        <f>_xlfn.CONCAT(_xlfn.CONCAT(I363,"|"), J363)</f>
        <v>Tommy|Mike</v>
      </c>
      <c r="L363">
        <v>0</v>
      </c>
      <c r="M363">
        <v>0</v>
      </c>
      <c r="N363">
        <v>0</v>
      </c>
    </row>
    <row r="364" spans="1:14" hidden="1" x14ac:dyDescent="0.2">
      <c r="A364">
        <v>2021</v>
      </c>
      <c r="B364">
        <v>3</v>
      </c>
      <c r="C364" t="s">
        <v>18</v>
      </c>
      <c r="D364" t="s">
        <v>14</v>
      </c>
      <c r="E364">
        <v>123.74</v>
      </c>
      <c r="F364">
        <v>113.92</v>
      </c>
      <c r="G364">
        <f>E364+F364</f>
        <v>237.66</v>
      </c>
      <c r="H364">
        <f>E364-F364</f>
        <v>9.8199999999999932</v>
      </c>
      <c r="I364" t="s">
        <v>20</v>
      </c>
      <c r="J364" t="s">
        <v>16</v>
      </c>
      <c r="K364" t="str">
        <f>_xlfn.CONCAT(_xlfn.CONCAT(I364,"|"), J364)</f>
        <v>Schulwolf|Brenton</v>
      </c>
      <c r="L364">
        <v>0</v>
      </c>
      <c r="M364">
        <v>0</v>
      </c>
      <c r="N364">
        <v>0</v>
      </c>
    </row>
    <row r="365" spans="1:14" hidden="1" x14ac:dyDescent="0.2">
      <c r="A365">
        <v>2013</v>
      </c>
      <c r="B365">
        <v>16</v>
      </c>
      <c r="C365" t="s">
        <v>18</v>
      </c>
      <c r="D365" t="s">
        <v>67</v>
      </c>
      <c r="E365">
        <v>101.64</v>
      </c>
      <c r="F365">
        <v>87.8</v>
      </c>
      <c r="G365">
        <f>E365+F365</f>
        <v>189.44</v>
      </c>
      <c r="H365">
        <f>E365-F365</f>
        <v>13.840000000000003</v>
      </c>
      <c r="I365" t="s">
        <v>20</v>
      </c>
      <c r="J365" t="s">
        <v>62</v>
      </c>
      <c r="K365" t="str">
        <f>_xlfn.CONCAT(_xlfn.CONCAT(I365,"|"), J365)</f>
        <v>Schulwolf|Codola</v>
      </c>
      <c r="L365">
        <v>1</v>
      </c>
      <c r="M365">
        <v>0</v>
      </c>
      <c r="N365">
        <v>1</v>
      </c>
    </row>
    <row r="366" spans="1:14" hidden="1" x14ac:dyDescent="0.2">
      <c r="A366">
        <v>2021</v>
      </c>
      <c r="B366">
        <v>11</v>
      </c>
      <c r="C366" t="s">
        <v>30</v>
      </c>
      <c r="D366" t="s">
        <v>27</v>
      </c>
      <c r="E366">
        <v>111.22</v>
      </c>
      <c r="F366">
        <v>101.48</v>
      </c>
      <c r="G366">
        <f>E366+F366</f>
        <v>212.7</v>
      </c>
      <c r="H366">
        <f>E366-F366</f>
        <v>9.7399999999999949</v>
      </c>
      <c r="I366" t="s">
        <v>32</v>
      </c>
      <c r="J366" t="s">
        <v>29</v>
      </c>
      <c r="K366" t="str">
        <f>_xlfn.CONCAT(_xlfn.CONCAT(I366,"|"), J366)</f>
        <v>Cam|Eli</v>
      </c>
      <c r="L366">
        <v>0</v>
      </c>
      <c r="M366">
        <v>0</v>
      </c>
      <c r="N366">
        <v>0</v>
      </c>
    </row>
    <row r="367" spans="1:14" hidden="1" x14ac:dyDescent="0.2">
      <c r="A367">
        <v>2013</v>
      </c>
      <c r="B367">
        <v>15</v>
      </c>
      <c r="C367" t="s">
        <v>67</v>
      </c>
      <c r="D367" t="s">
        <v>68</v>
      </c>
      <c r="E367">
        <v>137.02000000000001</v>
      </c>
      <c r="F367">
        <v>87.42</v>
      </c>
      <c r="G367">
        <f>E367+F367</f>
        <v>224.44</v>
      </c>
      <c r="H367">
        <f>E367-F367</f>
        <v>49.600000000000009</v>
      </c>
      <c r="I367" t="s">
        <v>62</v>
      </c>
      <c r="J367" t="s">
        <v>69</v>
      </c>
      <c r="K367" t="str">
        <f>_xlfn.CONCAT(_xlfn.CONCAT(I367,"|"), J367)</f>
        <v>Codola|Juleon</v>
      </c>
      <c r="L367">
        <v>1</v>
      </c>
      <c r="M367">
        <v>1</v>
      </c>
      <c r="N367">
        <v>0</v>
      </c>
    </row>
    <row r="368" spans="1:14" x14ac:dyDescent="0.2">
      <c r="A368">
        <v>2025</v>
      </c>
      <c r="B368">
        <v>17</v>
      </c>
      <c r="C368" t="s">
        <v>524</v>
      </c>
      <c r="D368" t="s">
        <v>31</v>
      </c>
      <c r="E368">
        <v>96.78</v>
      </c>
      <c r="F368">
        <v>94.42</v>
      </c>
      <c r="G368">
        <f>E368+F368</f>
        <v>191.2</v>
      </c>
      <c r="H368">
        <f>E368-F368</f>
        <v>2.3599999999999994</v>
      </c>
      <c r="I368" t="s">
        <v>21</v>
      </c>
      <c r="J368" t="s">
        <v>33</v>
      </c>
      <c r="K368" t="str">
        <f>_xlfn.CONCAT(_xlfn.CONCAT(I368,"|"), J368)</f>
        <v>Todd|Jay</v>
      </c>
      <c r="L368">
        <v>1</v>
      </c>
      <c r="M368">
        <v>0</v>
      </c>
      <c r="N368">
        <v>0</v>
      </c>
    </row>
    <row r="369" spans="1:14" x14ac:dyDescent="0.2">
      <c r="A369">
        <v>2025</v>
      </c>
      <c r="B369">
        <v>12</v>
      </c>
      <c r="C369" t="s">
        <v>14</v>
      </c>
      <c r="D369" t="s">
        <v>26</v>
      </c>
      <c r="E369">
        <v>106.32</v>
      </c>
      <c r="F369">
        <v>106.26</v>
      </c>
      <c r="G369">
        <f>E369+F369</f>
        <v>212.57999999999998</v>
      </c>
      <c r="H369">
        <f>E369-F369</f>
        <v>5.9999999999988063E-2</v>
      </c>
      <c r="I369" t="s">
        <v>16</v>
      </c>
      <c r="J369" t="s">
        <v>28</v>
      </c>
      <c r="K369" t="str">
        <f>_xlfn.CONCAT(_xlfn.CONCAT(I369,"|"), J369)</f>
        <v>Brenton|Tommy</v>
      </c>
      <c r="L369">
        <v>0</v>
      </c>
      <c r="M369">
        <v>0</v>
      </c>
      <c r="N369">
        <v>0</v>
      </c>
    </row>
    <row r="370" spans="1:14" hidden="1" x14ac:dyDescent="0.2">
      <c r="A370">
        <v>2022</v>
      </c>
      <c r="B370">
        <v>1</v>
      </c>
      <c r="C370" t="s">
        <v>43</v>
      </c>
      <c r="D370" t="s">
        <v>44</v>
      </c>
      <c r="E370">
        <v>126.88</v>
      </c>
      <c r="F370">
        <v>117.8</v>
      </c>
      <c r="G370">
        <f>E370+F370</f>
        <v>244.68</v>
      </c>
      <c r="H370">
        <f>E370-F370</f>
        <v>9.0799999999999983</v>
      </c>
      <c r="I370" t="s">
        <v>21</v>
      </c>
      <c r="J370" t="s">
        <v>45</v>
      </c>
      <c r="K370" t="str">
        <f>_xlfn.CONCAT(_xlfn.CONCAT(I370,"|"), J370)</f>
        <v>Todd|Kevin</v>
      </c>
      <c r="L370">
        <v>0</v>
      </c>
      <c r="M370">
        <v>0</v>
      </c>
      <c r="N370">
        <v>0</v>
      </c>
    </row>
    <row r="371" spans="1:14" hidden="1" x14ac:dyDescent="0.2">
      <c r="A371">
        <v>2024</v>
      </c>
      <c r="B371">
        <v>9</v>
      </c>
      <c r="C371" t="s">
        <v>77</v>
      </c>
      <c r="D371" t="s">
        <v>76</v>
      </c>
      <c r="E371">
        <v>121.84</v>
      </c>
      <c r="F371">
        <v>112.84</v>
      </c>
      <c r="G371">
        <f>E371+F371</f>
        <v>234.68</v>
      </c>
      <c r="H371">
        <f>E371-F371</f>
        <v>9</v>
      </c>
      <c r="I371" t="s">
        <v>45</v>
      </c>
      <c r="J371" t="s">
        <v>32</v>
      </c>
      <c r="K371" t="str">
        <f>_xlfn.CONCAT(_xlfn.CONCAT(I371,"|"), J371)</f>
        <v>Kevin|Cam</v>
      </c>
      <c r="L371">
        <v>0</v>
      </c>
      <c r="M371">
        <v>0</v>
      </c>
      <c r="N371">
        <v>0</v>
      </c>
    </row>
    <row r="372" spans="1:14" hidden="1" x14ac:dyDescent="0.2">
      <c r="A372">
        <v>2021</v>
      </c>
      <c r="B372">
        <v>2</v>
      </c>
      <c r="C372" t="s">
        <v>22</v>
      </c>
      <c r="D372" t="s">
        <v>19</v>
      </c>
      <c r="E372">
        <v>108.22</v>
      </c>
      <c r="F372">
        <v>99.26</v>
      </c>
      <c r="G372">
        <f>E372+F372</f>
        <v>207.48000000000002</v>
      </c>
      <c r="H372">
        <f>E372-F372</f>
        <v>8.9599999999999937</v>
      </c>
      <c r="I372" t="s">
        <v>24</v>
      </c>
      <c r="J372" t="s">
        <v>21</v>
      </c>
      <c r="K372" t="str">
        <f>_xlfn.CONCAT(_xlfn.CONCAT(I372,"|"), J372)</f>
        <v>Jasjaap|Todd</v>
      </c>
      <c r="L372">
        <v>0</v>
      </c>
      <c r="M372">
        <v>0</v>
      </c>
      <c r="N372">
        <v>0</v>
      </c>
    </row>
    <row r="373" spans="1:14" hidden="1" x14ac:dyDescent="0.2">
      <c r="A373">
        <v>2023</v>
      </c>
      <c r="B373">
        <v>12</v>
      </c>
      <c r="C373" t="s">
        <v>44</v>
      </c>
      <c r="D373" t="s">
        <v>26</v>
      </c>
      <c r="E373">
        <v>148.36000000000001</v>
      </c>
      <c r="F373">
        <v>139.5</v>
      </c>
      <c r="G373">
        <f>E373+F373</f>
        <v>287.86</v>
      </c>
      <c r="H373">
        <f>E373-F373</f>
        <v>8.8600000000000136</v>
      </c>
      <c r="I373" t="s">
        <v>45</v>
      </c>
      <c r="J373" t="s">
        <v>28</v>
      </c>
      <c r="K373" t="str">
        <f>_xlfn.CONCAT(_xlfn.CONCAT(I373,"|"), J373)</f>
        <v>Kevin|Tommy</v>
      </c>
      <c r="L373">
        <v>0</v>
      </c>
      <c r="M373">
        <v>0</v>
      </c>
      <c r="N373">
        <v>0</v>
      </c>
    </row>
    <row r="374" spans="1:14" hidden="1" x14ac:dyDescent="0.2">
      <c r="A374">
        <v>2022</v>
      </c>
      <c r="B374">
        <v>9</v>
      </c>
      <c r="C374" t="s">
        <v>14</v>
      </c>
      <c r="D374" t="s">
        <v>39</v>
      </c>
      <c r="E374">
        <v>110.94</v>
      </c>
      <c r="F374">
        <v>102.14</v>
      </c>
      <c r="G374">
        <f>E374+F374</f>
        <v>213.07999999999998</v>
      </c>
      <c r="H374">
        <f>E374-F374</f>
        <v>8.7999999999999972</v>
      </c>
      <c r="I374" t="s">
        <v>16</v>
      </c>
      <c r="J374" t="s">
        <v>32</v>
      </c>
      <c r="K374" t="str">
        <f>_xlfn.CONCAT(_xlfn.CONCAT(I374,"|"), J374)</f>
        <v>Brenton|Cam</v>
      </c>
      <c r="L374">
        <v>0</v>
      </c>
      <c r="M374">
        <v>0</v>
      </c>
      <c r="N374">
        <v>0</v>
      </c>
    </row>
    <row r="375" spans="1:14" hidden="1" x14ac:dyDescent="0.2">
      <c r="A375">
        <v>2018</v>
      </c>
      <c r="B375">
        <v>15</v>
      </c>
      <c r="C375" t="s">
        <v>57</v>
      </c>
      <c r="D375" t="s">
        <v>58</v>
      </c>
      <c r="E375">
        <v>91.9</v>
      </c>
      <c r="F375">
        <v>86.5</v>
      </c>
      <c r="G375">
        <f>E375+F375</f>
        <v>178.4</v>
      </c>
      <c r="H375">
        <f>E375-F375</f>
        <v>5.4000000000000057</v>
      </c>
      <c r="I375" t="s">
        <v>17</v>
      </c>
      <c r="J375" t="s">
        <v>36</v>
      </c>
      <c r="K375" t="str">
        <f>_xlfn.CONCAT(_xlfn.CONCAT(I375,"|"), J375)</f>
        <v>Mike|Will</v>
      </c>
      <c r="L375">
        <v>1</v>
      </c>
      <c r="M375">
        <v>1</v>
      </c>
      <c r="N375">
        <v>0</v>
      </c>
    </row>
    <row r="376" spans="1:14" hidden="1" x14ac:dyDescent="0.2">
      <c r="A376">
        <v>2024</v>
      </c>
      <c r="B376">
        <v>14</v>
      </c>
      <c r="C376" t="s">
        <v>46</v>
      </c>
      <c r="D376" t="s">
        <v>26</v>
      </c>
      <c r="E376">
        <v>171.5</v>
      </c>
      <c r="F376">
        <v>162.78</v>
      </c>
      <c r="G376">
        <f>E376+F376</f>
        <v>334.28</v>
      </c>
      <c r="H376">
        <f>E376-F376</f>
        <v>8.7199999999999989</v>
      </c>
      <c r="I376" t="s">
        <v>47</v>
      </c>
      <c r="J376" t="s">
        <v>28</v>
      </c>
      <c r="K376" t="str">
        <f>_xlfn.CONCAT(_xlfn.CONCAT(I376,"|"), J376)</f>
        <v>Burnett/Jasjaap|Tommy</v>
      </c>
      <c r="L376">
        <v>0</v>
      </c>
      <c r="M376">
        <v>0</v>
      </c>
      <c r="N376">
        <v>0</v>
      </c>
    </row>
    <row r="377" spans="1:14" hidden="1" x14ac:dyDescent="0.2">
      <c r="A377">
        <v>2022</v>
      </c>
      <c r="B377">
        <v>6</v>
      </c>
      <c r="C377" t="s">
        <v>44</v>
      </c>
      <c r="D377" t="s">
        <v>38</v>
      </c>
      <c r="E377">
        <v>89.72</v>
      </c>
      <c r="F377">
        <v>81</v>
      </c>
      <c r="G377">
        <f>E377+F377</f>
        <v>170.72</v>
      </c>
      <c r="H377">
        <f>E377-F377</f>
        <v>8.7199999999999989</v>
      </c>
      <c r="I377" t="s">
        <v>45</v>
      </c>
      <c r="J377" t="s">
        <v>36</v>
      </c>
      <c r="K377" t="str">
        <f>_xlfn.CONCAT(_xlfn.CONCAT(I377,"|"), J377)</f>
        <v>Kevin|Will</v>
      </c>
      <c r="L377">
        <v>0</v>
      </c>
      <c r="M377">
        <v>0</v>
      </c>
      <c r="N377">
        <v>0</v>
      </c>
    </row>
    <row r="378" spans="1:14" hidden="1" x14ac:dyDescent="0.2">
      <c r="A378">
        <v>2021</v>
      </c>
      <c r="B378">
        <v>10</v>
      </c>
      <c r="C378" t="s">
        <v>27</v>
      </c>
      <c r="D378" t="s">
        <v>34</v>
      </c>
      <c r="E378">
        <v>124.12</v>
      </c>
      <c r="F378">
        <v>115.46</v>
      </c>
      <c r="G378">
        <f>E378+F378</f>
        <v>239.57999999999998</v>
      </c>
      <c r="H378">
        <f>E378-F378</f>
        <v>8.6600000000000108</v>
      </c>
      <c r="I378" t="s">
        <v>29</v>
      </c>
      <c r="J378" t="s">
        <v>36</v>
      </c>
      <c r="K378" t="str">
        <f>_xlfn.CONCAT(_xlfn.CONCAT(I378,"|"), J378)</f>
        <v>Eli|Will</v>
      </c>
      <c r="L378">
        <v>0</v>
      </c>
      <c r="M378">
        <v>0</v>
      </c>
      <c r="N378">
        <v>0</v>
      </c>
    </row>
    <row r="379" spans="1:14" x14ac:dyDescent="0.2">
      <c r="A379">
        <v>2025</v>
      </c>
      <c r="B379">
        <v>4</v>
      </c>
      <c r="C379" t="s">
        <v>18</v>
      </c>
      <c r="D379" t="s">
        <v>31</v>
      </c>
      <c r="E379">
        <v>105.9</v>
      </c>
      <c r="F379">
        <v>96.78</v>
      </c>
      <c r="G379">
        <f>E379+F379</f>
        <v>202.68</v>
      </c>
      <c r="H379">
        <f>E379-F379</f>
        <v>9.1200000000000045</v>
      </c>
      <c r="I379" t="s">
        <v>20</v>
      </c>
      <c r="J379" t="s">
        <v>33</v>
      </c>
      <c r="K379" t="str">
        <f>_xlfn.CONCAT(_xlfn.CONCAT(I379,"|"), J379)</f>
        <v>Schulwolf|Jay</v>
      </c>
      <c r="L379">
        <v>0</v>
      </c>
      <c r="M379">
        <v>0</v>
      </c>
      <c r="N379">
        <v>0</v>
      </c>
    </row>
    <row r="380" spans="1:14" x14ac:dyDescent="0.2">
      <c r="A380">
        <v>2025</v>
      </c>
      <c r="B380">
        <v>2</v>
      </c>
      <c r="C380" t="s">
        <v>18</v>
      </c>
      <c r="D380" t="s">
        <v>14</v>
      </c>
      <c r="E380">
        <v>123.28</v>
      </c>
      <c r="F380">
        <v>116.7</v>
      </c>
      <c r="G380">
        <f>E380+F380</f>
        <v>239.98000000000002</v>
      </c>
      <c r="H380">
        <f>E380-F380</f>
        <v>6.5799999999999983</v>
      </c>
      <c r="I380" t="s">
        <v>20</v>
      </c>
      <c r="J380" t="s">
        <v>16</v>
      </c>
      <c r="K380" t="str">
        <f>_xlfn.CONCAT(_xlfn.CONCAT(I380,"|"), J380)</f>
        <v>Schulwolf|Brenton</v>
      </c>
      <c r="L380">
        <v>0</v>
      </c>
      <c r="M380">
        <v>0</v>
      </c>
      <c r="N380">
        <v>0</v>
      </c>
    </row>
    <row r="381" spans="1:14" hidden="1" x14ac:dyDescent="0.2">
      <c r="A381">
        <v>2024</v>
      </c>
      <c r="B381">
        <v>8</v>
      </c>
      <c r="C381" t="s">
        <v>74</v>
      </c>
      <c r="D381" t="s">
        <v>76</v>
      </c>
      <c r="E381">
        <v>131.84</v>
      </c>
      <c r="F381">
        <v>123.46</v>
      </c>
      <c r="G381">
        <f>E381+F381</f>
        <v>255.3</v>
      </c>
      <c r="H381">
        <f>E381-F381</f>
        <v>8.3800000000000097</v>
      </c>
      <c r="I381" t="s">
        <v>29</v>
      </c>
      <c r="J381" t="s">
        <v>32</v>
      </c>
      <c r="K381" t="str">
        <f>_xlfn.CONCAT(_xlfn.CONCAT(I381,"|"), J381)</f>
        <v>Eli|Cam</v>
      </c>
      <c r="L381">
        <v>0</v>
      </c>
      <c r="M381">
        <v>0</v>
      </c>
      <c r="N381">
        <v>0</v>
      </c>
    </row>
    <row r="382" spans="1:14" hidden="1" x14ac:dyDescent="0.2">
      <c r="A382">
        <v>2023</v>
      </c>
      <c r="B382">
        <v>6</v>
      </c>
      <c r="C382" t="s">
        <v>18</v>
      </c>
      <c r="D382" t="s">
        <v>14</v>
      </c>
      <c r="E382">
        <v>114.94</v>
      </c>
      <c r="F382">
        <v>106.68</v>
      </c>
      <c r="G382">
        <f>E382+F382</f>
        <v>221.62</v>
      </c>
      <c r="H382">
        <f>E382-F382</f>
        <v>8.2599999999999909</v>
      </c>
      <c r="I382" t="s">
        <v>20</v>
      </c>
      <c r="J382" t="s">
        <v>16</v>
      </c>
      <c r="K382" t="str">
        <f>_xlfn.CONCAT(_xlfn.CONCAT(I382,"|"), J382)</f>
        <v>Schulwolf|Brenton</v>
      </c>
      <c r="L382">
        <v>0</v>
      </c>
      <c r="M382">
        <v>0</v>
      </c>
      <c r="N382">
        <v>0</v>
      </c>
    </row>
    <row r="383" spans="1:14" hidden="1" x14ac:dyDescent="0.2">
      <c r="A383">
        <v>2022</v>
      </c>
      <c r="B383">
        <v>13</v>
      </c>
      <c r="C383" t="s">
        <v>31</v>
      </c>
      <c r="D383" t="s">
        <v>14</v>
      </c>
      <c r="E383">
        <v>114.04</v>
      </c>
      <c r="F383">
        <v>105.84</v>
      </c>
      <c r="G383">
        <f>E383+F383</f>
        <v>219.88</v>
      </c>
      <c r="H383">
        <f>E383-F383</f>
        <v>8.2000000000000028</v>
      </c>
      <c r="I383" t="s">
        <v>41</v>
      </c>
      <c r="J383" t="s">
        <v>16</v>
      </c>
      <c r="K383" t="str">
        <f>_xlfn.CONCAT(_xlfn.CONCAT(I383,"|"), J383)</f>
        <v>Jay/Brand|Brenton</v>
      </c>
      <c r="L383">
        <v>0</v>
      </c>
      <c r="M383">
        <v>0</v>
      </c>
      <c r="N383">
        <v>0</v>
      </c>
    </row>
    <row r="384" spans="1:14" hidden="1" x14ac:dyDescent="0.2">
      <c r="A384">
        <v>2022</v>
      </c>
      <c r="B384">
        <v>6</v>
      </c>
      <c r="C384" t="s">
        <v>42</v>
      </c>
      <c r="D384" t="s">
        <v>43</v>
      </c>
      <c r="E384">
        <v>81.540000000000006</v>
      </c>
      <c r="F384">
        <v>73.5</v>
      </c>
      <c r="G384">
        <f>E384+F384</f>
        <v>155.04000000000002</v>
      </c>
      <c r="H384">
        <f>E384-F384</f>
        <v>8.0400000000000063</v>
      </c>
      <c r="I384" t="s">
        <v>17</v>
      </c>
      <c r="J384" t="s">
        <v>21</v>
      </c>
      <c r="K384" t="str">
        <f>_xlfn.CONCAT(_xlfn.CONCAT(I384,"|"), J384)</f>
        <v>Mike|Todd</v>
      </c>
      <c r="L384">
        <v>0</v>
      </c>
      <c r="M384">
        <v>0</v>
      </c>
      <c r="N384">
        <v>0</v>
      </c>
    </row>
    <row r="385" spans="1:14" hidden="1" x14ac:dyDescent="0.2">
      <c r="A385">
        <v>2025</v>
      </c>
      <c r="B385">
        <v>2</v>
      </c>
      <c r="C385" t="s">
        <v>77</v>
      </c>
      <c r="D385" t="s">
        <v>526</v>
      </c>
      <c r="E385">
        <v>196.4</v>
      </c>
      <c r="F385">
        <v>114.86</v>
      </c>
      <c r="G385">
        <f>E385+F385</f>
        <v>311.26</v>
      </c>
      <c r="H385" s="329">
        <f>E385-F385</f>
        <v>81.540000000000006</v>
      </c>
      <c r="I385" t="s">
        <v>45</v>
      </c>
      <c r="J385" t="s">
        <v>32</v>
      </c>
      <c r="K385" t="str">
        <f>_xlfn.CONCAT(_xlfn.CONCAT(I385,"|"), J385)</f>
        <v>Kevin|Cam</v>
      </c>
      <c r="L385">
        <v>0</v>
      </c>
      <c r="M385">
        <v>0</v>
      </c>
      <c r="N385">
        <v>0</v>
      </c>
    </row>
    <row r="386" spans="1:14" hidden="1" x14ac:dyDescent="0.2">
      <c r="A386">
        <v>2023</v>
      </c>
      <c r="B386">
        <v>7</v>
      </c>
      <c r="C386" t="s">
        <v>44</v>
      </c>
      <c r="D386" t="s">
        <v>14</v>
      </c>
      <c r="E386">
        <v>113.9</v>
      </c>
      <c r="F386">
        <v>106.14</v>
      </c>
      <c r="G386">
        <f>E386+F386</f>
        <v>220.04000000000002</v>
      </c>
      <c r="H386">
        <f>E386-F386</f>
        <v>7.7600000000000051</v>
      </c>
      <c r="I386" t="s">
        <v>45</v>
      </c>
      <c r="J386" t="s">
        <v>16</v>
      </c>
      <c r="K386" t="str">
        <f>_xlfn.CONCAT(_xlfn.CONCAT(I386,"|"), J386)</f>
        <v>Kevin|Brenton</v>
      </c>
      <c r="L386">
        <v>0</v>
      </c>
      <c r="M386">
        <v>0</v>
      </c>
      <c r="N386">
        <v>0</v>
      </c>
    </row>
    <row r="387" spans="1:14" hidden="1" x14ac:dyDescent="0.2">
      <c r="A387">
        <v>2024</v>
      </c>
      <c r="B387">
        <v>8</v>
      </c>
      <c r="C387" t="s">
        <v>46</v>
      </c>
      <c r="D387" t="s">
        <v>73</v>
      </c>
      <c r="E387">
        <v>155.41999999999999</v>
      </c>
      <c r="F387">
        <v>147.69999999999999</v>
      </c>
      <c r="G387">
        <f>E387+F387</f>
        <v>303.12</v>
      </c>
      <c r="H387">
        <f>E387-F387</f>
        <v>7.7199999999999989</v>
      </c>
      <c r="I387" t="s">
        <v>47</v>
      </c>
      <c r="J387" t="s">
        <v>21</v>
      </c>
      <c r="K387" t="str">
        <f>_xlfn.CONCAT(_xlfn.CONCAT(I387,"|"), J387)</f>
        <v>Burnett/Jasjaap|Todd</v>
      </c>
      <c r="L387">
        <v>0</v>
      </c>
      <c r="M387">
        <v>0</v>
      </c>
      <c r="N387">
        <v>0</v>
      </c>
    </row>
    <row r="388" spans="1:14" hidden="1" x14ac:dyDescent="0.2">
      <c r="A388">
        <v>2022</v>
      </c>
      <c r="B388">
        <v>2</v>
      </c>
      <c r="C388" t="s">
        <v>14</v>
      </c>
      <c r="D388" t="s">
        <v>31</v>
      </c>
      <c r="E388">
        <v>108.86</v>
      </c>
      <c r="F388">
        <v>101.18</v>
      </c>
      <c r="G388">
        <f>E388+F388</f>
        <v>210.04000000000002</v>
      </c>
      <c r="H388">
        <f>E388-F388</f>
        <v>7.6799999999999926</v>
      </c>
      <c r="I388" t="s">
        <v>16</v>
      </c>
      <c r="J388" t="s">
        <v>41</v>
      </c>
      <c r="K388" t="str">
        <f>_xlfn.CONCAT(_xlfn.CONCAT(I388,"|"), J388)</f>
        <v>Brenton|Jay/Brand</v>
      </c>
      <c r="L388">
        <v>0</v>
      </c>
      <c r="M388">
        <v>0</v>
      </c>
      <c r="N388">
        <v>0</v>
      </c>
    </row>
    <row r="389" spans="1:14" x14ac:dyDescent="0.2">
      <c r="A389">
        <v>2025</v>
      </c>
      <c r="B389">
        <v>1</v>
      </c>
      <c r="C389" t="s">
        <v>77</v>
      </c>
      <c r="D389" t="s">
        <v>46</v>
      </c>
      <c r="E389">
        <v>104.88</v>
      </c>
      <c r="F389">
        <v>102.62</v>
      </c>
      <c r="G389">
        <f>E389+F389</f>
        <v>207.5</v>
      </c>
      <c r="H389" s="329">
        <f>E389-F389</f>
        <v>2.2599999999999909</v>
      </c>
      <c r="I389" t="s">
        <v>45</v>
      </c>
      <c r="J389" t="s">
        <v>47</v>
      </c>
      <c r="K389" t="str">
        <f>_xlfn.CONCAT(_xlfn.CONCAT(I389,"|"), J389)</f>
        <v>Kevin|Burnett/Jasjaap</v>
      </c>
      <c r="L389">
        <v>0</v>
      </c>
      <c r="M389">
        <v>0</v>
      </c>
      <c r="N389">
        <v>0</v>
      </c>
    </row>
    <row r="390" spans="1:14" hidden="1" x14ac:dyDescent="0.2">
      <c r="A390">
        <v>2024</v>
      </c>
      <c r="B390">
        <v>6</v>
      </c>
      <c r="C390" t="s">
        <v>26</v>
      </c>
      <c r="D390" t="s">
        <v>42</v>
      </c>
      <c r="E390">
        <v>123.5</v>
      </c>
      <c r="F390">
        <v>116</v>
      </c>
      <c r="G390">
        <f>E390+F390</f>
        <v>239.5</v>
      </c>
      <c r="H390">
        <f>E390-F390</f>
        <v>7.5</v>
      </c>
      <c r="I390" t="s">
        <v>28</v>
      </c>
      <c r="J390" t="s">
        <v>17</v>
      </c>
      <c r="K390" t="str">
        <f>_xlfn.CONCAT(_xlfn.CONCAT(I390,"|"), J390)</f>
        <v>Tommy|Mike</v>
      </c>
      <c r="L390">
        <v>0</v>
      </c>
      <c r="M390">
        <v>0</v>
      </c>
      <c r="N390">
        <v>0</v>
      </c>
    </row>
    <row r="391" spans="1:14" hidden="1" x14ac:dyDescent="0.2">
      <c r="A391">
        <v>2015</v>
      </c>
      <c r="B391">
        <v>15</v>
      </c>
      <c r="C391" t="s">
        <v>63</v>
      </c>
      <c r="D391" t="s">
        <v>19</v>
      </c>
      <c r="E391">
        <v>121.26</v>
      </c>
      <c r="F391">
        <v>84.8</v>
      </c>
      <c r="G391">
        <f>E391+F391</f>
        <v>206.06</v>
      </c>
      <c r="H391">
        <f>E391-F391</f>
        <v>36.460000000000008</v>
      </c>
      <c r="I391" t="s">
        <v>29</v>
      </c>
      <c r="J391" t="s">
        <v>21</v>
      </c>
      <c r="K391" t="str">
        <f>_xlfn.CONCAT(_xlfn.CONCAT(I391,"|"), J391)</f>
        <v>Eli|Todd</v>
      </c>
      <c r="L391">
        <v>1</v>
      </c>
      <c r="M391">
        <v>1</v>
      </c>
      <c r="N391">
        <v>0</v>
      </c>
    </row>
    <row r="392" spans="1:14" hidden="1" x14ac:dyDescent="0.2">
      <c r="A392">
        <v>2022</v>
      </c>
      <c r="B392">
        <v>9</v>
      </c>
      <c r="C392" t="s">
        <v>44</v>
      </c>
      <c r="D392" t="s">
        <v>31</v>
      </c>
      <c r="E392">
        <v>83.84</v>
      </c>
      <c r="F392">
        <v>76.400000000000006</v>
      </c>
      <c r="G392">
        <f>E392+F392</f>
        <v>160.24</v>
      </c>
      <c r="H392">
        <f>E392-F392</f>
        <v>7.4399999999999977</v>
      </c>
      <c r="I392" t="s">
        <v>45</v>
      </c>
      <c r="J392" t="s">
        <v>41</v>
      </c>
      <c r="K392" t="str">
        <f>_xlfn.CONCAT(_xlfn.CONCAT(I392,"|"), J392)</f>
        <v>Kevin|Jay/Brand</v>
      </c>
      <c r="L392">
        <v>0</v>
      </c>
      <c r="M392">
        <v>0</v>
      </c>
      <c r="N392">
        <v>0</v>
      </c>
    </row>
    <row r="393" spans="1:14" hidden="1" x14ac:dyDescent="0.2">
      <c r="A393">
        <v>2023</v>
      </c>
      <c r="B393">
        <v>4</v>
      </c>
      <c r="C393" t="s">
        <v>44</v>
      </c>
      <c r="D393" t="s">
        <v>52</v>
      </c>
      <c r="E393">
        <v>133.1</v>
      </c>
      <c r="F393">
        <v>125.7</v>
      </c>
      <c r="G393">
        <f>E393+F393</f>
        <v>258.8</v>
      </c>
      <c r="H393">
        <f>E393-F393</f>
        <v>7.3999999999999915</v>
      </c>
      <c r="I393" t="s">
        <v>45</v>
      </c>
      <c r="J393" t="s">
        <v>32</v>
      </c>
      <c r="K393" t="str">
        <f>_xlfn.CONCAT(_xlfn.CONCAT(I393,"|"), J393)</f>
        <v>Kevin|Cam</v>
      </c>
      <c r="L393">
        <v>0</v>
      </c>
      <c r="M393">
        <v>0</v>
      </c>
      <c r="N393">
        <v>0</v>
      </c>
    </row>
    <row r="394" spans="1:14" hidden="1" x14ac:dyDescent="0.2">
      <c r="A394">
        <v>2024</v>
      </c>
      <c r="B394">
        <v>3</v>
      </c>
      <c r="C394" t="s">
        <v>77</v>
      </c>
      <c r="D394" t="s">
        <v>14</v>
      </c>
      <c r="E394">
        <v>71.5</v>
      </c>
      <c r="F394">
        <v>64.180000000000007</v>
      </c>
      <c r="G394">
        <f>E394+F394</f>
        <v>135.68</v>
      </c>
      <c r="H394">
        <f>E394-F394</f>
        <v>7.3199999999999932</v>
      </c>
      <c r="I394" t="s">
        <v>45</v>
      </c>
      <c r="J394" t="s">
        <v>16</v>
      </c>
      <c r="K394" t="str">
        <f>_xlfn.CONCAT(_xlfn.CONCAT(I394,"|"), J394)</f>
        <v>Kevin|Brenton</v>
      </c>
      <c r="L394">
        <v>0</v>
      </c>
      <c r="M394">
        <v>0</v>
      </c>
      <c r="N394">
        <v>0</v>
      </c>
    </row>
    <row r="395" spans="1:14" hidden="1" x14ac:dyDescent="0.2">
      <c r="A395">
        <v>2021</v>
      </c>
      <c r="B395">
        <v>8</v>
      </c>
      <c r="C395" t="s">
        <v>14</v>
      </c>
      <c r="D395" t="s">
        <v>30</v>
      </c>
      <c r="E395">
        <v>111.48</v>
      </c>
      <c r="F395">
        <v>104.36</v>
      </c>
      <c r="G395">
        <f>E395+F395</f>
        <v>215.84</v>
      </c>
      <c r="H395">
        <f>E395-F395</f>
        <v>7.1200000000000045</v>
      </c>
      <c r="I395" t="s">
        <v>16</v>
      </c>
      <c r="J395" t="s">
        <v>32</v>
      </c>
      <c r="K395" t="str">
        <f>_xlfn.CONCAT(_xlfn.CONCAT(I395,"|"), J395)</f>
        <v>Brenton|Cam</v>
      </c>
      <c r="L395">
        <v>0</v>
      </c>
      <c r="M395">
        <v>0</v>
      </c>
      <c r="N395">
        <v>0</v>
      </c>
    </row>
    <row r="396" spans="1:14" hidden="1" x14ac:dyDescent="0.2">
      <c r="A396">
        <v>2024</v>
      </c>
      <c r="B396">
        <v>12</v>
      </c>
      <c r="C396" t="s">
        <v>35</v>
      </c>
      <c r="D396" t="s">
        <v>76</v>
      </c>
      <c r="E396">
        <v>120.56</v>
      </c>
      <c r="F396">
        <v>113.6</v>
      </c>
      <c r="G396">
        <f>E396+F396</f>
        <v>234.16</v>
      </c>
      <c r="H396">
        <f>E396-F396</f>
        <v>6.960000000000008</v>
      </c>
      <c r="I396" t="s">
        <v>49</v>
      </c>
      <c r="J396" t="s">
        <v>32</v>
      </c>
      <c r="K396" t="str">
        <f>_xlfn.CONCAT(_xlfn.CONCAT(I396,"|"), J396)</f>
        <v>Brand|Cam</v>
      </c>
      <c r="L396">
        <v>0</v>
      </c>
      <c r="M396">
        <v>0</v>
      </c>
      <c r="N396">
        <v>0</v>
      </c>
    </row>
    <row r="397" spans="1:14" hidden="1" x14ac:dyDescent="0.2">
      <c r="A397">
        <v>2021</v>
      </c>
      <c r="B397">
        <v>11</v>
      </c>
      <c r="C397" t="s">
        <v>22</v>
      </c>
      <c r="D397" t="s">
        <v>26</v>
      </c>
      <c r="E397">
        <v>141.04</v>
      </c>
      <c r="F397">
        <v>134.18</v>
      </c>
      <c r="G397">
        <f>E397+F397</f>
        <v>275.22000000000003</v>
      </c>
      <c r="H397">
        <f>E397-F397</f>
        <v>6.8599999999999852</v>
      </c>
      <c r="I397" t="s">
        <v>24</v>
      </c>
      <c r="J397" t="s">
        <v>28</v>
      </c>
      <c r="K397" t="str">
        <f>_xlfn.CONCAT(_xlfn.CONCAT(I397,"|"), J397)</f>
        <v>Jasjaap|Tommy</v>
      </c>
      <c r="L397">
        <v>0</v>
      </c>
      <c r="M397">
        <v>0</v>
      </c>
      <c r="N397">
        <v>0</v>
      </c>
    </row>
    <row r="398" spans="1:14" x14ac:dyDescent="0.2">
      <c r="A398">
        <v>2025</v>
      </c>
      <c r="B398">
        <v>12</v>
      </c>
      <c r="C398" t="s">
        <v>77</v>
      </c>
      <c r="D398" t="s">
        <v>46</v>
      </c>
      <c r="E398">
        <v>114.84</v>
      </c>
      <c r="F398">
        <v>109.64</v>
      </c>
      <c r="G398">
        <f>E398+F398</f>
        <v>224.48000000000002</v>
      </c>
      <c r="H398" s="329">
        <f>E398-F398</f>
        <v>5.2000000000000028</v>
      </c>
      <c r="I398" t="s">
        <v>45</v>
      </c>
      <c r="J398" t="s">
        <v>47</v>
      </c>
      <c r="K398" t="str">
        <f>_xlfn.CONCAT(_xlfn.CONCAT(I398,"|"), J398)</f>
        <v>Kevin|Burnett/Jasjaap</v>
      </c>
      <c r="L398">
        <v>0</v>
      </c>
      <c r="M398">
        <v>0</v>
      </c>
      <c r="N398">
        <v>0</v>
      </c>
    </row>
    <row r="399" spans="1:14" hidden="1" x14ac:dyDescent="0.2">
      <c r="A399">
        <v>2024</v>
      </c>
      <c r="B399">
        <v>5</v>
      </c>
      <c r="C399" t="s">
        <v>14</v>
      </c>
      <c r="D399" t="s">
        <v>74</v>
      </c>
      <c r="E399">
        <v>97.5</v>
      </c>
      <c r="F399">
        <v>90.8</v>
      </c>
      <c r="G399">
        <f>E399+F399</f>
        <v>188.3</v>
      </c>
      <c r="H399">
        <f>E399-F399</f>
        <v>6.7000000000000028</v>
      </c>
      <c r="I399" t="s">
        <v>16</v>
      </c>
      <c r="J399" t="s">
        <v>29</v>
      </c>
      <c r="K399" t="str">
        <f>_xlfn.CONCAT(_xlfn.CONCAT(I399,"|"), J399)</f>
        <v>Brenton|Eli</v>
      </c>
      <c r="L399">
        <v>0</v>
      </c>
      <c r="M399">
        <v>0</v>
      </c>
      <c r="N399">
        <v>0</v>
      </c>
    </row>
    <row r="400" spans="1:14" x14ac:dyDescent="0.2">
      <c r="A400">
        <v>2025</v>
      </c>
      <c r="B400">
        <v>7</v>
      </c>
      <c r="C400" t="s">
        <v>77</v>
      </c>
      <c r="D400" t="s">
        <v>42</v>
      </c>
      <c r="E400">
        <v>97.32</v>
      </c>
      <c r="F400">
        <v>97.06</v>
      </c>
      <c r="G400">
        <f>E400+F400</f>
        <v>194.38</v>
      </c>
      <c r="H400" s="329">
        <f>E400-F400</f>
        <v>0.25999999999999091</v>
      </c>
      <c r="I400" t="s">
        <v>45</v>
      </c>
      <c r="J400" t="s">
        <v>17</v>
      </c>
      <c r="K400" t="str">
        <f>_xlfn.CONCAT(_xlfn.CONCAT(I400,"|"), J400)</f>
        <v>Kevin|Mike</v>
      </c>
      <c r="L400">
        <v>0</v>
      </c>
      <c r="M400">
        <v>0</v>
      </c>
      <c r="N400">
        <v>0</v>
      </c>
    </row>
    <row r="401" spans="1:14" hidden="1" x14ac:dyDescent="0.2">
      <c r="A401">
        <v>2022</v>
      </c>
      <c r="B401">
        <v>9</v>
      </c>
      <c r="C401" t="s">
        <v>42</v>
      </c>
      <c r="D401" t="s">
        <v>22</v>
      </c>
      <c r="E401">
        <v>88.54</v>
      </c>
      <c r="F401">
        <v>82</v>
      </c>
      <c r="G401">
        <f>E401+F401</f>
        <v>170.54000000000002</v>
      </c>
      <c r="H401">
        <f>E401-F401</f>
        <v>6.5400000000000063</v>
      </c>
      <c r="I401" t="s">
        <v>17</v>
      </c>
      <c r="J401" t="s">
        <v>24</v>
      </c>
      <c r="K401" t="str">
        <f>_xlfn.CONCAT(_xlfn.CONCAT(I401,"|"), J401)</f>
        <v>Mike|Jasjaap</v>
      </c>
      <c r="L401">
        <v>0</v>
      </c>
      <c r="M401">
        <v>0</v>
      </c>
      <c r="N401">
        <v>0</v>
      </c>
    </row>
    <row r="402" spans="1:14" hidden="1" x14ac:dyDescent="0.2">
      <c r="A402">
        <v>2024</v>
      </c>
      <c r="B402">
        <v>13</v>
      </c>
      <c r="C402" t="s">
        <v>42</v>
      </c>
      <c r="D402" t="s">
        <v>14</v>
      </c>
      <c r="E402">
        <v>119.94</v>
      </c>
      <c r="F402">
        <v>113.4</v>
      </c>
      <c r="G402">
        <f>E402+F402</f>
        <v>233.34</v>
      </c>
      <c r="H402">
        <f>E402-F402</f>
        <v>6.539999999999992</v>
      </c>
      <c r="I402" t="s">
        <v>17</v>
      </c>
      <c r="J402" t="s">
        <v>16</v>
      </c>
      <c r="K402" t="str">
        <f>_xlfn.CONCAT(_xlfn.CONCAT(I402,"|"), J402)</f>
        <v>Mike|Brenton</v>
      </c>
      <c r="L402">
        <v>0</v>
      </c>
      <c r="M402">
        <v>0</v>
      </c>
      <c r="N402">
        <v>0</v>
      </c>
    </row>
    <row r="403" spans="1:14" hidden="1" x14ac:dyDescent="0.2">
      <c r="A403">
        <v>2021</v>
      </c>
      <c r="B403">
        <v>15</v>
      </c>
      <c r="C403" t="s">
        <v>19</v>
      </c>
      <c r="D403" t="s">
        <v>31</v>
      </c>
      <c r="E403">
        <v>96.3</v>
      </c>
      <c r="F403">
        <v>89.84</v>
      </c>
      <c r="G403">
        <f>E403+F403</f>
        <v>186.14</v>
      </c>
      <c r="H403">
        <f>E403-F403</f>
        <v>6.4599999999999937</v>
      </c>
      <c r="I403" t="s">
        <v>21</v>
      </c>
      <c r="J403" t="s">
        <v>33</v>
      </c>
      <c r="K403" t="str">
        <f>_xlfn.CONCAT(_xlfn.CONCAT(I403,"|"), J403)</f>
        <v>Todd|Jay</v>
      </c>
      <c r="L403">
        <v>0</v>
      </c>
      <c r="M403">
        <v>0</v>
      </c>
      <c r="N403">
        <v>0</v>
      </c>
    </row>
    <row r="404" spans="1:14" hidden="1" x14ac:dyDescent="0.2">
      <c r="A404">
        <v>2021</v>
      </c>
      <c r="B404">
        <v>5</v>
      </c>
      <c r="C404" t="s">
        <v>14</v>
      </c>
      <c r="D404" t="s">
        <v>27</v>
      </c>
      <c r="E404">
        <v>117.08</v>
      </c>
      <c r="F404">
        <v>111.12</v>
      </c>
      <c r="G404">
        <f>E404+F404</f>
        <v>228.2</v>
      </c>
      <c r="H404">
        <f>E404-F404</f>
        <v>5.9599999999999937</v>
      </c>
      <c r="I404" t="s">
        <v>16</v>
      </c>
      <c r="J404" t="s">
        <v>29</v>
      </c>
      <c r="K404" t="str">
        <f>_xlfn.CONCAT(_xlfn.CONCAT(I404,"|"), J404)</f>
        <v>Brenton|Eli</v>
      </c>
      <c r="L404">
        <v>0</v>
      </c>
      <c r="M404">
        <v>0</v>
      </c>
      <c r="N404">
        <v>0</v>
      </c>
    </row>
    <row r="405" spans="1:14" hidden="1" x14ac:dyDescent="0.2">
      <c r="A405">
        <v>2021</v>
      </c>
      <c r="B405">
        <v>5</v>
      </c>
      <c r="C405" t="s">
        <v>30</v>
      </c>
      <c r="D405" t="s">
        <v>23</v>
      </c>
      <c r="E405">
        <v>132.66</v>
      </c>
      <c r="F405">
        <v>126.78</v>
      </c>
      <c r="G405">
        <f>E405+F405</f>
        <v>259.44</v>
      </c>
      <c r="H405">
        <f>E405-F405</f>
        <v>5.8799999999999955</v>
      </c>
      <c r="I405" t="s">
        <v>32</v>
      </c>
      <c r="J405" t="s">
        <v>25</v>
      </c>
      <c r="K405" t="str">
        <f>_xlfn.CONCAT(_xlfn.CONCAT(I405,"|"), J405)</f>
        <v>Cam|Burnett</v>
      </c>
      <c r="L405">
        <v>0</v>
      </c>
      <c r="M405">
        <v>0</v>
      </c>
      <c r="N405">
        <v>0</v>
      </c>
    </row>
    <row r="406" spans="1:14" x14ac:dyDescent="0.2">
      <c r="A406">
        <v>2025</v>
      </c>
      <c r="B406">
        <v>13</v>
      </c>
      <c r="C406" t="s">
        <v>77</v>
      </c>
      <c r="D406" t="s">
        <v>526</v>
      </c>
      <c r="E406">
        <v>101.76</v>
      </c>
      <c r="F406">
        <v>96.44</v>
      </c>
      <c r="G406">
        <f>E406+F406</f>
        <v>198.2</v>
      </c>
      <c r="H406" s="329">
        <f>E406-F406</f>
        <v>5.3200000000000074</v>
      </c>
      <c r="I406" t="s">
        <v>45</v>
      </c>
      <c r="J406" t="s">
        <v>32</v>
      </c>
      <c r="K406" t="str">
        <f>_xlfn.CONCAT(_xlfn.CONCAT(I406,"|"), J406)</f>
        <v>Kevin|Cam</v>
      </c>
      <c r="L406">
        <v>0</v>
      </c>
      <c r="M406">
        <v>0</v>
      </c>
      <c r="N406">
        <v>0</v>
      </c>
    </row>
    <row r="407" spans="1:14" hidden="1" x14ac:dyDescent="0.2">
      <c r="A407">
        <v>2023</v>
      </c>
      <c r="B407">
        <v>1</v>
      </c>
      <c r="C407" t="s">
        <v>31</v>
      </c>
      <c r="D407" t="s">
        <v>14</v>
      </c>
      <c r="E407">
        <v>132.06</v>
      </c>
      <c r="F407">
        <v>126.24</v>
      </c>
      <c r="G407">
        <f>E407+F407</f>
        <v>258.3</v>
      </c>
      <c r="H407">
        <f>E407-F407</f>
        <v>5.8200000000000074</v>
      </c>
      <c r="I407" t="s">
        <v>33</v>
      </c>
      <c r="J407" t="s">
        <v>16</v>
      </c>
      <c r="K407" t="str">
        <f>_xlfn.CONCAT(_xlfn.CONCAT(I407,"|"), J407)</f>
        <v>Jay|Brenton</v>
      </c>
      <c r="L407">
        <v>0</v>
      </c>
      <c r="M407">
        <v>0</v>
      </c>
      <c r="N407">
        <v>0</v>
      </c>
    </row>
    <row r="408" spans="1:14" x14ac:dyDescent="0.2">
      <c r="A408">
        <v>2025</v>
      </c>
      <c r="B408">
        <v>4</v>
      </c>
      <c r="C408" t="s">
        <v>77</v>
      </c>
      <c r="D408" t="s">
        <v>14</v>
      </c>
      <c r="E408">
        <v>114.18</v>
      </c>
      <c r="F408">
        <v>106.18</v>
      </c>
      <c r="G408">
        <f>E408+F408</f>
        <v>220.36</v>
      </c>
      <c r="H408" s="329">
        <f>E408-F408</f>
        <v>8</v>
      </c>
      <c r="I408" t="s">
        <v>45</v>
      </c>
      <c r="J408" t="s">
        <v>16</v>
      </c>
      <c r="K408" t="str">
        <f>_xlfn.CONCAT(_xlfn.CONCAT(I408,"|"), J408)</f>
        <v>Kevin|Brenton</v>
      </c>
      <c r="L408">
        <v>0</v>
      </c>
      <c r="M408">
        <v>0</v>
      </c>
      <c r="N408">
        <v>0</v>
      </c>
    </row>
    <row r="409" spans="1:14" hidden="1" x14ac:dyDescent="0.2">
      <c r="A409">
        <v>2024</v>
      </c>
      <c r="B409">
        <v>9</v>
      </c>
      <c r="C409" t="s">
        <v>14</v>
      </c>
      <c r="D409" t="s">
        <v>35</v>
      </c>
      <c r="E409">
        <v>117.08</v>
      </c>
      <c r="F409">
        <v>111.38</v>
      </c>
      <c r="G409">
        <f>E409+F409</f>
        <v>228.45999999999998</v>
      </c>
      <c r="H409">
        <f>E409-F409</f>
        <v>5.7000000000000028</v>
      </c>
      <c r="I409" t="s">
        <v>16</v>
      </c>
      <c r="J409" t="s">
        <v>49</v>
      </c>
      <c r="K409" t="str">
        <f>_xlfn.CONCAT(_xlfn.CONCAT(I409,"|"), J409)</f>
        <v>Brenton|Brand</v>
      </c>
      <c r="L409">
        <v>0</v>
      </c>
      <c r="M409">
        <v>0</v>
      </c>
      <c r="N409">
        <v>0</v>
      </c>
    </row>
    <row r="410" spans="1:14" hidden="1" x14ac:dyDescent="0.2">
      <c r="A410">
        <v>2023</v>
      </c>
      <c r="B410">
        <v>1</v>
      </c>
      <c r="C410" t="s">
        <v>18</v>
      </c>
      <c r="D410" t="s">
        <v>50</v>
      </c>
      <c r="E410">
        <v>95.84</v>
      </c>
      <c r="F410">
        <v>90.24</v>
      </c>
      <c r="G410">
        <f>E410+F410</f>
        <v>186.07999999999998</v>
      </c>
      <c r="H410">
        <f>E410-F410</f>
        <v>5.6000000000000085</v>
      </c>
      <c r="I410" t="s">
        <v>20</v>
      </c>
      <c r="J410" t="s">
        <v>29</v>
      </c>
      <c r="K410" t="str">
        <f>_xlfn.CONCAT(_xlfn.CONCAT(I410,"|"), J410)</f>
        <v>Schulwolf|Eli</v>
      </c>
      <c r="L410">
        <v>0</v>
      </c>
      <c r="M410">
        <v>0</v>
      </c>
      <c r="N410">
        <v>0</v>
      </c>
    </row>
    <row r="411" spans="1:14" hidden="1" x14ac:dyDescent="0.2">
      <c r="A411">
        <v>2024</v>
      </c>
      <c r="B411">
        <v>2</v>
      </c>
      <c r="C411" t="s">
        <v>42</v>
      </c>
      <c r="D411" t="s">
        <v>14</v>
      </c>
      <c r="E411">
        <v>93.54</v>
      </c>
      <c r="F411">
        <v>88</v>
      </c>
      <c r="G411">
        <f>E411+F411</f>
        <v>181.54000000000002</v>
      </c>
      <c r="H411">
        <f>E411-F411</f>
        <v>5.5400000000000063</v>
      </c>
      <c r="I411" t="s">
        <v>17</v>
      </c>
      <c r="J411" t="s">
        <v>16</v>
      </c>
      <c r="K411" t="str">
        <f>_xlfn.CONCAT(_xlfn.CONCAT(I411,"|"), J411)</f>
        <v>Mike|Brenton</v>
      </c>
      <c r="L411">
        <v>0</v>
      </c>
      <c r="M411">
        <v>0</v>
      </c>
      <c r="N411">
        <v>0</v>
      </c>
    </row>
    <row r="412" spans="1:14" hidden="1" x14ac:dyDescent="0.2">
      <c r="A412">
        <v>2019</v>
      </c>
      <c r="B412">
        <v>15</v>
      </c>
      <c r="C412" t="s">
        <v>31</v>
      </c>
      <c r="D412" t="s">
        <v>55</v>
      </c>
      <c r="E412">
        <v>90.38</v>
      </c>
      <c r="F412">
        <v>82.14</v>
      </c>
      <c r="G412">
        <f>E412+F412</f>
        <v>172.51999999999998</v>
      </c>
      <c r="H412">
        <f>E412-F412</f>
        <v>8.2399999999999949</v>
      </c>
      <c r="I412" t="s">
        <v>33</v>
      </c>
      <c r="J412" t="s">
        <v>36</v>
      </c>
      <c r="K412" t="str">
        <f>_xlfn.CONCAT(_xlfn.CONCAT(I412,"|"), J412)</f>
        <v>Jay|Will</v>
      </c>
      <c r="L412">
        <v>1</v>
      </c>
      <c r="M412">
        <v>1</v>
      </c>
      <c r="N412">
        <v>0</v>
      </c>
    </row>
    <row r="413" spans="1:14" hidden="1" x14ac:dyDescent="0.2">
      <c r="A413">
        <v>2021</v>
      </c>
      <c r="B413">
        <v>8</v>
      </c>
      <c r="C413" t="s">
        <v>31</v>
      </c>
      <c r="D413" t="s">
        <v>22</v>
      </c>
      <c r="E413">
        <v>94.06</v>
      </c>
      <c r="F413">
        <v>88.6</v>
      </c>
      <c r="G413">
        <f>E413+F413</f>
        <v>182.66</v>
      </c>
      <c r="H413">
        <f>E413-F413</f>
        <v>5.460000000000008</v>
      </c>
      <c r="I413" t="s">
        <v>33</v>
      </c>
      <c r="J413" t="s">
        <v>24</v>
      </c>
      <c r="K413" t="str">
        <f>_xlfn.CONCAT(_xlfn.CONCAT(I413,"|"), J413)</f>
        <v>Jay|Jasjaap</v>
      </c>
      <c r="L413">
        <v>0</v>
      </c>
      <c r="M413">
        <v>0</v>
      </c>
      <c r="N413">
        <v>0</v>
      </c>
    </row>
    <row r="414" spans="1:14" hidden="1" x14ac:dyDescent="0.2">
      <c r="A414">
        <v>2014</v>
      </c>
      <c r="B414">
        <v>15</v>
      </c>
      <c r="C414" t="s">
        <v>64</v>
      </c>
      <c r="D414" t="s">
        <v>23</v>
      </c>
      <c r="E414">
        <v>105.28</v>
      </c>
      <c r="F414">
        <v>81.86</v>
      </c>
      <c r="G414">
        <f>E414+F414</f>
        <v>187.14</v>
      </c>
      <c r="H414">
        <f>E414-F414</f>
        <v>23.42</v>
      </c>
      <c r="I414" t="s">
        <v>28</v>
      </c>
      <c r="J414" t="s">
        <v>25</v>
      </c>
      <c r="K414" t="str">
        <f>_xlfn.CONCAT(_xlfn.CONCAT(I414,"|"), J414)</f>
        <v>Tommy|Burnett</v>
      </c>
      <c r="L414">
        <v>1</v>
      </c>
      <c r="M414">
        <v>1</v>
      </c>
      <c r="N414">
        <v>0</v>
      </c>
    </row>
    <row r="415" spans="1:14" hidden="1" x14ac:dyDescent="0.2">
      <c r="A415">
        <v>2017</v>
      </c>
      <c r="B415">
        <v>16</v>
      </c>
      <c r="C415" t="s">
        <v>59</v>
      </c>
      <c r="D415" t="s">
        <v>58</v>
      </c>
      <c r="E415">
        <v>112.26</v>
      </c>
      <c r="F415">
        <v>81.739999999999995</v>
      </c>
      <c r="G415">
        <f>E415+F415</f>
        <v>194</v>
      </c>
      <c r="H415">
        <f>E415-F415</f>
        <v>30.52000000000001</v>
      </c>
      <c r="I415" t="s">
        <v>32</v>
      </c>
      <c r="J415" t="s">
        <v>36</v>
      </c>
      <c r="K415" t="str">
        <f>_xlfn.CONCAT(_xlfn.CONCAT(I415,"|"), J415)</f>
        <v>Cam|Will</v>
      </c>
      <c r="L415">
        <v>1</v>
      </c>
      <c r="M415">
        <v>0</v>
      </c>
      <c r="N415">
        <v>0</v>
      </c>
    </row>
    <row r="416" spans="1:14" hidden="1" x14ac:dyDescent="0.2">
      <c r="A416">
        <v>2024</v>
      </c>
      <c r="B416">
        <v>3</v>
      </c>
      <c r="C416" t="s">
        <v>31</v>
      </c>
      <c r="D416" t="s">
        <v>42</v>
      </c>
      <c r="E416">
        <v>118.8</v>
      </c>
      <c r="F416">
        <v>113.38</v>
      </c>
      <c r="G416">
        <f>E416+F416</f>
        <v>232.18</v>
      </c>
      <c r="H416">
        <f>E416-F416</f>
        <v>5.4200000000000017</v>
      </c>
      <c r="I416" t="s">
        <v>33</v>
      </c>
      <c r="J416" t="s">
        <v>17</v>
      </c>
      <c r="K416" t="str">
        <f>_xlfn.CONCAT(_xlfn.CONCAT(I416,"|"), J416)</f>
        <v>Jay|Mike</v>
      </c>
      <c r="L416">
        <v>0</v>
      </c>
      <c r="M416">
        <v>0</v>
      </c>
      <c r="N416">
        <v>0</v>
      </c>
    </row>
    <row r="417" spans="1:14" x14ac:dyDescent="0.2">
      <c r="A417">
        <v>2025</v>
      </c>
      <c r="B417">
        <v>13</v>
      </c>
      <c r="C417" t="s">
        <v>35</v>
      </c>
      <c r="D417" t="s">
        <v>46</v>
      </c>
      <c r="E417">
        <v>129.1</v>
      </c>
      <c r="F417">
        <v>125.36</v>
      </c>
      <c r="G417">
        <f>E417+F417</f>
        <v>254.45999999999998</v>
      </c>
      <c r="H417">
        <f>E417-F417</f>
        <v>3.7399999999999949</v>
      </c>
      <c r="I417" t="s">
        <v>49</v>
      </c>
      <c r="J417" t="s">
        <v>47</v>
      </c>
      <c r="K417" t="str">
        <f>_xlfn.CONCAT(_xlfn.CONCAT(I417,"|"), J417)</f>
        <v>Brand|Burnett/Jasjaap</v>
      </c>
      <c r="L417">
        <v>0</v>
      </c>
      <c r="M417">
        <v>0</v>
      </c>
      <c r="N417">
        <v>0</v>
      </c>
    </row>
    <row r="418" spans="1:14" hidden="1" x14ac:dyDescent="0.2">
      <c r="A418">
        <v>2024</v>
      </c>
      <c r="B418">
        <v>11</v>
      </c>
      <c r="C418" t="s">
        <v>35</v>
      </c>
      <c r="D418" t="s">
        <v>74</v>
      </c>
      <c r="E418">
        <v>102.32</v>
      </c>
      <c r="F418">
        <v>96.94</v>
      </c>
      <c r="G418">
        <f>E418+F418</f>
        <v>199.26</v>
      </c>
      <c r="H418">
        <f>E418-F418</f>
        <v>5.3799999999999955</v>
      </c>
      <c r="I418" t="s">
        <v>49</v>
      </c>
      <c r="J418" t="s">
        <v>29</v>
      </c>
      <c r="K418" t="str">
        <f>_xlfn.CONCAT(_xlfn.CONCAT(I418,"|"), J418)</f>
        <v>Brand|Eli</v>
      </c>
      <c r="L418">
        <v>0</v>
      </c>
      <c r="M418">
        <v>0</v>
      </c>
      <c r="N418">
        <v>0</v>
      </c>
    </row>
    <row r="419" spans="1:14" x14ac:dyDescent="0.2">
      <c r="A419">
        <v>2025</v>
      </c>
      <c r="B419">
        <v>5</v>
      </c>
      <c r="C419" t="s">
        <v>35</v>
      </c>
      <c r="D419" t="s">
        <v>26</v>
      </c>
      <c r="E419">
        <v>114.6</v>
      </c>
      <c r="F419">
        <v>113.58</v>
      </c>
      <c r="G419">
        <f>E419+F419</f>
        <v>228.18</v>
      </c>
      <c r="H419">
        <f>E419-F419</f>
        <v>1.019999999999996</v>
      </c>
      <c r="I419" t="s">
        <v>49</v>
      </c>
      <c r="J419" t="s">
        <v>28</v>
      </c>
      <c r="K419" t="str">
        <f>_xlfn.CONCAT(_xlfn.CONCAT(I419,"|"), J419)</f>
        <v>Brand|Tommy</v>
      </c>
      <c r="L419">
        <v>0</v>
      </c>
      <c r="M419">
        <v>0</v>
      </c>
      <c r="N419">
        <v>0</v>
      </c>
    </row>
    <row r="420" spans="1:14" x14ac:dyDescent="0.2">
      <c r="A420">
        <v>2025</v>
      </c>
      <c r="B420">
        <v>4</v>
      </c>
      <c r="C420" t="s">
        <v>35</v>
      </c>
      <c r="D420" t="s">
        <v>526</v>
      </c>
      <c r="E420">
        <v>120.1</v>
      </c>
      <c r="F420">
        <v>115.08</v>
      </c>
      <c r="G420">
        <f>E420+F420</f>
        <v>235.18</v>
      </c>
      <c r="H420">
        <f>E420-F420</f>
        <v>5.019999999999996</v>
      </c>
      <c r="I420" t="s">
        <v>49</v>
      </c>
      <c r="J420" t="s">
        <v>32</v>
      </c>
      <c r="K420" t="str">
        <f>_xlfn.CONCAT(_xlfn.CONCAT(I420,"|"), J420)</f>
        <v>Brand|Cam</v>
      </c>
      <c r="L420">
        <v>0</v>
      </c>
      <c r="M420">
        <v>0</v>
      </c>
      <c r="N420">
        <v>0</v>
      </c>
    </row>
    <row r="421" spans="1:14" hidden="1" x14ac:dyDescent="0.2">
      <c r="A421">
        <v>2024</v>
      </c>
      <c r="B421">
        <v>11</v>
      </c>
      <c r="C421" t="s">
        <v>14</v>
      </c>
      <c r="D421" t="s">
        <v>75</v>
      </c>
      <c r="E421">
        <v>128.22</v>
      </c>
      <c r="F421">
        <v>123.1</v>
      </c>
      <c r="G421">
        <f>E421+F421</f>
        <v>251.32</v>
      </c>
      <c r="H421">
        <f>E421-F421</f>
        <v>5.1200000000000045</v>
      </c>
      <c r="I421" t="s">
        <v>16</v>
      </c>
      <c r="J421" t="s">
        <v>36</v>
      </c>
      <c r="K421" t="str">
        <f>_xlfn.CONCAT(_xlfn.CONCAT(I421,"|"), J421)</f>
        <v>Brenton|Will</v>
      </c>
      <c r="L421">
        <v>0</v>
      </c>
      <c r="M421">
        <v>0</v>
      </c>
      <c r="N421">
        <v>0</v>
      </c>
    </row>
    <row r="422" spans="1:14" x14ac:dyDescent="0.2">
      <c r="A422">
        <v>2025</v>
      </c>
      <c r="B422">
        <v>8</v>
      </c>
      <c r="C422" t="s">
        <v>35</v>
      </c>
      <c r="D422" t="s">
        <v>14</v>
      </c>
      <c r="E422">
        <v>109.56</v>
      </c>
      <c r="F422">
        <v>102.02</v>
      </c>
      <c r="G422">
        <f>E422+F422</f>
        <v>211.57999999999998</v>
      </c>
      <c r="H422">
        <f>E422-F422</f>
        <v>7.5400000000000063</v>
      </c>
      <c r="I422" t="s">
        <v>49</v>
      </c>
      <c r="J422" t="s">
        <v>16</v>
      </c>
      <c r="K422" t="str">
        <f>_xlfn.CONCAT(_xlfn.CONCAT(I422,"|"), J422)</f>
        <v>Brand|Brenton</v>
      </c>
      <c r="L422">
        <v>0</v>
      </c>
      <c r="M422">
        <v>0</v>
      </c>
      <c r="N422">
        <v>0</v>
      </c>
    </row>
    <row r="423" spans="1:14" hidden="1" x14ac:dyDescent="0.2">
      <c r="A423">
        <v>2021</v>
      </c>
      <c r="B423">
        <v>2</v>
      </c>
      <c r="C423" t="s">
        <v>26</v>
      </c>
      <c r="D423" t="s">
        <v>31</v>
      </c>
      <c r="E423">
        <v>104.94</v>
      </c>
      <c r="F423">
        <v>99.98</v>
      </c>
      <c r="G423">
        <f>E423+F423</f>
        <v>204.92000000000002</v>
      </c>
      <c r="H423">
        <f>E423-F423</f>
        <v>4.9599999999999937</v>
      </c>
      <c r="I423" t="s">
        <v>28</v>
      </c>
      <c r="J423" t="s">
        <v>33</v>
      </c>
      <c r="K423" t="str">
        <f>_xlfn.CONCAT(_xlfn.CONCAT(I423,"|"), J423)</f>
        <v>Tommy|Jay</v>
      </c>
      <c r="L423">
        <v>0</v>
      </c>
      <c r="M423">
        <v>0</v>
      </c>
      <c r="N423">
        <v>0</v>
      </c>
    </row>
    <row r="424" spans="1:14" hidden="1" x14ac:dyDescent="0.2">
      <c r="A424">
        <v>2022</v>
      </c>
      <c r="B424">
        <v>16</v>
      </c>
      <c r="C424" t="s">
        <v>43</v>
      </c>
      <c r="D424" t="s">
        <v>14</v>
      </c>
      <c r="E424">
        <v>159.18</v>
      </c>
      <c r="F424">
        <v>92.96</v>
      </c>
      <c r="G424">
        <f>E424+F424</f>
        <v>252.14</v>
      </c>
      <c r="H424">
        <f>E424-F424</f>
        <v>66.220000000000013</v>
      </c>
      <c r="I424" t="s">
        <v>21</v>
      </c>
      <c r="J424" t="s">
        <v>16</v>
      </c>
      <c r="K424" t="str">
        <f>_xlfn.CONCAT(_xlfn.CONCAT(I424,"|"), J424)</f>
        <v>Todd|Brenton</v>
      </c>
      <c r="L424">
        <v>1</v>
      </c>
      <c r="M424">
        <v>1</v>
      </c>
      <c r="N424">
        <v>0</v>
      </c>
    </row>
    <row r="425" spans="1:14" hidden="1" x14ac:dyDescent="0.2">
      <c r="A425">
        <v>2024</v>
      </c>
      <c r="B425">
        <v>11</v>
      </c>
      <c r="C425" t="s">
        <v>76</v>
      </c>
      <c r="D425" t="s">
        <v>18</v>
      </c>
      <c r="E425">
        <v>115.14</v>
      </c>
      <c r="F425">
        <v>110.44</v>
      </c>
      <c r="G425">
        <f>E425+F425</f>
        <v>225.57999999999998</v>
      </c>
      <c r="H425">
        <f>E425-F425</f>
        <v>4.7000000000000028</v>
      </c>
      <c r="I425" t="s">
        <v>32</v>
      </c>
      <c r="J425" t="s">
        <v>20</v>
      </c>
      <c r="K425" t="str">
        <f>_xlfn.CONCAT(_xlfn.CONCAT(I425,"|"), J425)</f>
        <v>Cam|Schulwolf</v>
      </c>
      <c r="L425">
        <v>0</v>
      </c>
      <c r="M425">
        <v>0</v>
      </c>
      <c r="N425">
        <v>0</v>
      </c>
    </row>
    <row r="426" spans="1:14" hidden="1" x14ac:dyDescent="0.2">
      <c r="A426">
        <v>2024</v>
      </c>
      <c r="B426">
        <v>7</v>
      </c>
      <c r="C426" t="s">
        <v>46</v>
      </c>
      <c r="D426" t="s">
        <v>75</v>
      </c>
      <c r="E426">
        <v>99.98</v>
      </c>
      <c r="F426">
        <v>95.28</v>
      </c>
      <c r="G426">
        <f>E426+F426</f>
        <v>195.26</v>
      </c>
      <c r="H426">
        <f>E426-F426</f>
        <v>4.7000000000000028</v>
      </c>
      <c r="I426" t="s">
        <v>47</v>
      </c>
      <c r="J426" t="s">
        <v>36</v>
      </c>
      <c r="K426" t="str">
        <f>_xlfn.CONCAT(_xlfn.CONCAT(I426,"|"), J426)</f>
        <v>Burnett/Jasjaap|Will</v>
      </c>
      <c r="L426">
        <v>0</v>
      </c>
      <c r="M426">
        <v>0</v>
      </c>
      <c r="N426">
        <v>0</v>
      </c>
    </row>
    <row r="427" spans="1:14" hidden="1" x14ac:dyDescent="0.2">
      <c r="A427">
        <v>2021</v>
      </c>
      <c r="B427">
        <v>9</v>
      </c>
      <c r="C427" t="s">
        <v>18</v>
      </c>
      <c r="D427" t="s">
        <v>30</v>
      </c>
      <c r="E427">
        <v>87.88</v>
      </c>
      <c r="F427">
        <v>83.18</v>
      </c>
      <c r="G427">
        <f>E427+F427</f>
        <v>171.06</v>
      </c>
      <c r="H427">
        <f>E427-F427</f>
        <v>4.6999999999999886</v>
      </c>
      <c r="I427" t="s">
        <v>20</v>
      </c>
      <c r="J427" t="s">
        <v>32</v>
      </c>
      <c r="K427" t="str">
        <f>_xlfn.CONCAT(_xlfn.CONCAT(I427,"|"), J427)</f>
        <v>Schulwolf|Cam</v>
      </c>
      <c r="L427">
        <v>0</v>
      </c>
      <c r="M427">
        <v>0</v>
      </c>
      <c r="N427">
        <v>0</v>
      </c>
    </row>
    <row r="428" spans="1:14" hidden="1" x14ac:dyDescent="0.2">
      <c r="A428">
        <v>2021</v>
      </c>
      <c r="B428">
        <v>9</v>
      </c>
      <c r="C428" t="s">
        <v>35</v>
      </c>
      <c r="D428" t="s">
        <v>19</v>
      </c>
      <c r="E428">
        <v>102.44</v>
      </c>
      <c r="F428">
        <v>97.86</v>
      </c>
      <c r="G428">
        <f>E428+F428</f>
        <v>200.3</v>
      </c>
      <c r="H428">
        <f>E428-F428</f>
        <v>4.5799999999999983</v>
      </c>
      <c r="I428" t="s">
        <v>37</v>
      </c>
      <c r="J428" t="s">
        <v>21</v>
      </c>
      <c r="K428" t="str">
        <f>_xlfn.CONCAT(_xlfn.CONCAT(I428,"|"), J428)</f>
        <v>Brand/Kevin|Todd</v>
      </c>
      <c r="L428">
        <v>0</v>
      </c>
      <c r="M428">
        <v>0</v>
      </c>
      <c r="N428">
        <v>0</v>
      </c>
    </row>
    <row r="429" spans="1:14" hidden="1" x14ac:dyDescent="0.2">
      <c r="A429">
        <v>2024</v>
      </c>
      <c r="B429">
        <v>10</v>
      </c>
      <c r="C429" t="s">
        <v>74</v>
      </c>
      <c r="D429" t="s">
        <v>18</v>
      </c>
      <c r="E429">
        <v>101.48</v>
      </c>
      <c r="F429">
        <v>97.08</v>
      </c>
      <c r="G429">
        <f>E429+F429</f>
        <v>198.56</v>
      </c>
      <c r="H429">
        <f>E429-F429</f>
        <v>4.4000000000000057</v>
      </c>
      <c r="I429" t="s">
        <v>29</v>
      </c>
      <c r="J429" t="s">
        <v>20</v>
      </c>
      <c r="K429" t="str">
        <f>_xlfn.CONCAT(_xlfn.CONCAT(I429,"|"), J429)</f>
        <v>Eli|Schulwolf</v>
      </c>
      <c r="L429">
        <v>0</v>
      </c>
      <c r="M429">
        <v>0</v>
      </c>
      <c r="N429">
        <v>0</v>
      </c>
    </row>
    <row r="430" spans="1:14" x14ac:dyDescent="0.2">
      <c r="A430">
        <v>2025</v>
      </c>
      <c r="B430">
        <v>13</v>
      </c>
      <c r="C430" t="s">
        <v>31</v>
      </c>
      <c r="D430" t="s">
        <v>42</v>
      </c>
      <c r="E430">
        <v>112.44</v>
      </c>
      <c r="F430">
        <v>110.4</v>
      </c>
      <c r="G430">
        <f>E430+F430</f>
        <v>222.84</v>
      </c>
      <c r="H430">
        <f>E430-F430</f>
        <v>2.039999999999992</v>
      </c>
      <c r="I430" t="s">
        <v>33</v>
      </c>
      <c r="J430" t="s">
        <v>17</v>
      </c>
      <c r="K430" t="str">
        <f>_xlfn.CONCAT(_xlfn.CONCAT(I430,"|"), J430)</f>
        <v>Jay|Mike</v>
      </c>
      <c r="L430">
        <v>0</v>
      </c>
      <c r="M430">
        <v>0</v>
      </c>
      <c r="N430">
        <v>0</v>
      </c>
    </row>
    <row r="431" spans="1:14" hidden="1" x14ac:dyDescent="0.2">
      <c r="A431">
        <v>2022</v>
      </c>
      <c r="B431">
        <v>2</v>
      </c>
      <c r="C431" t="s">
        <v>38</v>
      </c>
      <c r="D431" t="s">
        <v>22</v>
      </c>
      <c r="E431">
        <v>137.22</v>
      </c>
      <c r="F431">
        <v>132.86000000000001</v>
      </c>
      <c r="G431">
        <f>E431+F431</f>
        <v>270.08000000000004</v>
      </c>
      <c r="H431">
        <f>E431-F431</f>
        <v>4.3599999999999852</v>
      </c>
      <c r="I431" t="s">
        <v>36</v>
      </c>
      <c r="J431" t="s">
        <v>24</v>
      </c>
      <c r="K431" t="str">
        <f>_xlfn.CONCAT(_xlfn.CONCAT(I431,"|"), J431)</f>
        <v>Will|Jasjaap</v>
      </c>
      <c r="L431">
        <v>0</v>
      </c>
      <c r="M431">
        <v>0</v>
      </c>
      <c r="N431">
        <v>0</v>
      </c>
    </row>
    <row r="432" spans="1:14" hidden="1" x14ac:dyDescent="0.2">
      <c r="A432">
        <v>2023</v>
      </c>
      <c r="B432">
        <v>5</v>
      </c>
      <c r="C432" t="s">
        <v>48</v>
      </c>
      <c r="D432" t="s">
        <v>26</v>
      </c>
      <c r="E432">
        <v>120.84</v>
      </c>
      <c r="F432">
        <v>116.52</v>
      </c>
      <c r="G432">
        <f>E432+F432</f>
        <v>237.36</v>
      </c>
      <c r="H432">
        <f>E432-F432</f>
        <v>4.3200000000000074</v>
      </c>
      <c r="I432" t="s">
        <v>36</v>
      </c>
      <c r="J432" t="s">
        <v>28</v>
      </c>
      <c r="K432" t="str">
        <f>_xlfn.CONCAT(_xlfn.CONCAT(I432,"|"), J432)</f>
        <v>Will|Tommy</v>
      </c>
      <c r="L432">
        <v>0</v>
      </c>
      <c r="M432">
        <v>0</v>
      </c>
      <c r="N432">
        <v>0</v>
      </c>
    </row>
    <row r="433" spans="1:14" hidden="1" x14ac:dyDescent="0.2">
      <c r="A433">
        <v>2022</v>
      </c>
      <c r="B433">
        <v>3</v>
      </c>
      <c r="C433" t="s">
        <v>31</v>
      </c>
      <c r="D433" t="s">
        <v>42</v>
      </c>
      <c r="E433">
        <v>108.56</v>
      </c>
      <c r="F433">
        <v>104.4</v>
      </c>
      <c r="G433">
        <f>E433+F433</f>
        <v>212.96</v>
      </c>
      <c r="H433">
        <f>E433-F433</f>
        <v>4.1599999999999966</v>
      </c>
      <c r="I433" t="s">
        <v>41</v>
      </c>
      <c r="J433" t="s">
        <v>17</v>
      </c>
      <c r="K433" t="str">
        <f>_xlfn.CONCAT(_xlfn.CONCAT(I433,"|"), J433)</f>
        <v>Jay/Brand|Mike</v>
      </c>
      <c r="L433">
        <v>0</v>
      </c>
      <c r="M433">
        <v>0</v>
      </c>
      <c r="N433">
        <v>0</v>
      </c>
    </row>
    <row r="434" spans="1:14" hidden="1" x14ac:dyDescent="0.2">
      <c r="A434">
        <v>2024</v>
      </c>
      <c r="B434">
        <v>10</v>
      </c>
      <c r="C434" t="s">
        <v>42</v>
      </c>
      <c r="D434" t="s">
        <v>75</v>
      </c>
      <c r="E434">
        <v>117.34</v>
      </c>
      <c r="F434">
        <v>113.2</v>
      </c>
      <c r="G434">
        <f>E434+F434</f>
        <v>230.54000000000002</v>
      </c>
      <c r="H434">
        <f>E434-F434</f>
        <v>4.1400000000000006</v>
      </c>
      <c r="I434" t="s">
        <v>17</v>
      </c>
      <c r="J434" t="s">
        <v>36</v>
      </c>
      <c r="K434" t="str">
        <f>_xlfn.CONCAT(_xlfn.CONCAT(I434,"|"), J434)</f>
        <v>Mike|Will</v>
      </c>
      <c r="L434">
        <v>0</v>
      </c>
      <c r="M434">
        <v>0</v>
      </c>
      <c r="N434">
        <v>0</v>
      </c>
    </row>
    <row r="435" spans="1:14" hidden="1" x14ac:dyDescent="0.2">
      <c r="A435">
        <v>2024</v>
      </c>
      <c r="B435">
        <v>8</v>
      </c>
      <c r="C435" t="s">
        <v>18</v>
      </c>
      <c r="D435" t="s">
        <v>14</v>
      </c>
      <c r="E435">
        <v>124.94</v>
      </c>
      <c r="F435">
        <v>120.82</v>
      </c>
      <c r="G435">
        <f>E435+F435</f>
        <v>245.76</v>
      </c>
      <c r="H435">
        <f>E435-F435</f>
        <v>4.1200000000000045</v>
      </c>
      <c r="I435" t="s">
        <v>20</v>
      </c>
      <c r="J435" t="s">
        <v>16</v>
      </c>
      <c r="K435" t="str">
        <f>_xlfn.CONCAT(_xlfn.CONCAT(I435,"|"), J435)</f>
        <v>Schulwolf|Brenton</v>
      </c>
      <c r="L435">
        <v>0</v>
      </c>
      <c r="M435">
        <v>0</v>
      </c>
      <c r="N435">
        <v>0</v>
      </c>
    </row>
    <row r="436" spans="1:14" x14ac:dyDescent="0.2">
      <c r="A436">
        <v>2025</v>
      </c>
      <c r="B436">
        <v>9</v>
      </c>
      <c r="C436" t="s">
        <v>526</v>
      </c>
      <c r="D436" t="s">
        <v>42</v>
      </c>
      <c r="E436">
        <v>116.3</v>
      </c>
      <c r="F436">
        <v>109.6</v>
      </c>
      <c r="G436">
        <f>E436+F436</f>
        <v>225.89999999999998</v>
      </c>
      <c r="H436">
        <f>E436-F436</f>
        <v>6.7000000000000028</v>
      </c>
      <c r="I436" t="s">
        <v>32</v>
      </c>
      <c r="J436" t="s">
        <v>17</v>
      </c>
      <c r="K436" t="str">
        <f>_xlfn.CONCAT(_xlfn.CONCAT(I436,"|"), J436)</f>
        <v>Cam|Mike</v>
      </c>
      <c r="L436">
        <v>0</v>
      </c>
      <c r="M436">
        <v>0</v>
      </c>
      <c r="N436">
        <v>0</v>
      </c>
    </row>
    <row r="437" spans="1:14" hidden="1" x14ac:dyDescent="0.2">
      <c r="A437">
        <v>2019</v>
      </c>
      <c r="B437">
        <v>16</v>
      </c>
      <c r="C437" t="s">
        <v>26</v>
      </c>
      <c r="D437" t="s">
        <v>55</v>
      </c>
      <c r="E437">
        <v>106.96</v>
      </c>
      <c r="F437">
        <v>78.16</v>
      </c>
      <c r="G437">
        <f>E437+F437</f>
        <v>185.12</v>
      </c>
      <c r="H437">
        <f>E437-F437</f>
        <v>28.799999999999997</v>
      </c>
      <c r="I437" t="s">
        <v>28</v>
      </c>
      <c r="J437" t="s">
        <v>36</v>
      </c>
      <c r="K437" t="str">
        <f>_xlfn.CONCAT(_xlfn.CONCAT(I437,"|"), J437)</f>
        <v>Tommy|Will</v>
      </c>
      <c r="L437">
        <v>1</v>
      </c>
      <c r="M437">
        <v>0</v>
      </c>
      <c r="N437">
        <v>0</v>
      </c>
    </row>
    <row r="438" spans="1:14" hidden="1" x14ac:dyDescent="0.2">
      <c r="A438">
        <v>2023</v>
      </c>
      <c r="B438">
        <v>16</v>
      </c>
      <c r="C438" t="s">
        <v>48</v>
      </c>
      <c r="D438" t="s">
        <v>26</v>
      </c>
      <c r="E438">
        <v>124.22</v>
      </c>
      <c r="F438">
        <v>90.04</v>
      </c>
      <c r="G438">
        <f>E438+F438</f>
        <v>214.26</v>
      </c>
      <c r="H438">
        <f>E438-F438</f>
        <v>34.179999999999993</v>
      </c>
      <c r="I438" t="s">
        <v>36</v>
      </c>
      <c r="J438" t="s">
        <v>28</v>
      </c>
      <c r="K438" t="str">
        <f>_xlfn.CONCAT(_xlfn.CONCAT(I438,"|"), J438)</f>
        <v>Will|Tommy</v>
      </c>
      <c r="L438">
        <v>1</v>
      </c>
      <c r="M438">
        <v>1</v>
      </c>
      <c r="N438">
        <v>0</v>
      </c>
    </row>
    <row r="439" spans="1:14" hidden="1" x14ac:dyDescent="0.2">
      <c r="A439">
        <v>2023</v>
      </c>
      <c r="B439">
        <v>2</v>
      </c>
      <c r="C439" t="s">
        <v>26</v>
      </c>
      <c r="D439" t="s">
        <v>14</v>
      </c>
      <c r="E439">
        <v>146.47999999999999</v>
      </c>
      <c r="F439">
        <v>142.56</v>
      </c>
      <c r="G439">
        <f>E439+F439</f>
        <v>289.03999999999996</v>
      </c>
      <c r="H439">
        <f>E439-F439</f>
        <v>3.9199999999999875</v>
      </c>
      <c r="I439" t="s">
        <v>28</v>
      </c>
      <c r="J439" t="s">
        <v>16</v>
      </c>
      <c r="K439" t="str">
        <f>_xlfn.CONCAT(_xlfn.CONCAT(I439,"|"), J439)</f>
        <v>Tommy|Brenton</v>
      </c>
      <c r="L439">
        <v>0</v>
      </c>
      <c r="M439">
        <v>0</v>
      </c>
      <c r="N439">
        <v>0</v>
      </c>
    </row>
    <row r="440" spans="1:14" x14ac:dyDescent="0.2">
      <c r="A440">
        <v>2025</v>
      </c>
      <c r="B440">
        <v>6</v>
      </c>
      <c r="C440" t="s">
        <v>526</v>
      </c>
      <c r="D440" t="s">
        <v>14</v>
      </c>
      <c r="E440">
        <v>102.98</v>
      </c>
      <c r="F440">
        <v>93.1</v>
      </c>
      <c r="G440">
        <f>E440+F440</f>
        <v>196.07999999999998</v>
      </c>
      <c r="H440">
        <f>E440-F440</f>
        <v>9.8800000000000097</v>
      </c>
      <c r="I440" t="s">
        <v>32</v>
      </c>
      <c r="J440" t="s">
        <v>16</v>
      </c>
      <c r="K440" t="str">
        <f>_xlfn.CONCAT(_xlfn.CONCAT(I440,"|"), J440)</f>
        <v>Cam|Brenton</v>
      </c>
      <c r="L440">
        <v>0</v>
      </c>
      <c r="M440">
        <v>0</v>
      </c>
      <c r="N440">
        <v>0</v>
      </c>
    </row>
    <row r="441" spans="1:14" x14ac:dyDescent="0.2">
      <c r="A441">
        <v>2025</v>
      </c>
      <c r="B441">
        <v>5</v>
      </c>
      <c r="C441" t="s">
        <v>526</v>
      </c>
      <c r="D441" t="s">
        <v>524</v>
      </c>
      <c r="E441">
        <v>111.42</v>
      </c>
      <c r="F441">
        <v>101.84</v>
      </c>
      <c r="G441">
        <f>E441+F441</f>
        <v>213.26</v>
      </c>
      <c r="H441">
        <f>E441-F441</f>
        <v>9.5799999999999983</v>
      </c>
      <c r="I441" t="s">
        <v>32</v>
      </c>
      <c r="J441" t="s">
        <v>21</v>
      </c>
      <c r="K441" t="str">
        <f>_xlfn.CONCAT(_xlfn.CONCAT(I441,"|"), J441)</f>
        <v>Cam|Todd</v>
      </c>
      <c r="L441">
        <v>0</v>
      </c>
      <c r="M441">
        <v>0</v>
      </c>
      <c r="N441">
        <v>0</v>
      </c>
    </row>
    <row r="442" spans="1:14" hidden="1" x14ac:dyDescent="0.2">
      <c r="A442">
        <v>2022</v>
      </c>
      <c r="B442">
        <v>2</v>
      </c>
      <c r="C442" t="s">
        <v>44</v>
      </c>
      <c r="D442" t="s">
        <v>26</v>
      </c>
      <c r="E442">
        <v>112.1</v>
      </c>
      <c r="F442">
        <v>108.38</v>
      </c>
      <c r="G442">
        <f>E442+F442</f>
        <v>220.48</v>
      </c>
      <c r="H442">
        <f>E442-F442</f>
        <v>3.7199999999999989</v>
      </c>
      <c r="I442" t="s">
        <v>45</v>
      </c>
      <c r="J442" t="s">
        <v>28</v>
      </c>
      <c r="K442" t="str">
        <f>_xlfn.CONCAT(_xlfn.CONCAT(I442,"|"), J442)</f>
        <v>Kevin|Tommy</v>
      </c>
      <c r="L442">
        <v>0</v>
      </c>
      <c r="M442">
        <v>0</v>
      </c>
      <c r="N442">
        <v>0</v>
      </c>
    </row>
    <row r="443" spans="1:14" hidden="1" x14ac:dyDescent="0.2">
      <c r="A443">
        <v>2015</v>
      </c>
      <c r="B443">
        <v>16</v>
      </c>
      <c r="C443" t="s">
        <v>31</v>
      </c>
      <c r="D443" t="s">
        <v>63</v>
      </c>
      <c r="E443">
        <v>92.04</v>
      </c>
      <c r="F443">
        <v>77.14</v>
      </c>
      <c r="G443">
        <f>E443+F443</f>
        <v>169.18</v>
      </c>
      <c r="H443">
        <f>E443-F443</f>
        <v>14.900000000000006</v>
      </c>
      <c r="I443" t="s">
        <v>33</v>
      </c>
      <c r="J443" t="s">
        <v>29</v>
      </c>
      <c r="K443" t="str">
        <f>_xlfn.CONCAT(_xlfn.CONCAT(I443,"|"), J443)</f>
        <v>Jay|Eli</v>
      </c>
      <c r="L443">
        <v>1</v>
      </c>
      <c r="M443">
        <v>0</v>
      </c>
      <c r="N443">
        <v>1</v>
      </c>
    </row>
    <row r="444" spans="1:14" hidden="1" x14ac:dyDescent="0.2">
      <c r="A444">
        <v>2022</v>
      </c>
      <c r="B444">
        <v>10</v>
      </c>
      <c r="C444" t="s">
        <v>22</v>
      </c>
      <c r="D444" t="s">
        <v>44</v>
      </c>
      <c r="E444">
        <v>100.14</v>
      </c>
      <c r="F444">
        <v>96.54</v>
      </c>
      <c r="G444">
        <f>E444+F444</f>
        <v>196.68</v>
      </c>
      <c r="H444">
        <f>E444-F444</f>
        <v>3.5999999999999943</v>
      </c>
      <c r="I444" t="s">
        <v>24</v>
      </c>
      <c r="J444" t="s">
        <v>45</v>
      </c>
      <c r="K444" t="str">
        <f>_xlfn.CONCAT(_xlfn.CONCAT(I444,"|"), J444)</f>
        <v>Jasjaap|Kevin</v>
      </c>
      <c r="L444">
        <v>0</v>
      </c>
      <c r="M444">
        <v>0</v>
      </c>
      <c r="N444">
        <v>0</v>
      </c>
    </row>
    <row r="445" spans="1:14" hidden="1" x14ac:dyDescent="0.2">
      <c r="A445">
        <v>2022</v>
      </c>
      <c r="B445">
        <v>13</v>
      </c>
      <c r="C445" t="s">
        <v>18</v>
      </c>
      <c r="D445" t="s">
        <v>43</v>
      </c>
      <c r="E445">
        <v>112.58</v>
      </c>
      <c r="F445">
        <v>109.02</v>
      </c>
      <c r="G445">
        <f>E445+F445</f>
        <v>221.6</v>
      </c>
      <c r="H445">
        <f>E445-F445</f>
        <v>3.5600000000000023</v>
      </c>
      <c r="I445" t="s">
        <v>20</v>
      </c>
      <c r="J445" t="s">
        <v>21</v>
      </c>
      <c r="K445" t="str">
        <f>_xlfn.CONCAT(_xlfn.CONCAT(I445,"|"), J445)</f>
        <v>Schulwolf|Todd</v>
      </c>
      <c r="L445">
        <v>0</v>
      </c>
      <c r="M445">
        <v>0</v>
      </c>
      <c r="N445">
        <v>0</v>
      </c>
    </row>
    <row r="446" spans="1:14" hidden="1" x14ac:dyDescent="0.2">
      <c r="A446">
        <v>2024</v>
      </c>
      <c r="B446">
        <v>8</v>
      </c>
      <c r="C446" t="s">
        <v>77</v>
      </c>
      <c r="D446" t="s">
        <v>75</v>
      </c>
      <c r="E446">
        <v>105.2</v>
      </c>
      <c r="F446">
        <v>101.64</v>
      </c>
      <c r="G446">
        <f>E446+F446</f>
        <v>206.84</v>
      </c>
      <c r="H446">
        <f>E446-F446</f>
        <v>3.5600000000000023</v>
      </c>
      <c r="I446" t="s">
        <v>45</v>
      </c>
      <c r="J446" t="s">
        <v>36</v>
      </c>
      <c r="K446" t="str">
        <f>_xlfn.CONCAT(_xlfn.CONCAT(I446,"|"), J446)</f>
        <v>Kevin|Will</v>
      </c>
      <c r="L446">
        <v>0</v>
      </c>
      <c r="M446">
        <v>0</v>
      </c>
      <c r="N446">
        <v>0</v>
      </c>
    </row>
    <row r="447" spans="1:14" hidden="1" x14ac:dyDescent="0.2">
      <c r="A447">
        <v>2018</v>
      </c>
      <c r="B447">
        <v>15</v>
      </c>
      <c r="C447" t="s">
        <v>23</v>
      </c>
      <c r="D447" t="s">
        <v>56</v>
      </c>
      <c r="E447">
        <v>107.76</v>
      </c>
      <c r="F447">
        <v>75.84</v>
      </c>
      <c r="G447">
        <f>E447+F447</f>
        <v>183.60000000000002</v>
      </c>
      <c r="H447">
        <f>E447-F447</f>
        <v>31.92</v>
      </c>
      <c r="I447" t="s">
        <v>25</v>
      </c>
      <c r="J447" t="s">
        <v>29</v>
      </c>
      <c r="K447" t="str">
        <f>_xlfn.CONCAT(_xlfn.CONCAT(I447,"|"), J447)</f>
        <v>Burnett|Eli</v>
      </c>
      <c r="L447">
        <v>1</v>
      </c>
      <c r="M447">
        <v>1</v>
      </c>
      <c r="N447">
        <v>0</v>
      </c>
    </row>
    <row r="448" spans="1:14" hidden="1" x14ac:dyDescent="0.2">
      <c r="A448">
        <v>2017</v>
      </c>
      <c r="B448">
        <v>16</v>
      </c>
      <c r="C448" t="s">
        <v>18</v>
      </c>
      <c r="D448" t="s">
        <v>56</v>
      </c>
      <c r="E448">
        <v>141.82</v>
      </c>
      <c r="F448">
        <v>75.260000000000005</v>
      </c>
      <c r="G448">
        <f>E448+F448</f>
        <v>217.07999999999998</v>
      </c>
      <c r="H448">
        <f>E448-F448</f>
        <v>66.559999999999988</v>
      </c>
      <c r="I448" t="s">
        <v>20</v>
      </c>
      <c r="J448" t="s">
        <v>29</v>
      </c>
      <c r="K448" t="str">
        <f>_xlfn.CONCAT(_xlfn.CONCAT(I448,"|"), J448)</f>
        <v>Schulwolf|Eli</v>
      </c>
      <c r="L448">
        <v>1</v>
      </c>
      <c r="M448">
        <v>0</v>
      </c>
      <c r="N448">
        <v>1</v>
      </c>
    </row>
    <row r="449" spans="1:14" hidden="1" x14ac:dyDescent="0.2">
      <c r="A449">
        <v>2022</v>
      </c>
      <c r="B449">
        <v>14</v>
      </c>
      <c r="C449" t="s">
        <v>31</v>
      </c>
      <c r="D449" t="s">
        <v>42</v>
      </c>
      <c r="E449">
        <v>118.22</v>
      </c>
      <c r="F449">
        <v>114.68</v>
      </c>
      <c r="G449">
        <f>E449+F449</f>
        <v>232.9</v>
      </c>
      <c r="H449">
        <f>E449-F449</f>
        <v>3.539999999999992</v>
      </c>
      <c r="I449" t="s">
        <v>41</v>
      </c>
      <c r="J449" t="s">
        <v>17</v>
      </c>
      <c r="K449" t="str">
        <f>_xlfn.CONCAT(_xlfn.CONCAT(I449,"|"), J449)</f>
        <v>Jay/Brand|Mike</v>
      </c>
      <c r="L449">
        <v>0</v>
      </c>
      <c r="M449">
        <v>0</v>
      </c>
      <c r="N449">
        <v>0</v>
      </c>
    </row>
    <row r="450" spans="1:14" x14ac:dyDescent="0.2">
      <c r="A450">
        <v>2025</v>
      </c>
      <c r="B450">
        <v>14</v>
      </c>
      <c r="C450" t="s">
        <v>42</v>
      </c>
      <c r="D450" t="s">
        <v>35</v>
      </c>
      <c r="E450">
        <v>101.14</v>
      </c>
      <c r="F450">
        <v>95.3</v>
      </c>
      <c r="G450">
        <f>E450+F450</f>
        <v>196.44</v>
      </c>
      <c r="H450">
        <f>E450-F450</f>
        <v>5.8400000000000034</v>
      </c>
      <c r="I450" t="s">
        <v>17</v>
      </c>
      <c r="J450" t="s">
        <v>49</v>
      </c>
      <c r="K450" t="str">
        <f>_xlfn.CONCAT(_xlfn.CONCAT(I450,"|"), J450)</f>
        <v>Mike|Brand</v>
      </c>
      <c r="L450">
        <v>0</v>
      </c>
      <c r="M450">
        <v>0</v>
      </c>
      <c r="N450">
        <v>0</v>
      </c>
    </row>
    <row r="451" spans="1:14" hidden="1" x14ac:dyDescent="0.2">
      <c r="A451">
        <v>2013</v>
      </c>
      <c r="B451">
        <v>15</v>
      </c>
      <c r="C451" t="s">
        <v>18</v>
      </c>
      <c r="D451" t="s">
        <v>35</v>
      </c>
      <c r="E451">
        <v>167.52</v>
      </c>
      <c r="F451">
        <v>74.8</v>
      </c>
      <c r="G451">
        <f>E451+F451</f>
        <v>242.32</v>
      </c>
      <c r="H451">
        <f>E451-F451</f>
        <v>92.720000000000013</v>
      </c>
      <c r="I451" t="s">
        <v>20</v>
      </c>
      <c r="J451" t="s">
        <v>49</v>
      </c>
      <c r="K451" t="str">
        <f>_xlfn.CONCAT(_xlfn.CONCAT(I451,"|"), J451)</f>
        <v>Schulwolf|Brand</v>
      </c>
      <c r="L451">
        <v>1</v>
      </c>
      <c r="M451">
        <v>1</v>
      </c>
      <c r="N451">
        <v>0</v>
      </c>
    </row>
    <row r="452" spans="1:14" hidden="1" x14ac:dyDescent="0.2">
      <c r="A452">
        <v>2013</v>
      </c>
      <c r="B452">
        <v>16</v>
      </c>
      <c r="C452" t="s">
        <v>68</v>
      </c>
      <c r="D452" t="s">
        <v>35</v>
      </c>
      <c r="E452">
        <v>89.98</v>
      </c>
      <c r="F452">
        <v>74.78</v>
      </c>
      <c r="G452">
        <f>E452+F452</f>
        <v>164.76</v>
      </c>
      <c r="H452">
        <f>E452-F452</f>
        <v>15.200000000000003</v>
      </c>
      <c r="I452" t="s">
        <v>69</v>
      </c>
      <c r="J452" t="s">
        <v>49</v>
      </c>
      <c r="K452" t="str">
        <f>_xlfn.CONCAT(_xlfn.CONCAT(I452,"|"), J452)</f>
        <v>Juleon|Brand</v>
      </c>
      <c r="L452">
        <v>1</v>
      </c>
      <c r="M452">
        <v>0</v>
      </c>
      <c r="N452">
        <v>0</v>
      </c>
    </row>
    <row r="453" spans="1:14" hidden="1" x14ac:dyDescent="0.2">
      <c r="A453">
        <v>2023</v>
      </c>
      <c r="B453">
        <v>6</v>
      </c>
      <c r="C453" t="s">
        <v>44</v>
      </c>
      <c r="D453" t="s">
        <v>46</v>
      </c>
      <c r="E453">
        <v>123.36</v>
      </c>
      <c r="F453">
        <v>119.94</v>
      </c>
      <c r="G453">
        <f>E453+F453</f>
        <v>243.3</v>
      </c>
      <c r="H453">
        <f>E453-F453</f>
        <v>3.4200000000000017</v>
      </c>
      <c r="I453" t="s">
        <v>45</v>
      </c>
      <c r="J453" t="s">
        <v>47</v>
      </c>
      <c r="K453" t="str">
        <f>_xlfn.CONCAT(_xlfn.CONCAT(I453,"|"), J453)</f>
        <v>Kevin|Burnett/Jasjaap</v>
      </c>
      <c r="L453">
        <v>0</v>
      </c>
      <c r="M453">
        <v>0</v>
      </c>
      <c r="N453">
        <v>0</v>
      </c>
    </row>
    <row r="454" spans="1:14" hidden="1" x14ac:dyDescent="0.2">
      <c r="A454">
        <v>2022</v>
      </c>
      <c r="B454">
        <v>12</v>
      </c>
      <c r="C454" t="s">
        <v>40</v>
      </c>
      <c r="D454" t="s">
        <v>14</v>
      </c>
      <c r="E454">
        <v>116.58</v>
      </c>
      <c r="F454">
        <v>113.3</v>
      </c>
      <c r="G454">
        <f>E454+F454</f>
        <v>229.88</v>
      </c>
      <c r="H454">
        <f>E454-F454</f>
        <v>3.2800000000000011</v>
      </c>
      <c r="I454" t="s">
        <v>29</v>
      </c>
      <c r="J454" t="s">
        <v>16</v>
      </c>
      <c r="K454" t="str">
        <f>_xlfn.CONCAT(_xlfn.CONCAT(I454,"|"), J454)</f>
        <v>Eli|Brenton</v>
      </c>
      <c r="L454">
        <v>0</v>
      </c>
      <c r="M454">
        <v>0</v>
      </c>
      <c r="N454">
        <v>0</v>
      </c>
    </row>
    <row r="455" spans="1:14" hidden="1" x14ac:dyDescent="0.2">
      <c r="A455">
        <v>2022</v>
      </c>
      <c r="B455">
        <v>1</v>
      </c>
      <c r="C455" t="s">
        <v>22</v>
      </c>
      <c r="D455" t="s">
        <v>18</v>
      </c>
      <c r="E455">
        <v>114.16</v>
      </c>
      <c r="F455">
        <v>110.92</v>
      </c>
      <c r="G455">
        <f>E455+F455</f>
        <v>225.07999999999998</v>
      </c>
      <c r="H455">
        <f>E455-F455</f>
        <v>3.2399999999999949</v>
      </c>
      <c r="I455" t="s">
        <v>24</v>
      </c>
      <c r="J455" t="s">
        <v>20</v>
      </c>
      <c r="K455" t="str">
        <f>_xlfn.CONCAT(_xlfn.CONCAT(I455,"|"), J455)</f>
        <v>Jasjaap|Schulwolf</v>
      </c>
      <c r="L455">
        <v>0</v>
      </c>
      <c r="M455">
        <v>0</v>
      </c>
      <c r="N455">
        <v>0</v>
      </c>
    </row>
    <row r="456" spans="1:14" hidden="1" x14ac:dyDescent="0.2">
      <c r="A456">
        <v>2023</v>
      </c>
      <c r="B456">
        <v>5</v>
      </c>
      <c r="C456" t="s">
        <v>50</v>
      </c>
      <c r="D456" t="s">
        <v>42</v>
      </c>
      <c r="E456">
        <v>136.04</v>
      </c>
      <c r="F456">
        <v>132.84</v>
      </c>
      <c r="G456">
        <f>E456+F456</f>
        <v>268.88</v>
      </c>
      <c r="H456">
        <f>E456-F456</f>
        <v>3.1999999999999886</v>
      </c>
      <c r="I456" t="s">
        <v>29</v>
      </c>
      <c r="J456" t="s">
        <v>17</v>
      </c>
      <c r="K456" t="str">
        <f>_xlfn.CONCAT(_xlfn.CONCAT(I456,"|"), J456)</f>
        <v>Eli|Mike</v>
      </c>
      <c r="L456">
        <v>0</v>
      </c>
      <c r="M456">
        <v>0</v>
      </c>
      <c r="N456">
        <v>0</v>
      </c>
    </row>
    <row r="457" spans="1:14" hidden="1" x14ac:dyDescent="0.2">
      <c r="A457">
        <v>2024</v>
      </c>
      <c r="B457">
        <v>2</v>
      </c>
      <c r="C457" t="s">
        <v>18</v>
      </c>
      <c r="D457" t="s">
        <v>77</v>
      </c>
      <c r="E457">
        <v>124.04</v>
      </c>
      <c r="F457">
        <v>120.9</v>
      </c>
      <c r="G457">
        <f>E457+F457</f>
        <v>244.94</v>
      </c>
      <c r="H457">
        <f>E457-F457</f>
        <v>3.1400000000000006</v>
      </c>
      <c r="I457" t="s">
        <v>20</v>
      </c>
      <c r="J457" t="s">
        <v>45</v>
      </c>
      <c r="K457" t="str">
        <f>_xlfn.CONCAT(_xlfn.CONCAT(I457,"|"), J457)</f>
        <v>Schulwolf|Kevin</v>
      </c>
      <c r="L457">
        <v>0</v>
      </c>
      <c r="M457">
        <v>0</v>
      </c>
      <c r="N457">
        <v>0</v>
      </c>
    </row>
    <row r="458" spans="1:14" hidden="1" x14ac:dyDescent="0.2">
      <c r="A458">
        <v>2021</v>
      </c>
      <c r="B458">
        <v>5</v>
      </c>
      <c r="C458" t="s">
        <v>22</v>
      </c>
      <c r="D458" t="s">
        <v>18</v>
      </c>
      <c r="E458">
        <v>145.5</v>
      </c>
      <c r="F458">
        <v>142.46</v>
      </c>
      <c r="G458">
        <f>E458+F458</f>
        <v>287.96000000000004</v>
      </c>
      <c r="H458">
        <f>E458-F458</f>
        <v>3.039999999999992</v>
      </c>
      <c r="I458" t="s">
        <v>24</v>
      </c>
      <c r="J458" t="s">
        <v>20</v>
      </c>
      <c r="K458" t="str">
        <f>_xlfn.CONCAT(_xlfn.CONCAT(I458,"|"), J458)</f>
        <v>Jasjaap|Schulwolf</v>
      </c>
      <c r="L458">
        <v>0</v>
      </c>
      <c r="M458">
        <v>0</v>
      </c>
      <c r="N458">
        <v>0</v>
      </c>
    </row>
    <row r="459" spans="1:14" hidden="1" x14ac:dyDescent="0.2">
      <c r="A459">
        <v>2023</v>
      </c>
      <c r="B459">
        <v>14</v>
      </c>
      <c r="C459" t="s">
        <v>50</v>
      </c>
      <c r="D459" t="s">
        <v>14</v>
      </c>
      <c r="E459">
        <v>104.52</v>
      </c>
      <c r="F459">
        <v>101.5</v>
      </c>
      <c r="G459">
        <f>E459+F459</f>
        <v>206.01999999999998</v>
      </c>
      <c r="H459">
        <f>E459-F459</f>
        <v>3.019999999999996</v>
      </c>
      <c r="I459" t="s">
        <v>29</v>
      </c>
      <c r="J459" t="s">
        <v>16</v>
      </c>
      <c r="K459" t="str">
        <f>_xlfn.CONCAT(_xlfn.CONCAT(I459,"|"), J459)</f>
        <v>Eli|Brenton</v>
      </c>
      <c r="L459">
        <v>0</v>
      </c>
      <c r="M459">
        <v>0</v>
      </c>
      <c r="N459">
        <v>0</v>
      </c>
    </row>
    <row r="460" spans="1:14" hidden="1" x14ac:dyDescent="0.2">
      <c r="A460">
        <v>2021</v>
      </c>
      <c r="B460">
        <v>6</v>
      </c>
      <c r="C460" t="s">
        <v>34</v>
      </c>
      <c r="D460" t="s">
        <v>15</v>
      </c>
      <c r="E460">
        <v>115</v>
      </c>
      <c r="F460">
        <v>112</v>
      </c>
      <c r="G460">
        <f>E460+F460</f>
        <v>227</v>
      </c>
      <c r="H460">
        <f>E460-F460</f>
        <v>3</v>
      </c>
      <c r="I460" t="s">
        <v>36</v>
      </c>
      <c r="J460" t="s">
        <v>17</v>
      </c>
      <c r="K460" t="str">
        <f>_xlfn.CONCAT(_xlfn.CONCAT(I460,"|"), J460)</f>
        <v>Will|Mike</v>
      </c>
      <c r="L460">
        <v>0</v>
      </c>
      <c r="M460">
        <v>0</v>
      </c>
      <c r="N460">
        <v>0</v>
      </c>
    </row>
    <row r="461" spans="1:14" hidden="1" x14ac:dyDescent="0.2">
      <c r="A461">
        <v>2023</v>
      </c>
      <c r="B461">
        <v>12</v>
      </c>
      <c r="C461" t="s">
        <v>35</v>
      </c>
      <c r="D461" t="s">
        <v>48</v>
      </c>
      <c r="E461">
        <v>131.82</v>
      </c>
      <c r="F461">
        <v>129.04</v>
      </c>
      <c r="G461">
        <f>E461+F461</f>
        <v>260.86</v>
      </c>
      <c r="H461">
        <f>E461-F461</f>
        <v>2.7800000000000011</v>
      </c>
      <c r="I461" t="s">
        <v>49</v>
      </c>
      <c r="J461" t="s">
        <v>36</v>
      </c>
      <c r="K461" t="str">
        <f>_xlfn.CONCAT(_xlfn.CONCAT(I461,"|"), J461)</f>
        <v>Brand|Will</v>
      </c>
      <c r="L461">
        <v>0</v>
      </c>
      <c r="M461">
        <v>0</v>
      </c>
      <c r="N461">
        <v>0</v>
      </c>
    </row>
    <row r="462" spans="1:14" hidden="1" x14ac:dyDescent="0.2">
      <c r="A462">
        <v>2022</v>
      </c>
      <c r="B462">
        <v>15</v>
      </c>
      <c r="C462" t="s">
        <v>23</v>
      </c>
      <c r="D462" t="s">
        <v>22</v>
      </c>
      <c r="E462">
        <v>116.6</v>
      </c>
      <c r="F462">
        <v>113.82</v>
      </c>
      <c r="G462">
        <f>E462+F462</f>
        <v>230.42</v>
      </c>
      <c r="H462">
        <f>E462-F462</f>
        <v>2.7800000000000011</v>
      </c>
      <c r="I462" t="s">
        <v>25</v>
      </c>
      <c r="J462" t="s">
        <v>24</v>
      </c>
      <c r="K462" t="str">
        <f>_xlfn.CONCAT(_xlfn.CONCAT(I462,"|"), J462)</f>
        <v>Burnett|Jasjaap</v>
      </c>
      <c r="L462">
        <v>0</v>
      </c>
      <c r="M462">
        <v>0</v>
      </c>
      <c r="N462">
        <v>0</v>
      </c>
    </row>
    <row r="463" spans="1:14" hidden="1" x14ac:dyDescent="0.2">
      <c r="A463">
        <v>2024</v>
      </c>
      <c r="B463">
        <v>5</v>
      </c>
      <c r="C463" t="s">
        <v>73</v>
      </c>
      <c r="D463" t="s">
        <v>26</v>
      </c>
      <c r="E463">
        <v>114.86</v>
      </c>
      <c r="F463">
        <v>112.14</v>
      </c>
      <c r="G463">
        <f>E463+F463</f>
        <v>227</v>
      </c>
      <c r="H463">
        <f>E463-F463</f>
        <v>2.7199999999999989</v>
      </c>
      <c r="I463" t="s">
        <v>21</v>
      </c>
      <c r="J463" t="s">
        <v>28</v>
      </c>
      <c r="K463" t="str">
        <f>_xlfn.CONCAT(_xlfn.CONCAT(I463,"|"), J463)</f>
        <v>Todd|Tommy</v>
      </c>
      <c r="L463">
        <v>0</v>
      </c>
      <c r="M463">
        <v>0</v>
      </c>
      <c r="N463">
        <v>0</v>
      </c>
    </row>
    <row r="464" spans="1:14" hidden="1" x14ac:dyDescent="0.2">
      <c r="A464">
        <v>2023</v>
      </c>
      <c r="B464">
        <v>14</v>
      </c>
      <c r="C464" t="s">
        <v>46</v>
      </c>
      <c r="D464" t="s">
        <v>48</v>
      </c>
      <c r="E464">
        <v>100.44</v>
      </c>
      <c r="F464">
        <v>97.74</v>
      </c>
      <c r="G464">
        <f>E464+F464</f>
        <v>198.18</v>
      </c>
      <c r="H464">
        <f>E464-F464</f>
        <v>2.7000000000000028</v>
      </c>
      <c r="I464" t="s">
        <v>47</v>
      </c>
      <c r="J464" t="s">
        <v>36</v>
      </c>
      <c r="K464" t="str">
        <f>_xlfn.CONCAT(_xlfn.CONCAT(I464,"|"), J464)</f>
        <v>Burnett/Jasjaap|Will</v>
      </c>
      <c r="L464">
        <v>0</v>
      </c>
      <c r="M464">
        <v>0</v>
      </c>
      <c r="N464">
        <v>0</v>
      </c>
    </row>
    <row r="465" spans="1:14" hidden="1" x14ac:dyDescent="0.2">
      <c r="A465">
        <v>2014</v>
      </c>
      <c r="B465">
        <v>16</v>
      </c>
      <c r="C465" t="s">
        <v>65</v>
      </c>
      <c r="D465" t="s">
        <v>64</v>
      </c>
      <c r="E465">
        <v>137.13999999999999</v>
      </c>
      <c r="F465">
        <v>72.56</v>
      </c>
      <c r="G465">
        <f>E465+F465</f>
        <v>209.7</v>
      </c>
      <c r="H465">
        <f>E465-F465</f>
        <v>64.579999999999984</v>
      </c>
      <c r="I465" t="s">
        <v>16</v>
      </c>
      <c r="J465" t="s">
        <v>28</v>
      </c>
      <c r="K465" t="str">
        <f>_xlfn.CONCAT(_xlfn.CONCAT(I465,"|"), J465)</f>
        <v>Brenton|Tommy</v>
      </c>
      <c r="L465">
        <v>1</v>
      </c>
      <c r="M465">
        <v>0</v>
      </c>
      <c r="N465">
        <v>1</v>
      </c>
    </row>
    <row r="466" spans="1:14" hidden="1" x14ac:dyDescent="0.2">
      <c r="A466">
        <v>2021</v>
      </c>
      <c r="B466">
        <v>6</v>
      </c>
      <c r="C466" t="s">
        <v>22</v>
      </c>
      <c r="D466" t="s">
        <v>35</v>
      </c>
      <c r="E466">
        <v>148.94</v>
      </c>
      <c r="F466">
        <v>146.38</v>
      </c>
      <c r="G466">
        <f>E466+F466</f>
        <v>295.32</v>
      </c>
      <c r="H466">
        <f>E466-F466</f>
        <v>2.5600000000000023</v>
      </c>
      <c r="I466" t="s">
        <v>24</v>
      </c>
      <c r="J466" t="s">
        <v>37</v>
      </c>
      <c r="K466" t="str">
        <f>_xlfn.CONCAT(_xlfn.CONCAT(I466,"|"), J466)</f>
        <v>Jasjaap|Brand/Kevin</v>
      </c>
      <c r="L466">
        <v>0</v>
      </c>
      <c r="M466">
        <v>0</v>
      </c>
      <c r="N466">
        <v>0</v>
      </c>
    </row>
    <row r="467" spans="1:14" hidden="1" x14ac:dyDescent="0.2">
      <c r="A467">
        <v>2022</v>
      </c>
      <c r="B467">
        <v>12</v>
      </c>
      <c r="C467" t="s">
        <v>44</v>
      </c>
      <c r="D467" t="s">
        <v>43</v>
      </c>
      <c r="E467">
        <v>116</v>
      </c>
      <c r="F467">
        <v>113.46</v>
      </c>
      <c r="G467">
        <f>E467+F467</f>
        <v>229.45999999999998</v>
      </c>
      <c r="H467">
        <f>E467-F467</f>
        <v>2.5400000000000063</v>
      </c>
      <c r="I467" t="s">
        <v>45</v>
      </c>
      <c r="J467" t="s">
        <v>21</v>
      </c>
      <c r="K467" t="str">
        <f>_xlfn.CONCAT(_xlfn.CONCAT(I467,"|"), J467)</f>
        <v>Kevin|Todd</v>
      </c>
      <c r="L467">
        <v>0</v>
      </c>
      <c r="M467">
        <v>0</v>
      </c>
      <c r="N467">
        <v>0</v>
      </c>
    </row>
    <row r="468" spans="1:14" hidden="1" x14ac:dyDescent="0.2">
      <c r="A468">
        <v>2023</v>
      </c>
      <c r="B468">
        <v>7</v>
      </c>
      <c r="C468" t="s">
        <v>26</v>
      </c>
      <c r="D468" t="s">
        <v>46</v>
      </c>
      <c r="E468">
        <v>111.76</v>
      </c>
      <c r="F468">
        <v>109.32</v>
      </c>
      <c r="G468">
        <f>E468+F468</f>
        <v>221.07999999999998</v>
      </c>
      <c r="H468">
        <f>E468-F468</f>
        <v>2.4400000000000119</v>
      </c>
      <c r="I468" t="s">
        <v>28</v>
      </c>
      <c r="J468" t="s">
        <v>47</v>
      </c>
      <c r="K468" t="str">
        <f>_xlfn.CONCAT(_xlfn.CONCAT(I468,"|"), J468)</f>
        <v>Tommy|Burnett/Jasjaap</v>
      </c>
      <c r="L468">
        <v>0</v>
      </c>
      <c r="M468">
        <v>0</v>
      </c>
      <c r="N468">
        <v>0</v>
      </c>
    </row>
    <row r="469" spans="1:14" hidden="1" x14ac:dyDescent="0.2">
      <c r="A469">
        <v>2016</v>
      </c>
      <c r="B469">
        <v>16</v>
      </c>
      <c r="C469" t="s">
        <v>22</v>
      </c>
      <c r="D469" t="s">
        <v>58</v>
      </c>
      <c r="E469">
        <v>97.56</v>
      </c>
      <c r="F469">
        <v>71.58</v>
      </c>
      <c r="G469">
        <f>E469+F469</f>
        <v>169.14</v>
      </c>
      <c r="H469">
        <f>E469-F469</f>
        <v>25.980000000000004</v>
      </c>
      <c r="I469" t="s">
        <v>24</v>
      </c>
      <c r="J469" t="s">
        <v>36</v>
      </c>
      <c r="K469" t="str">
        <f>_xlfn.CONCAT(_xlfn.CONCAT(I469,"|"), J469)</f>
        <v>Jasjaap|Will</v>
      </c>
      <c r="L469">
        <v>1</v>
      </c>
      <c r="M469">
        <v>0</v>
      </c>
      <c r="N469">
        <v>0</v>
      </c>
    </row>
    <row r="470" spans="1:14" hidden="1" x14ac:dyDescent="0.2">
      <c r="A470">
        <v>2022</v>
      </c>
      <c r="B470">
        <v>17</v>
      </c>
      <c r="C470" t="s">
        <v>43</v>
      </c>
      <c r="D470" t="s">
        <v>42</v>
      </c>
      <c r="E470">
        <v>89.42</v>
      </c>
      <c r="F470">
        <v>89.38</v>
      </c>
      <c r="G470">
        <f>E470+F470</f>
        <v>178.8</v>
      </c>
      <c r="H470">
        <f>E470-F470</f>
        <v>4.0000000000006253E-2</v>
      </c>
      <c r="I470" t="s">
        <v>21</v>
      </c>
      <c r="J470" t="s">
        <v>17</v>
      </c>
      <c r="K470" t="str">
        <f>_xlfn.CONCAT(_xlfn.CONCAT(I470,"|"), J470)</f>
        <v>Todd|Mike</v>
      </c>
      <c r="L470">
        <v>1</v>
      </c>
      <c r="M470">
        <v>0</v>
      </c>
      <c r="N470">
        <v>1</v>
      </c>
    </row>
    <row r="471" spans="1:14" x14ac:dyDescent="0.2">
      <c r="A471">
        <v>2025</v>
      </c>
      <c r="B471">
        <v>7</v>
      </c>
      <c r="C471" t="s">
        <v>26</v>
      </c>
      <c r="D471" t="s">
        <v>525</v>
      </c>
      <c r="E471">
        <v>141.32</v>
      </c>
      <c r="F471">
        <v>137.54</v>
      </c>
      <c r="G471">
        <f>E471+F471</f>
        <v>278.86</v>
      </c>
      <c r="H471">
        <f>E471-F471</f>
        <v>3.7800000000000011</v>
      </c>
      <c r="I471" t="s">
        <v>28</v>
      </c>
      <c r="J471" t="s">
        <v>36</v>
      </c>
      <c r="K471" t="str">
        <f>_xlfn.CONCAT(_xlfn.CONCAT(I471,"|"), J471)</f>
        <v>Tommy|Will</v>
      </c>
      <c r="L471">
        <v>0</v>
      </c>
      <c r="M471">
        <v>0</v>
      </c>
      <c r="N471">
        <v>0</v>
      </c>
    </row>
    <row r="472" spans="1:14" hidden="1" x14ac:dyDescent="0.2">
      <c r="A472">
        <v>2022</v>
      </c>
      <c r="B472">
        <v>11</v>
      </c>
      <c r="C472" t="s">
        <v>39</v>
      </c>
      <c r="D472" t="s">
        <v>22</v>
      </c>
      <c r="E472">
        <v>129.1</v>
      </c>
      <c r="F472">
        <v>126.9</v>
      </c>
      <c r="G472">
        <f>E472+F472</f>
        <v>256</v>
      </c>
      <c r="H472">
        <f>E472-F472</f>
        <v>2.1999999999999886</v>
      </c>
      <c r="I472" t="s">
        <v>32</v>
      </c>
      <c r="J472" t="s">
        <v>24</v>
      </c>
      <c r="K472" t="str">
        <f>_xlfn.CONCAT(_xlfn.CONCAT(I472,"|"), J472)</f>
        <v>Cam|Jasjaap</v>
      </c>
      <c r="L472">
        <v>0</v>
      </c>
      <c r="M472">
        <v>0</v>
      </c>
      <c r="N472">
        <v>0</v>
      </c>
    </row>
    <row r="473" spans="1:14" hidden="1" x14ac:dyDescent="0.2">
      <c r="A473">
        <v>2012</v>
      </c>
      <c r="B473">
        <v>16</v>
      </c>
      <c r="C473" t="s">
        <v>35</v>
      </c>
      <c r="D473" t="s">
        <v>72</v>
      </c>
      <c r="E473">
        <v>121.66</v>
      </c>
      <c r="F473">
        <v>70.540000000000006</v>
      </c>
      <c r="G473">
        <f>E473+F473</f>
        <v>192.2</v>
      </c>
      <c r="H473">
        <f>E473-F473</f>
        <v>51.11999999999999</v>
      </c>
      <c r="I473" t="s">
        <v>49</v>
      </c>
      <c r="J473" t="s">
        <v>28</v>
      </c>
      <c r="K473" t="str">
        <f>_xlfn.CONCAT(_xlfn.CONCAT(I473,"|"), J473)</f>
        <v>Brand|Tommy</v>
      </c>
      <c r="L473">
        <v>1</v>
      </c>
      <c r="M473">
        <v>0</v>
      </c>
      <c r="N473">
        <v>0</v>
      </c>
    </row>
    <row r="474" spans="1:14" x14ac:dyDescent="0.2">
      <c r="A474">
        <v>2025</v>
      </c>
      <c r="B474">
        <v>7</v>
      </c>
      <c r="C474" t="s">
        <v>46</v>
      </c>
      <c r="D474" t="s">
        <v>31</v>
      </c>
      <c r="E474">
        <v>121.74</v>
      </c>
      <c r="F474">
        <v>118.22</v>
      </c>
      <c r="G474">
        <f>E474+F474</f>
        <v>239.95999999999998</v>
      </c>
      <c r="H474">
        <f>E474-F474</f>
        <v>3.519999999999996</v>
      </c>
      <c r="I474" t="s">
        <v>47</v>
      </c>
      <c r="J474" t="s">
        <v>33</v>
      </c>
      <c r="K474" t="str">
        <f>_xlfn.CONCAT(_xlfn.CONCAT(I474,"|"), J474)</f>
        <v>Burnett/Jasjaap|Jay</v>
      </c>
      <c r="L474">
        <v>0</v>
      </c>
      <c r="M474">
        <v>0</v>
      </c>
      <c r="N474">
        <v>0</v>
      </c>
    </row>
    <row r="475" spans="1:14" hidden="1" x14ac:dyDescent="0.2">
      <c r="A475">
        <v>2023</v>
      </c>
      <c r="B475">
        <v>14</v>
      </c>
      <c r="C475" t="s">
        <v>44</v>
      </c>
      <c r="D475" t="s">
        <v>51</v>
      </c>
      <c r="E475">
        <v>124.22</v>
      </c>
      <c r="F475">
        <v>122.24</v>
      </c>
      <c r="G475">
        <f>E475+F475</f>
        <v>246.45999999999998</v>
      </c>
      <c r="H475">
        <f>E475-F475</f>
        <v>1.980000000000004</v>
      </c>
      <c r="I475" t="s">
        <v>45</v>
      </c>
      <c r="J475" t="s">
        <v>21</v>
      </c>
      <c r="K475" t="str">
        <f>_xlfn.CONCAT(_xlfn.CONCAT(I475,"|"), J475)</f>
        <v>Kevin|Todd</v>
      </c>
      <c r="L475">
        <v>0</v>
      </c>
      <c r="M475">
        <v>0</v>
      </c>
      <c r="N475">
        <v>0</v>
      </c>
    </row>
    <row r="476" spans="1:14" hidden="1" x14ac:dyDescent="0.2">
      <c r="A476">
        <v>2023</v>
      </c>
      <c r="B476">
        <v>2</v>
      </c>
      <c r="C476" t="s">
        <v>44</v>
      </c>
      <c r="D476" t="s">
        <v>50</v>
      </c>
      <c r="E476">
        <v>94.76</v>
      </c>
      <c r="F476">
        <v>92.9</v>
      </c>
      <c r="G476">
        <f>E476+F476</f>
        <v>187.66000000000003</v>
      </c>
      <c r="H476">
        <f>E476-F476</f>
        <v>1.8599999999999994</v>
      </c>
      <c r="I476" t="s">
        <v>45</v>
      </c>
      <c r="J476" t="s">
        <v>29</v>
      </c>
      <c r="K476" t="str">
        <f>_xlfn.CONCAT(_xlfn.CONCAT(I476,"|"), J476)</f>
        <v>Kevin|Eli</v>
      </c>
      <c r="L476">
        <v>0</v>
      </c>
      <c r="M476">
        <v>0</v>
      </c>
      <c r="N476">
        <v>0</v>
      </c>
    </row>
    <row r="477" spans="1:14" hidden="1" x14ac:dyDescent="0.2">
      <c r="A477">
        <v>2021</v>
      </c>
      <c r="B477">
        <v>4</v>
      </c>
      <c r="C477" t="s">
        <v>23</v>
      </c>
      <c r="D477" t="s">
        <v>34</v>
      </c>
      <c r="E477">
        <v>127.92</v>
      </c>
      <c r="F477">
        <v>126.08</v>
      </c>
      <c r="G477">
        <f>E477+F477</f>
        <v>254</v>
      </c>
      <c r="H477">
        <f>E477-F477</f>
        <v>1.8400000000000034</v>
      </c>
      <c r="I477" t="s">
        <v>25</v>
      </c>
      <c r="J477" t="s">
        <v>36</v>
      </c>
      <c r="K477" t="str">
        <f>_xlfn.CONCAT(_xlfn.CONCAT(I477,"|"), J477)</f>
        <v>Burnett|Will</v>
      </c>
      <c r="L477">
        <v>0</v>
      </c>
      <c r="M477">
        <v>0</v>
      </c>
      <c r="N477">
        <v>0</v>
      </c>
    </row>
    <row r="478" spans="1:14" hidden="1" x14ac:dyDescent="0.2">
      <c r="A478">
        <v>2021</v>
      </c>
      <c r="B478">
        <v>13</v>
      </c>
      <c r="C478" t="s">
        <v>31</v>
      </c>
      <c r="D478" t="s">
        <v>26</v>
      </c>
      <c r="E478">
        <v>88.76</v>
      </c>
      <c r="F478">
        <v>86.92</v>
      </c>
      <c r="G478">
        <f>E478+F478</f>
        <v>175.68</v>
      </c>
      <c r="H478">
        <f>E478-F478</f>
        <v>1.8400000000000034</v>
      </c>
      <c r="I478" t="s">
        <v>33</v>
      </c>
      <c r="J478" t="s">
        <v>28</v>
      </c>
      <c r="K478" t="str">
        <f>_xlfn.CONCAT(_xlfn.CONCAT(I478,"|"), J478)</f>
        <v>Jay|Tommy</v>
      </c>
      <c r="L478">
        <v>0</v>
      </c>
      <c r="M478">
        <v>0</v>
      </c>
      <c r="N478">
        <v>0</v>
      </c>
    </row>
    <row r="479" spans="1:14" hidden="1" x14ac:dyDescent="0.2">
      <c r="A479">
        <v>2024</v>
      </c>
      <c r="B479">
        <v>4</v>
      </c>
      <c r="C479" t="s">
        <v>74</v>
      </c>
      <c r="D479" t="s">
        <v>42</v>
      </c>
      <c r="E479">
        <v>108.22</v>
      </c>
      <c r="F479">
        <v>106.6</v>
      </c>
      <c r="G479">
        <f>E479+F479</f>
        <v>214.82</v>
      </c>
      <c r="H479">
        <f>E479-F479</f>
        <v>1.6200000000000045</v>
      </c>
      <c r="I479" t="s">
        <v>29</v>
      </c>
      <c r="J479" t="s">
        <v>17</v>
      </c>
      <c r="K479" t="str">
        <f>_xlfn.CONCAT(_xlfn.CONCAT(I479,"|"), J479)</f>
        <v>Eli|Mike</v>
      </c>
      <c r="L479">
        <v>0</v>
      </c>
      <c r="M479">
        <v>0</v>
      </c>
      <c r="N479">
        <v>0</v>
      </c>
    </row>
    <row r="480" spans="1:14" hidden="1" x14ac:dyDescent="0.2">
      <c r="A480">
        <v>2023</v>
      </c>
      <c r="B480">
        <v>9</v>
      </c>
      <c r="C480" t="s">
        <v>51</v>
      </c>
      <c r="D480" t="s">
        <v>26</v>
      </c>
      <c r="E480">
        <v>106.2</v>
      </c>
      <c r="F480">
        <v>104.68</v>
      </c>
      <c r="G480">
        <f>E480+F480</f>
        <v>210.88</v>
      </c>
      <c r="H480">
        <f>E480-F480</f>
        <v>1.519999999999996</v>
      </c>
      <c r="I480" t="s">
        <v>21</v>
      </c>
      <c r="J480" t="s">
        <v>28</v>
      </c>
      <c r="K480" t="str">
        <f>_xlfn.CONCAT(_xlfn.CONCAT(I480,"|"), J480)</f>
        <v>Todd|Tommy</v>
      </c>
      <c r="L480">
        <v>0</v>
      </c>
      <c r="M480">
        <v>0</v>
      </c>
      <c r="N480">
        <v>0</v>
      </c>
    </row>
    <row r="481" spans="1:14" hidden="1" x14ac:dyDescent="0.2">
      <c r="A481">
        <v>2023</v>
      </c>
      <c r="B481">
        <v>10</v>
      </c>
      <c r="C481" t="s">
        <v>35</v>
      </c>
      <c r="D481" t="s">
        <v>46</v>
      </c>
      <c r="E481">
        <v>126.26</v>
      </c>
      <c r="F481">
        <v>124.84</v>
      </c>
      <c r="G481">
        <f>E481+F481</f>
        <v>251.10000000000002</v>
      </c>
      <c r="H481">
        <f>E481-F481</f>
        <v>1.4200000000000017</v>
      </c>
      <c r="I481" t="s">
        <v>49</v>
      </c>
      <c r="J481" t="s">
        <v>47</v>
      </c>
      <c r="K481" t="str">
        <f>_xlfn.CONCAT(_xlfn.CONCAT(I481,"|"), J481)</f>
        <v>Brand|Burnett/Jasjaap</v>
      </c>
      <c r="L481">
        <v>0</v>
      </c>
      <c r="M481">
        <v>0</v>
      </c>
      <c r="N481">
        <v>0</v>
      </c>
    </row>
    <row r="482" spans="1:14" hidden="1" x14ac:dyDescent="0.2">
      <c r="A482">
        <v>2024</v>
      </c>
      <c r="B482">
        <v>13</v>
      </c>
      <c r="C482" t="s">
        <v>31</v>
      </c>
      <c r="D482" t="s">
        <v>73</v>
      </c>
      <c r="E482">
        <v>122.68</v>
      </c>
      <c r="F482">
        <v>121.3</v>
      </c>
      <c r="G482">
        <f>E482+F482</f>
        <v>243.98000000000002</v>
      </c>
      <c r="H482">
        <f>E482-F482</f>
        <v>1.3800000000000097</v>
      </c>
      <c r="I482" t="s">
        <v>33</v>
      </c>
      <c r="J482" t="s">
        <v>21</v>
      </c>
      <c r="K482" t="str">
        <f>_xlfn.CONCAT(_xlfn.CONCAT(I482,"|"), J482)</f>
        <v>Jay|Todd</v>
      </c>
      <c r="L482">
        <v>0</v>
      </c>
      <c r="M482">
        <v>0</v>
      </c>
      <c r="N482">
        <v>0</v>
      </c>
    </row>
    <row r="483" spans="1:14" hidden="1" x14ac:dyDescent="0.2">
      <c r="A483">
        <v>2023</v>
      </c>
      <c r="B483">
        <v>8</v>
      </c>
      <c r="C483" t="s">
        <v>51</v>
      </c>
      <c r="D483" t="s">
        <v>31</v>
      </c>
      <c r="E483">
        <v>113.18</v>
      </c>
      <c r="F483">
        <v>111.88</v>
      </c>
      <c r="G483">
        <f>E483+F483</f>
        <v>225.06</v>
      </c>
      <c r="H483">
        <f>E483-F483</f>
        <v>1.3000000000000114</v>
      </c>
      <c r="I483" t="s">
        <v>21</v>
      </c>
      <c r="J483" t="s">
        <v>33</v>
      </c>
      <c r="K483" t="str">
        <f>_xlfn.CONCAT(_xlfn.CONCAT(I483,"|"), J483)</f>
        <v>Todd|Jay</v>
      </c>
      <c r="L483">
        <v>0</v>
      </c>
      <c r="M483">
        <v>0</v>
      </c>
      <c r="N483">
        <v>0</v>
      </c>
    </row>
    <row r="484" spans="1:14" hidden="1" x14ac:dyDescent="0.2">
      <c r="A484">
        <v>2024</v>
      </c>
      <c r="B484">
        <v>14</v>
      </c>
      <c r="C484" t="s">
        <v>73</v>
      </c>
      <c r="D484" t="s">
        <v>74</v>
      </c>
      <c r="E484">
        <v>133.78</v>
      </c>
      <c r="F484">
        <v>132.52000000000001</v>
      </c>
      <c r="G484">
        <f>E484+F484</f>
        <v>266.3</v>
      </c>
      <c r="H484">
        <f>E484-F484</f>
        <v>1.2599999999999909</v>
      </c>
      <c r="I484" t="s">
        <v>21</v>
      </c>
      <c r="J484" t="s">
        <v>29</v>
      </c>
      <c r="K484" t="str">
        <f>_xlfn.CONCAT(_xlfn.CONCAT(I484,"|"), J484)</f>
        <v>Todd|Eli</v>
      </c>
      <c r="L484">
        <v>0</v>
      </c>
      <c r="M484">
        <v>0</v>
      </c>
      <c r="N484">
        <v>0</v>
      </c>
    </row>
    <row r="485" spans="1:14" hidden="1" x14ac:dyDescent="0.2">
      <c r="A485">
        <v>2021</v>
      </c>
      <c r="B485">
        <v>15</v>
      </c>
      <c r="C485" t="s">
        <v>15</v>
      </c>
      <c r="D485" t="s">
        <v>27</v>
      </c>
      <c r="E485">
        <v>131.28</v>
      </c>
      <c r="F485">
        <v>130.24</v>
      </c>
      <c r="G485">
        <f>E485+F485</f>
        <v>261.52</v>
      </c>
      <c r="H485">
        <f>E485-F485</f>
        <v>1.039999999999992</v>
      </c>
      <c r="I485" t="s">
        <v>17</v>
      </c>
      <c r="J485" t="s">
        <v>29</v>
      </c>
      <c r="K485" t="str">
        <f>_xlfn.CONCAT(_xlfn.CONCAT(I485,"|"), J485)</f>
        <v>Mike|Eli</v>
      </c>
      <c r="L485">
        <v>0</v>
      </c>
      <c r="M485">
        <v>0</v>
      </c>
      <c r="N485">
        <v>0</v>
      </c>
    </row>
    <row r="486" spans="1:14" x14ac:dyDescent="0.2">
      <c r="A486">
        <v>2025</v>
      </c>
      <c r="B486">
        <v>10</v>
      </c>
      <c r="C486" t="s">
        <v>46</v>
      </c>
      <c r="D486" t="s">
        <v>18</v>
      </c>
      <c r="E486">
        <v>93.02</v>
      </c>
      <c r="F486">
        <v>84.62</v>
      </c>
      <c r="G486">
        <f>E486+F486</f>
        <v>177.64</v>
      </c>
      <c r="H486">
        <f>E486-F486</f>
        <v>8.3999999999999915</v>
      </c>
      <c r="I486" t="s">
        <v>47</v>
      </c>
      <c r="J486" t="s">
        <v>20</v>
      </c>
      <c r="K486" t="str">
        <f>_xlfn.CONCAT(_xlfn.CONCAT(I486,"|"), J486)</f>
        <v>Burnett/Jasjaap|Schulwolf</v>
      </c>
      <c r="L486">
        <v>0</v>
      </c>
      <c r="M486">
        <v>0</v>
      </c>
      <c r="N486">
        <v>0</v>
      </c>
    </row>
    <row r="487" spans="1:14" hidden="1" x14ac:dyDescent="0.2">
      <c r="A487">
        <v>2014</v>
      </c>
      <c r="B487">
        <v>16</v>
      </c>
      <c r="C487" s="2" t="s">
        <v>66</v>
      </c>
      <c r="D487" t="s">
        <v>23</v>
      </c>
      <c r="E487">
        <v>67.64</v>
      </c>
      <c r="F487">
        <v>66.540000000000006</v>
      </c>
      <c r="G487">
        <f>E487+F487</f>
        <v>134.18</v>
      </c>
      <c r="H487">
        <f>E487-F487</f>
        <v>1.0999999999999943</v>
      </c>
      <c r="I487" t="s">
        <v>62</v>
      </c>
      <c r="J487" t="s">
        <v>25</v>
      </c>
      <c r="K487" t="str">
        <f>_xlfn.CONCAT(_xlfn.CONCAT(I487,"|"), J487)</f>
        <v>Codola|Burnett</v>
      </c>
      <c r="L487">
        <v>1</v>
      </c>
      <c r="M487">
        <v>0</v>
      </c>
      <c r="N487">
        <v>0</v>
      </c>
    </row>
    <row r="488" spans="1:14" hidden="1" x14ac:dyDescent="0.2">
      <c r="A488">
        <v>2023</v>
      </c>
      <c r="B488">
        <v>4</v>
      </c>
      <c r="C488" t="s">
        <v>14</v>
      </c>
      <c r="D488" t="s">
        <v>51</v>
      </c>
      <c r="E488">
        <v>115.58</v>
      </c>
      <c r="F488">
        <v>114.84</v>
      </c>
      <c r="G488">
        <f>E488+F488</f>
        <v>230.42000000000002</v>
      </c>
      <c r="H488">
        <f>E488-F488</f>
        <v>0.73999999999999488</v>
      </c>
      <c r="I488" t="s">
        <v>16</v>
      </c>
      <c r="J488" t="s">
        <v>21</v>
      </c>
      <c r="K488" t="str">
        <f>_xlfn.CONCAT(_xlfn.CONCAT(I488,"|"), J488)</f>
        <v>Brenton|Todd</v>
      </c>
      <c r="L488">
        <v>0</v>
      </c>
      <c r="M488">
        <v>0</v>
      </c>
      <c r="N488">
        <v>0</v>
      </c>
    </row>
    <row r="489" spans="1:14" hidden="1" x14ac:dyDescent="0.2">
      <c r="A489">
        <v>2020</v>
      </c>
      <c r="B489">
        <v>16</v>
      </c>
      <c r="C489" t="s">
        <v>53</v>
      </c>
      <c r="D489" t="s">
        <v>31</v>
      </c>
      <c r="E489">
        <v>105.12</v>
      </c>
      <c r="F489">
        <v>65.38</v>
      </c>
      <c r="G489">
        <f>E489+F489</f>
        <v>170.5</v>
      </c>
      <c r="H489">
        <f>E489-F489</f>
        <v>39.740000000000009</v>
      </c>
      <c r="I489" t="s">
        <v>36</v>
      </c>
      <c r="J489" t="s">
        <v>33</v>
      </c>
      <c r="K489" t="str">
        <f>_xlfn.CONCAT(_xlfn.CONCAT(I489,"|"), J489)</f>
        <v>Will|Jay</v>
      </c>
      <c r="L489">
        <v>1</v>
      </c>
      <c r="M489">
        <v>0</v>
      </c>
      <c r="N489">
        <v>1</v>
      </c>
    </row>
    <row r="490" spans="1:14" hidden="1" x14ac:dyDescent="0.2">
      <c r="A490">
        <v>2023</v>
      </c>
      <c r="B490">
        <v>13</v>
      </c>
      <c r="C490" t="s">
        <v>44</v>
      </c>
      <c r="D490" t="s">
        <v>50</v>
      </c>
      <c r="E490">
        <v>122.24</v>
      </c>
      <c r="F490">
        <v>121.52</v>
      </c>
      <c r="G490">
        <f>E490+F490</f>
        <v>243.76</v>
      </c>
      <c r="H490">
        <f>E490-F490</f>
        <v>0.71999999999999886</v>
      </c>
      <c r="I490" t="s">
        <v>45</v>
      </c>
      <c r="J490" t="s">
        <v>29</v>
      </c>
      <c r="K490" t="str">
        <f>_xlfn.CONCAT(_xlfn.CONCAT(I490,"|"), J490)</f>
        <v>Kevin|Eli</v>
      </c>
      <c r="L490">
        <v>0</v>
      </c>
      <c r="M490">
        <v>0</v>
      </c>
      <c r="N490">
        <v>0</v>
      </c>
    </row>
    <row r="491" spans="1:14" hidden="1" x14ac:dyDescent="0.2">
      <c r="A491">
        <v>2022</v>
      </c>
      <c r="B491">
        <v>4</v>
      </c>
      <c r="C491" t="s">
        <v>18</v>
      </c>
      <c r="D491" t="s">
        <v>14</v>
      </c>
      <c r="E491">
        <v>124.68</v>
      </c>
      <c r="F491">
        <v>123.98</v>
      </c>
      <c r="G491">
        <f>E491+F491</f>
        <v>248.66000000000003</v>
      </c>
      <c r="H491">
        <f>E491-F491</f>
        <v>0.70000000000000284</v>
      </c>
      <c r="I491" t="s">
        <v>20</v>
      </c>
      <c r="J491" t="s">
        <v>16</v>
      </c>
      <c r="K491" t="str">
        <f>_xlfn.CONCAT(_xlfn.CONCAT(I491,"|"), J491)</f>
        <v>Schulwolf|Brenton</v>
      </c>
      <c r="L491">
        <v>0</v>
      </c>
      <c r="M491">
        <v>0</v>
      </c>
      <c r="N491">
        <v>0</v>
      </c>
    </row>
    <row r="492" spans="1:14" hidden="1" x14ac:dyDescent="0.2">
      <c r="A492">
        <v>2024</v>
      </c>
      <c r="B492">
        <v>2</v>
      </c>
      <c r="C492" t="s">
        <v>73</v>
      </c>
      <c r="D492" t="s">
        <v>31</v>
      </c>
      <c r="E492">
        <v>138.41999999999999</v>
      </c>
      <c r="F492">
        <v>137.78</v>
      </c>
      <c r="G492">
        <f>E492+F492</f>
        <v>276.2</v>
      </c>
      <c r="H492">
        <f>E492-F492</f>
        <v>0.63999999999998636</v>
      </c>
      <c r="I492" t="s">
        <v>21</v>
      </c>
      <c r="J492" t="s">
        <v>33</v>
      </c>
      <c r="K492" t="str">
        <f>_xlfn.CONCAT(_xlfn.CONCAT(I492,"|"), J492)</f>
        <v>Todd|Jay</v>
      </c>
      <c r="L492">
        <v>0</v>
      </c>
      <c r="M492">
        <v>0</v>
      </c>
      <c r="N492">
        <v>0</v>
      </c>
    </row>
    <row r="493" spans="1:14" hidden="1" x14ac:dyDescent="0.2">
      <c r="A493">
        <v>2023</v>
      </c>
      <c r="B493">
        <v>15</v>
      </c>
      <c r="C493" t="s">
        <v>35</v>
      </c>
      <c r="D493" t="s">
        <v>50</v>
      </c>
      <c r="E493">
        <v>116.56</v>
      </c>
      <c r="F493">
        <v>116.08</v>
      </c>
      <c r="G493">
        <f>E493+F493</f>
        <v>232.64</v>
      </c>
      <c r="H493">
        <f>E493-F493</f>
        <v>0.48000000000000398</v>
      </c>
      <c r="I493" t="s">
        <v>49</v>
      </c>
      <c r="J493" t="s">
        <v>29</v>
      </c>
      <c r="K493" t="str">
        <f>_xlfn.CONCAT(_xlfn.CONCAT(I493,"|"), J493)</f>
        <v>Brand|Eli</v>
      </c>
      <c r="L493">
        <v>0</v>
      </c>
      <c r="M493">
        <v>0</v>
      </c>
      <c r="N493">
        <v>0</v>
      </c>
    </row>
    <row r="494" spans="1:14" hidden="1" x14ac:dyDescent="0.2">
      <c r="A494">
        <v>2021</v>
      </c>
      <c r="B494">
        <v>8</v>
      </c>
      <c r="C494" t="s">
        <v>26</v>
      </c>
      <c r="D494" t="s">
        <v>15</v>
      </c>
      <c r="E494">
        <v>94.9</v>
      </c>
      <c r="F494">
        <v>94.48</v>
      </c>
      <c r="G494">
        <f>E494+F494</f>
        <v>189.38</v>
      </c>
      <c r="H494">
        <f>E494-F494</f>
        <v>0.42000000000000171</v>
      </c>
      <c r="I494" t="s">
        <v>28</v>
      </c>
      <c r="J494" t="s">
        <v>17</v>
      </c>
      <c r="K494" t="str">
        <f>_xlfn.CONCAT(_xlfn.CONCAT(I494,"|"), J494)</f>
        <v>Tommy|Mike</v>
      </c>
      <c r="L494">
        <v>0</v>
      </c>
      <c r="M494">
        <v>0</v>
      </c>
      <c r="N494">
        <v>0</v>
      </c>
    </row>
    <row r="495" spans="1:14" hidden="1" x14ac:dyDescent="0.2">
      <c r="A495">
        <v>2021</v>
      </c>
      <c r="B495">
        <v>4</v>
      </c>
      <c r="C495" t="s">
        <v>26</v>
      </c>
      <c r="D495" t="s">
        <v>30</v>
      </c>
      <c r="E495">
        <v>106.04</v>
      </c>
      <c r="F495">
        <v>105.72</v>
      </c>
      <c r="G495">
        <f>E495+F495</f>
        <v>211.76</v>
      </c>
      <c r="H495">
        <f>E495-F495</f>
        <v>0.32000000000000739</v>
      </c>
      <c r="I495" t="s">
        <v>28</v>
      </c>
      <c r="J495" t="s">
        <v>32</v>
      </c>
      <c r="K495" t="str">
        <f>_xlfn.CONCAT(_xlfn.CONCAT(I495,"|"), J495)</f>
        <v>Tommy|Cam</v>
      </c>
      <c r="L495">
        <v>0</v>
      </c>
      <c r="M495">
        <v>0</v>
      </c>
      <c r="N495">
        <v>0</v>
      </c>
    </row>
    <row r="496" spans="1:14" hidden="1" x14ac:dyDescent="0.2">
      <c r="A496">
        <v>2014</v>
      </c>
      <c r="B496">
        <v>15</v>
      </c>
      <c r="C496" t="s">
        <v>65</v>
      </c>
      <c r="D496" s="2" t="s">
        <v>66</v>
      </c>
      <c r="E496">
        <v>111.98</v>
      </c>
      <c r="F496">
        <v>59.52</v>
      </c>
      <c r="G496">
        <f>E496+F496</f>
        <v>171.5</v>
      </c>
      <c r="H496">
        <f>E496-F496</f>
        <v>52.46</v>
      </c>
      <c r="I496" t="s">
        <v>16</v>
      </c>
      <c r="J496" t="s">
        <v>62</v>
      </c>
      <c r="K496" t="str">
        <f>_xlfn.CONCAT(_xlfn.CONCAT(I496,"|"), J496)</f>
        <v>Brenton|Codola</v>
      </c>
      <c r="L496">
        <v>1</v>
      </c>
      <c r="M496">
        <v>1</v>
      </c>
      <c r="N496">
        <v>0</v>
      </c>
    </row>
    <row r="497" spans="1:14" x14ac:dyDescent="0.2">
      <c r="A497">
        <v>2025</v>
      </c>
      <c r="B497">
        <v>4</v>
      </c>
      <c r="C497" t="s">
        <v>46</v>
      </c>
      <c r="D497" t="s">
        <v>524</v>
      </c>
      <c r="E497">
        <v>116.46</v>
      </c>
      <c r="F497">
        <v>112.46</v>
      </c>
      <c r="G497">
        <f>E497+F497</f>
        <v>228.92</v>
      </c>
      <c r="H497">
        <f>E497-F497</f>
        <v>4</v>
      </c>
      <c r="I497" t="s">
        <v>47</v>
      </c>
      <c r="J497" t="s">
        <v>21</v>
      </c>
      <c r="K497" t="str">
        <f>_xlfn.CONCAT(_xlfn.CONCAT(I497,"|"), J497)</f>
        <v>Burnett/Jasjaap|Todd</v>
      </c>
      <c r="L497">
        <v>0</v>
      </c>
      <c r="M497">
        <v>0</v>
      </c>
      <c r="N497">
        <v>0</v>
      </c>
    </row>
    <row r="498" spans="1:14" hidden="1" x14ac:dyDescent="0.2">
      <c r="A498">
        <v>2024</v>
      </c>
      <c r="B498">
        <v>11</v>
      </c>
      <c r="C498" t="s">
        <v>42</v>
      </c>
      <c r="D498" t="s">
        <v>73</v>
      </c>
      <c r="E498">
        <v>95.74</v>
      </c>
      <c r="F498">
        <v>95.54</v>
      </c>
      <c r="G498">
        <f>E498+F498</f>
        <v>191.28</v>
      </c>
      <c r="H498">
        <f>E498-F498</f>
        <v>0.19999999999998863</v>
      </c>
      <c r="I498" t="s">
        <v>17</v>
      </c>
      <c r="J498" t="s">
        <v>21</v>
      </c>
      <c r="K498" t="str">
        <f>_xlfn.CONCAT(_xlfn.CONCAT(I498,"|"), J498)</f>
        <v>Mike|Todd</v>
      </c>
      <c r="L498">
        <v>0</v>
      </c>
      <c r="M498">
        <v>0</v>
      </c>
      <c r="N498">
        <v>0</v>
      </c>
    </row>
    <row r="499" spans="1:14" hidden="1" x14ac:dyDescent="0.2">
      <c r="A499">
        <v>2023</v>
      </c>
      <c r="B499">
        <v>17</v>
      </c>
      <c r="C499" t="s">
        <v>44</v>
      </c>
      <c r="D499" t="s">
        <v>26</v>
      </c>
      <c r="E499">
        <v>92.66</v>
      </c>
      <c r="F499">
        <v>88.68</v>
      </c>
      <c r="G499">
        <f>E499+F499</f>
        <v>181.34</v>
      </c>
      <c r="H499">
        <f>E499-F499</f>
        <v>3.9799999999999898</v>
      </c>
      <c r="I499" t="s">
        <v>45</v>
      </c>
      <c r="J499" t="s">
        <v>28</v>
      </c>
      <c r="K499" t="str">
        <f>_xlfn.CONCAT(_xlfn.CONCAT(I499,"|"), J499)</f>
        <v>Kevin|Tommy</v>
      </c>
      <c r="L499">
        <v>1</v>
      </c>
      <c r="M499">
        <v>0</v>
      </c>
      <c r="N499">
        <v>0</v>
      </c>
    </row>
    <row r="500" spans="1:14" hidden="1" x14ac:dyDescent="0.2">
      <c r="A500">
        <v>2017</v>
      </c>
      <c r="B500">
        <v>15</v>
      </c>
      <c r="C500" t="s">
        <v>18</v>
      </c>
      <c r="D500" t="s">
        <v>58</v>
      </c>
      <c r="E500">
        <v>126.78</v>
      </c>
      <c r="F500">
        <v>52.68</v>
      </c>
      <c r="G500">
        <f>E500+F500</f>
        <v>179.46</v>
      </c>
      <c r="H500">
        <f>E500-F500</f>
        <v>74.099999999999994</v>
      </c>
      <c r="I500" t="s">
        <v>20</v>
      </c>
      <c r="J500" t="s">
        <v>36</v>
      </c>
      <c r="K500" t="str">
        <f>_xlfn.CONCAT(_xlfn.CONCAT(I500,"|"), J500)</f>
        <v>Schulwolf|Will</v>
      </c>
      <c r="L500">
        <v>1</v>
      </c>
      <c r="M500">
        <v>1</v>
      </c>
      <c r="N500">
        <v>0</v>
      </c>
    </row>
    <row r="501" spans="1:14" hidden="1" x14ac:dyDescent="0.2">
      <c r="A501">
        <v>2023</v>
      </c>
      <c r="B501">
        <v>1</v>
      </c>
      <c r="C501" t="s">
        <v>48</v>
      </c>
      <c r="D501" t="s">
        <v>35</v>
      </c>
      <c r="E501">
        <v>94.02</v>
      </c>
      <c r="F501">
        <v>93.9</v>
      </c>
      <c r="G501">
        <f>E501+F501</f>
        <v>187.92000000000002</v>
      </c>
      <c r="H501">
        <f>E501-F501</f>
        <v>0.11999999999999034</v>
      </c>
      <c r="I501" t="s">
        <v>36</v>
      </c>
      <c r="J501" t="s">
        <v>49</v>
      </c>
      <c r="K501" t="str">
        <f>_xlfn.CONCAT(_xlfn.CONCAT(I501,"|"), J501)</f>
        <v>Will|Brand</v>
      </c>
      <c r="L501">
        <v>0</v>
      </c>
      <c r="M501">
        <v>0</v>
      </c>
      <c r="N501">
        <v>0</v>
      </c>
    </row>
    <row r="502" spans="1:14" x14ac:dyDescent="0.2">
      <c r="A502">
        <v>2025</v>
      </c>
      <c r="B502">
        <v>6</v>
      </c>
      <c r="C502" t="s">
        <v>525</v>
      </c>
      <c r="D502" t="s">
        <v>42</v>
      </c>
      <c r="E502">
        <v>114.94</v>
      </c>
      <c r="F502">
        <v>109.54</v>
      </c>
      <c r="G502">
        <f>E502+F502</f>
        <v>224.48000000000002</v>
      </c>
      <c r="H502">
        <f>E502-F502</f>
        <v>5.3999999999999915</v>
      </c>
      <c r="I502" t="s">
        <v>36</v>
      </c>
      <c r="J502" t="s">
        <v>17</v>
      </c>
      <c r="K502" t="str">
        <f>_xlfn.CONCAT(_xlfn.CONCAT(I502,"|"), J502)</f>
        <v>Will|Mike</v>
      </c>
      <c r="L502">
        <v>0</v>
      </c>
      <c r="M502">
        <v>0</v>
      </c>
      <c r="N502">
        <v>0</v>
      </c>
    </row>
    <row r="503" spans="1:14" hidden="1" x14ac:dyDescent="0.2">
      <c r="A503">
        <v>2025</v>
      </c>
      <c r="B503">
        <v>15</v>
      </c>
      <c r="C503" t="s">
        <v>31</v>
      </c>
      <c r="D503" t="s">
        <v>521</v>
      </c>
      <c r="E503">
        <v>99.18</v>
      </c>
      <c r="F503">
        <v>79.959999999999994</v>
      </c>
      <c r="G503">
        <f t="shared" ref="G450:G503" si="3">E503+F503</f>
        <v>179.14</v>
      </c>
      <c r="H503">
        <f t="shared" ref="H450:H503" si="4">E503-F503</f>
        <v>19.220000000000013</v>
      </c>
      <c r="I503" t="s">
        <v>33</v>
      </c>
      <c r="J503" t="s">
        <v>29</v>
      </c>
      <c r="K503" t="str">
        <f t="shared" ref="K450:K503" si="5">_xlfn.CONCAT(_xlfn.CONCAT(I503,"|"), J503)</f>
        <v>Jay|Eli</v>
      </c>
      <c r="L503">
        <v>1</v>
      </c>
      <c r="M503">
        <v>0</v>
      </c>
      <c r="N503">
        <v>0</v>
      </c>
    </row>
  </sheetData>
  <autoFilter ref="A1:N503" xr:uid="{00000000-0009-0000-0000-000002000000}">
    <filterColumn colId="0">
      <filters>
        <filter val="2025"/>
      </filters>
    </filterColumn>
    <filterColumn colId="7">
      <customFilters>
        <customFilter operator="lessThan" val="10"/>
      </customFilters>
    </filterColumn>
    <sortState xmlns:xlrd2="http://schemas.microsoft.com/office/spreadsheetml/2017/richdata2" ref="A13:N502">
      <sortCondition ref="C1:C503"/>
    </sortState>
  </autoFilter>
  <conditionalFormatting sqref="G2:G50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H100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G3681"/>
  <sheetViews>
    <sheetView workbookViewId="0">
      <selection activeCell="F2950" sqref="F2950:F3400"/>
    </sheetView>
  </sheetViews>
  <sheetFormatPr baseColWidth="10" defaultRowHeight="16" x14ac:dyDescent="0.2"/>
  <cols>
    <col min="1" max="1" width="25.33203125" customWidth="1"/>
    <col min="2" max="2" width="15.5" customWidth="1"/>
    <col min="5" max="5" width="16.5" customWidth="1"/>
  </cols>
  <sheetData>
    <row r="1" spans="1:7" x14ac:dyDescent="0.2">
      <c r="A1" t="s">
        <v>78</v>
      </c>
      <c r="B1" t="s">
        <v>79</v>
      </c>
      <c r="C1" t="s">
        <v>1</v>
      </c>
      <c r="D1" t="s">
        <v>122</v>
      </c>
      <c r="E1" t="s">
        <v>124</v>
      </c>
      <c r="F1" t="s">
        <v>123</v>
      </c>
      <c r="G1" t="s">
        <v>140</v>
      </c>
    </row>
    <row r="2" spans="1:7" hidden="1" x14ac:dyDescent="0.2">
      <c r="A2" t="s">
        <v>14</v>
      </c>
      <c r="B2" t="s">
        <v>16</v>
      </c>
      <c r="C2">
        <v>1</v>
      </c>
      <c r="D2" t="s">
        <v>125</v>
      </c>
      <c r="E2" t="s">
        <v>126</v>
      </c>
      <c r="F2">
        <v>11.28</v>
      </c>
      <c r="G2">
        <v>2024</v>
      </c>
    </row>
    <row r="3" spans="1:7" hidden="1" x14ac:dyDescent="0.2">
      <c r="A3" t="s">
        <v>14</v>
      </c>
      <c r="B3" t="s">
        <v>16</v>
      </c>
      <c r="C3">
        <v>1</v>
      </c>
      <c r="D3" t="s">
        <v>128</v>
      </c>
      <c r="E3" t="s">
        <v>132</v>
      </c>
      <c r="F3">
        <v>31.1</v>
      </c>
      <c r="G3">
        <v>2024</v>
      </c>
    </row>
    <row r="4" spans="1:7" hidden="1" x14ac:dyDescent="0.2">
      <c r="A4" t="s">
        <v>14</v>
      </c>
      <c r="B4" t="s">
        <v>16</v>
      </c>
      <c r="C4">
        <v>1</v>
      </c>
      <c r="D4" t="s">
        <v>128</v>
      </c>
      <c r="E4" t="s">
        <v>133</v>
      </c>
      <c r="F4">
        <v>22.5</v>
      </c>
      <c r="G4">
        <v>2024</v>
      </c>
    </row>
    <row r="5" spans="1:7" hidden="1" x14ac:dyDescent="0.2">
      <c r="A5" t="s">
        <v>14</v>
      </c>
      <c r="B5" t="s">
        <v>16</v>
      </c>
      <c r="C5">
        <v>1</v>
      </c>
      <c r="D5" t="s">
        <v>128</v>
      </c>
      <c r="E5" t="s">
        <v>134</v>
      </c>
      <c r="F5">
        <v>8.1</v>
      </c>
      <c r="G5">
        <v>2024</v>
      </c>
    </row>
    <row r="6" spans="1:7" hidden="1" x14ac:dyDescent="0.2">
      <c r="A6" t="s">
        <v>14</v>
      </c>
      <c r="B6" t="s">
        <v>16</v>
      </c>
      <c r="C6">
        <v>1</v>
      </c>
      <c r="D6" t="s">
        <v>129</v>
      </c>
      <c r="E6" t="s">
        <v>137</v>
      </c>
      <c r="F6">
        <v>5.5</v>
      </c>
      <c r="G6">
        <v>2024</v>
      </c>
    </row>
    <row r="7" spans="1:7" hidden="1" x14ac:dyDescent="0.2">
      <c r="A7" t="s">
        <v>14</v>
      </c>
      <c r="B7" t="s">
        <v>16</v>
      </c>
      <c r="C7">
        <v>1</v>
      </c>
      <c r="D7" t="s">
        <v>130</v>
      </c>
      <c r="E7" t="s">
        <v>138</v>
      </c>
      <c r="F7">
        <v>3</v>
      </c>
      <c r="G7">
        <v>2024</v>
      </c>
    </row>
    <row r="8" spans="1:7" hidden="1" x14ac:dyDescent="0.2">
      <c r="A8" t="s">
        <v>14</v>
      </c>
      <c r="B8" t="s">
        <v>16</v>
      </c>
      <c r="C8">
        <v>1</v>
      </c>
      <c r="D8" t="s">
        <v>131</v>
      </c>
      <c r="E8" t="s">
        <v>139</v>
      </c>
      <c r="F8">
        <v>10</v>
      </c>
      <c r="G8">
        <v>2024</v>
      </c>
    </row>
    <row r="9" spans="1:7" hidden="1" x14ac:dyDescent="0.2">
      <c r="A9" t="s">
        <v>14</v>
      </c>
      <c r="B9" t="s">
        <v>16</v>
      </c>
      <c r="C9">
        <v>1</v>
      </c>
      <c r="D9" t="s">
        <v>127</v>
      </c>
      <c r="E9" t="s">
        <v>135</v>
      </c>
      <c r="F9">
        <v>15.9</v>
      </c>
      <c r="G9">
        <v>2024</v>
      </c>
    </row>
    <row r="10" spans="1:7" hidden="1" x14ac:dyDescent="0.2">
      <c r="A10" t="s">
        <v>14</v>
      </c>
      <c r="B10" t="s">
        <v>16</v>
      </c>
      <c r="C10">
        <v>1</v>
      </c>
      <c r="D10" t="s">
        <v>127</v>
      </c>
      <c r="E10" t="s">
        <v>136</v>
      </c>
      <c r="F10">
        <v>2.8</v>
      </c>
      <c r="G10">
        <v>2024</v>
      </c>
    </row>
    <row r="11" spans="1:7" hidden="1" x14ac:dyDescent="0.2">
      <c r="A11" t="s">
        <v>14</v>
      </c>
      <c r="B11" t="s">
        <v>16</v>
      </c>
      <c r="C11">
        <v>1</v>
      </c>
      <c r="D11" t="s">
        <v>293</v>
      </c>
      <c r="E11" t="s">
        <v>372</v>
      </c>
      <c r="F11">
        <v>0</v>
      </c>
      <c r="G11">
        <v>2024</v>
      </c>
    </row>
    <row r="12" spans="1:7" hidden="1" x14ac:dyDescent="0.2">
      <c r="A12" t="s">
        <v>73</v>
      </c>
      <c r="B12" t="s">
        <v>21</v>
      </c>
      <c r="C12">
        <v>1</v>
      </c>
      <c r="D12" t="s">
        <v>125</v>
      </c>
      <c r="E12" t="s">
        <v>141</v>
      </c>
      <c r="F12">
        <v>11.46</v>
      </c>
      <c r="G12">
        <v>2024</v>
      </c>
    </row>
    <row r="13" spans="1:7" hidden="1" x14ac:dyDescent="0.2">
      <c r="A13" t="s">
        <v>73</v>
      </c>
      <c r="B13" t="s">
        <v>21</v>
      </c>
      <c r="C13">
        <v>1</v>
      </c>
      <c r="D13" t="s">
        <v>128</v>
      </c>
      <c r="E13" t="s">
        <v>145</v>
      </c>
      <c r="F13">
        <v>20.399999999999999</v>
      </c>
      <c r="G13">
        <v>2024</v>
      </c>
    </row>
    <row r="14" spans="1:7" hidden="1" x14ac:dyDescent="0.2">
      <c r="A14" t="s">
        <v>73</v>
      </c>
      <c r="B14" t="s">
        <v>21</v>
      </c>
      <c r="C14">
        <v>1</v>
      </c>
      <c r="D14" t="s">
        <v>128</v>
      </c>
      <c r="E14" t="s">
        <v>146</v>
      </c>
      <c r="F14">
        <v>16.2</v>
      </c>
      <c r="G14">
        <v>2024</v>
      </c>
    </row>
    <row r="15" spans="1:7" hidden="1" x14ac:dyDescent="0.2">
      <c r="A15" t="s">
        <v>73</v>
      </c>
      <c r="B15" t="s">
        <v>21</v>
      </c>
      <c r="C15">
        <v>1</v>
      </c>
      <c r="D15" t="s">
        <v>128</v>
      </c>
      <c r="E15" t="s">
        <v>147</v>
      </c>
      <c r="F15">
        <v>13.8</v>
      </c>
      <c r="G15">
        <v>2024</v>
      </c>
    </row>
    <row r="16" spans="1:7" hidden="1" x14ac:dyDescent="0.2">
      <c r="A16" t="s">
        <v>73</v>
      </c>
      <c r="B16" t="s">
        <v>21</v>
      </c>
      <c r="C16">
        <v>1</v>
      </c>
      <c r="D16" t="s">
        <v>127</v>
      </c>
      <c r="E16" t="s">
        <v>148</v>
      </c>
      <c r="F16">
        <v>19.5</v>
      </c>
      <c r="G16">
        <v>2024</v>
      </c>
    </row>
    <row r="17" spans="1:7" hidden="1" x14ac:dyDescent="0.2">
      <c r="A17" t="s">
        <v>73</v>
      </c>
      <c r="B17" t="s">
        <v>21</v>
      </c>
      <c r="C17">
        <v>1</v>
      </c>
      <c r="D17" t="s">
        <v>127</v>
      </c>
      <c r="E17" t="s">
        <v>149</v>
      </c>
      <c r="F17">
        <v>17.8</v>
      </c>
      <c r="G17">
        <v>2024</v>
      </c>
    </row>
    <row r="18" spans="1:7" hidden="1" x14ac:dyDescent="0.2">
      <c r="A18" t="s">
        <v>73</v>
      </c>
      <c r="B18" t="s">
        <v>21</v>
      </c>
      <c r="C18">
        <v>1</v>
      </c>
      <c r="D18" t="s">
        <v>129</v>
      </c>
      <c r="E18" t="s">
        <v>144</v>
      </c>
      <c r="F18">
        <v>4.7</v>
      </c>
      <c r="G18">
        <v>2024</v>
      </c>
    </row>
    <row r="19" spans="1:7" hidden="1" x14ac:dyDescent="0.2">
      <c r="A19" t="s">
        <v>73</v>
      </c>
      <c r="B19" t="s">
        <v>21</v>
      </c>
      <c r="C19">
        <v>1</v>
      </c>
      <c r="D19" t="s">
        <v>130</v>
      </c>
      <c r="E19" t="s">
        <v>142</v>
      </c>
      <c r="F19">
        <v>10</v>
      </c>
      <c r="G19">
        <v>2024</v>
      </c>
    </row>
    <row r="20" spans="1:7" hidden="1" x14ac:dyDescent="0.2">
      <c r="A20" t="s">
        <v>73</v>
      </c>
      <c r="B20" t="s">
        <v>21</v>
      </c>
      <c r="C20">
        <v>1</v>
      </c>
      <c r="D20" t="s">
        <v>131</v>
      </c>
      <c r="E20" t="s">
        <v>143</v>
      </c>
      <c r="F20">
        <v>4</v>
      </c>
      <c r="G20">
        <v>2024</v>
      </c>
    </row>
    <row r="21" spans="1:7" hidden="1" x14ac:dyDescent="0.2">
      <c r="A21" t="s">
        <v>73</v>
      </c>
      <c r="B21" t="s">
        <v>21</v>
      </c>
      <c r="C21">
        <v>1</v>
      </c>
      <c r="D21" t="s">
        <v>294</v>
      </c>
      <c r="E21" t="s">
        <v>243</v>
      </c>
      <c r="F21">
        <v>6.5</v>
      </c>
      <c r="G21">
        <v>2024</v>
      </c>
    </row>
    <row r="22" spans="1:7" hidden="1" x14ac:dyDescent="0.2">
      <c r="A22" t="s">
        <v>42</v>
      </c>
      <c r="B22" t="s">
        <v>17</v>
      </c>
      <c r="C22">
        <v>1</v>
      </c>
      <c r="D22" t="s">
        <v>125</v>
      </c>
      <c r="E22" t="s">
        <v>150</v>
      </c>
      <c r="F22">
        <v>14.64</v>
      </c>
      <c r="G22">
        <v>2024</v>
      </c>
    </row>
    <row r="23" spans="1:7" hidden="1" x14ac:dyDescent="0.2">
      <c r="A23" t="s">
        <v>42</v>
      </c>
      <c r="B23" t="s">
        <v>17</v>
      </c>
      <c r="C23">
        <v>1</v>
      </c>
      <c r="D23" t="s">
        <v>128</v>
      </c>
      <c r="E23" t="s">
        <v>151</v>
      </c>
      <c r="F23">
        <v>8.4</v>
      </c>
      <c r="G23">
        <v>2024</v>
      </c>
    </row>
    <row r="24" spans="1:7" hidden="1" x14ac:dyDescent="0.2">
      <c r="A24" t="s">
        <v>42</v>
      </c>
      <c r="B24" t="s">
        <v>17</v>
      </c>
      <c r="C24">
        <v>1</v>
      </c>
      <c r="D24" t="s">
        <v>128</v>
      </c>
      <c r="E24" t="s">
        <v>152</v>
      </c>
      <c r="F24">
        <v>20.6</v>
      </c>
      <c r="G24">
        <v>2024</v>
      </c>
    </row>
    <row r="25" spans="1:7" hidden="1" x14ac:dyDescent="0.2">
      <c r="A25" t="s">
        <v>42</v>
      </c>
      <c r="B25" t="s">
        <v>17</v>
      </c>
      <c r="C25">
        <v>1</v>
      </c>
      <c r="D25" t="s">
        <v>128</v>
      </c>
      <c r="E25" t="s">
        <v>153</v>
      </c>
      <c r="F25">
        <v>11.7</v>
      </c>
      <c r="G25">
        <v>2024</v>
      </c>
    </row>
    <row r="26" spans="1:7" hidden="1" x14ac:dyDescent="0.2">
      <c r="A26" t="s">
        <v>42</v>
      </c>
      <c r="B26" t="s">
        <v>17</v>
      </c>
      <c r="C26">
        <v>1</v>
      </c>
      <c r="D26" t="s">
        <v>127</v>
      </c>
      <c r="E26" t="s">
        <v>154</v>
      </c>
      <c r="F26">
        <v>10.6</v>
      </c>
      <c r="G26">
        <v>2024</v>
      </c>
    </row>
    <row r="27" spans="1:7" hidden="1" x14ac:dyDescent="0.2">
      <c r="A27" t="s">
        <v>42</v>
      </c>
      <c r="B27" t="s">
        <v>17</v>
      </c>
      <c r="C27">
        <v>1</v>
      </c>
      <c r="D27" t="s">
        <v>127</v>
      </c>
      <c r="E27" t="s">
        <v>155</v>
      </c>
      <c r="F27">
        <v>5.2</v>
      </c>
      <c r="G27">
        <v>2024</v>
      </c>
    </row>
    <row r="28" spans="1:7" hidden="1" x14ac:dyDescent="0.2">
      <c r="A28" t="s">
        <v>42</v>
      </c>
      <c r="B28" t="s">
        <v>17</v>
      </c>
      <c r="C28">
        <v>1</v>
      </c>
      <c r="D28" t="s">
        <v>129</v>
      </c>
      <c r="E28" t="s">
        <v>156</v>
      </c>
      <c r="F28">
        <v>6.5</v>
      </c>
      <c r="G28">
        <v>2024</v>
      </c>
    </row>
    <row r="29" spans="1:7" hidden="1" x14ac:dyDescent="0.2">
      <c r="A29" t="s">
        <v>42</v>
      </c>
      <c r="B29" t="s">
        <v>17</v>
      </c>
      <c r="C29">
        <v>1</v>
      </c>
      <c r="D29" t="s">
        <v>131</v>
      </c>
      <c r="E29" t="s">
        <v>158</v>
      </c>
      <c r="F29">
        <v>9</v>
      </c>
      <c r="G29">
        <v>2024</v>
      </c>
    </row>
    <row r="30" spans="1:7" hidden="1" x14ac:dyDescent="0.2">
      <c r="A30" t="s">
        <v>42</v>
      </c>
      <c r="B30" t="s">
        <v>17</v>
      </c>
      <c r="C30">
        <v>1</v>
      </c>
      <c r="D30" t="s">
        <v>130</v>
      </c>
      <c r="E30" t="s">
        <v>157</v>
      </c>
      <c r="F30">
        <v>6</v>
      </c>
      <c r="G30">
        <v>2024</v>
      </c>
    </row>
    <row r="31" spans="1:7" hidden="1" x14ac:dyDescent="0.2">
      <c r="A31" t="s">
        <v>42</v>
      </c>
      <c r="B31" t="s">
        <v>17</v>
      </c>
      <c r="C31">
        <v>1</v>
      </c>
      <c r="D31" t="s">
        <v>294</v>
      </c>
      <c r="E31" t="s">
        <v>274</v>
      </c>
      <c r="F31">
        <v>7.4</v>
      </c>
      <c r="G31">
        <v>2024</v>
      </c>
    </row>
    <row r="32" spans="1:7" hidden="1" x14ac:dyDescent="0.2">
      <c r="A32" t="s">
        <v>77</v>
      </c>
      <c r="B32" t="s">
        <v>45</v>
      </c>
      <c r="C32">
        <v>1</v>
      </c>
      <c r="D32" t="s">
        <v>125</v>
      </c>
      <c r="E32" t="s">
        <v>159</v>
      </c>
      <c r="F32">
        <v>18.66</v>
      </c>
      <c r="G32">
        <v>2024</v>
      </c>
    </row>
    <row r="33" spans="1:7" hidden="1" x14ac:dyDescent="0.2">
      <c r="A33" t="s">
        <v>77</v>
      </c>
      <c r="B33" t="s">
        <v>45</v>
      </c>
      <c r="C33">
        <v>1</v>
      </c>
      <c r="D33" t="s">
        <v>128</v>
      </c>
      <c r="E33" t="s">
        <v>160</v>
      </c>
      <c r="F33">
        <v>10.5</v>
      </c>
      <c r="G33">
        <v>2024</v>
      </c>
    </row>
    <row r="34" spans="1:7" hidden="1" x14ac:dyDescent="0.2">
      <c r="A34" t="s">
        <v>77</v>
      </c>
      <c r="B34" t="s">
        <v>45</v>
      </c>
      <c r="C34">
        <v>1</v>
      </c>
      <c r="D34" t="s">
        <v>128</v>
      </c>
      <c r="E34" t="s">
        <v>161</v>
      </c>
      <c r="F34">
        <v>2.1</v>
      </c>
      <c r="G34">
        <v>2024</v>
      </c>
    </row>
    <row r="35" spans="1:7" hidden="1" x14ac:dyDescent="0.2">
      <c r="A35" t="s">
        <v>77</v>
      </c>
      <c r="B35" t="s">
        <v>45</v>
      </c>
      <c r="C35">
        <v>1</v>
      </c>
      <c r="D35" t="s">
        <v>128</v>
      </c>
      <c r="E35" t="s">
        <v>162</v>
      </c>
      <c r="F35">
        <v>0.9</v>
      </c>
      <c r="G35">
        <v>2024</v>
      </c>
    </row>
    <row r="36" spans="1:7" hidden="1" x14ac:dyDescent="0.2">
      <c r="A36" t="s">
        <v>77</v>
      </c>
      <c r="B36" t="s">
        <v>45</v>
      </c>
      <c r="C36">
        <v>1</v>
      </c>
      <c r="D36" t="s">
        <v>127</v>
      </c>
      <c r="E36" t="s">
        <v>163</v>
      </c>
      <c r="F36">
        <v>25.3</v>
      </c>
      <c r="G36">
        <v>2024</v>
      </c>
    </row>
    <row r="37" spans="1:7" hidden="1" x14ac:dyDescent="0.2">
      <c r="A37" t="s">
        <v>77</v>
      </c>
      <c r="B37" t="s">
        <v>45</v>
      </c>
      <c r="C37">
        <v>1</v>
      </c>
      <c r="D37" t="s">
        <v>127</v>
      </c>
      <c r="E37" t="s">
        <v>164</v>
      </c>
      <c r="F37">
        <v>14.8</v>
      </c>
      <c r="G37">
        <v>2024</v>
      </c>
    </row>
    <row r="38" spans="1:7" hidden="1" x14ac:dyDescent="0.2">
      <c r="A38" t="s">
        <v>77</v>
      </c>
      <c r="B38" t="s">
        <v>45</v>
      </c>
      <c r="C38">
        <v>1</v>
      </c>
      <c r="D38" t="s">
        <v>129</v>
      </c>
      <c r="E38" t="s">
        <v>165</v>
      </c>
      <c r="F38">
        <v>2.8</v>
      </c>
      <c r="G38">
        <v>2024</v>
      </c>
    </row>
    <row r="39" spans="1:7" hidden="1" x14ac:dyDescent="0.2">
      <c r="A39" t="s">
        <v>77</v>
      </c>
      <c r="B39" t="s">
        <v>45</v>
      </c>
      <c r="C39">
        <v>1</v>
      </c>
      <c r="D39" t="s">
        <v>131</v>
      </c>
      <c r="E39" t="s">
        <v>166</v>
      </c>
      <c r="F39">
        <v>8</v>
      </c>
      <c r="G39">
        <v>2024</v>
      </c>
    </row>
    <row r="40" spans="1:7" hidden="1" x14ac:dyDescent="0.2">
      <c r="A40" t="s">
        <v>77</v>
      </c>
      <c r="B40" t="s">
        <v>45</v>
      </c>
      <c r="C40">
        <v>1</v>
      </c>
      <c r="D40" t="s">
        <v>130</v>
      </c>
      <c r="E40" t="s">
        <v>167</v>
      </c>
      <c r="F40">
        <v>23</v>
      </c>
      <c r="G40">
        <v>2024</v>
      </c>
    </row>
    <row r="41" spans="1:7" hidden="1" x14ac:dyDescent="0.2">
      <c r="A41" t="s">
        <v>77</v>
      </c>
      <c r="B41" t="s">
        <v>45</v>
      </c>
      <c r="C41">
        <v>1</v>
      </c>
      <c r="D41" t="s">
        <v>293</v>
      </c>
      <c r="E41" t="s">
        <v>252</v>
      </c>
      <c r="F41">
        <v>8.4</v>
      </c>
      <c r="G41">
        <v>2024</v>
      </c>
    </row>
    <row r="42" spans="1:7" hidden="1" x14ac:dyDescent="0.2">
      <c r="A42" t="s">
        <v>74</v>
      </c>
      <c r="B42" t="s">
        <v>29</v>
      </c>
      <c r="C42">
        <v>1</v>
      </c>
      <c r="D42" t="s">
        <v>125</v>
      </c>
      <c r="E42" t="s">
        <v>168</v>
      </c>
      <c r="F42">
        <v>16.420000000000002</v>
      </c>
      <c r="G42">
        <v>2024</v>
      </c>
    </row>
    <row r="43" spans="1:7" hidden="1" x14ac:dyDescent="0.2">
      <c r="A43" t="s">
        <v>74</v>
      </c>
      <c r="B43" t="s">
        <v>29</v>
      </c>
      <c r="C43">
        <v>1</v>
      </c>
      <c r="D43" t="s">
        <v>128</v>
      </c>
      <c r="E43" t="s">
        <v>171</v>
      </c>
      <c r="F43">
        <v>13.9</v>
      </c>
      <c r="G43">
        <v>2024</v>
      </c>
    </row>
    <row r="44" spans="1:7" hidden="1" x14ac:dyDescent="0.2">
      <c r="A44" t="s">
        <v>74</v>
      </c>
      <c r="B44" t="s">
        <v>29</v>
      </c>
      <c r="C44">
        <v>1</v>
      </c>
      <c r="D44" t="s">
        <v>128</v>
      </c>
      <c r="E44" t="s">
        <v>172</v>
      </c>
      <c r="F44">
        <v>7.5</v>
      </c>
      <c r="G44">
        <v>2024</v>
      </c>
    </row>
    <row r="45" spans="1:7" hidden="1" x14ac:dyDescent="0.2">
      <c r="A45" t="s">
        <v>74</v>
      </c>
      <c r="B45" t="s">
        <v>29</v>
      </c>
      <c r="C45">
        <v>1</v>
      </c>
      <c r="D45" t="s">
        <v>128</v>
      </c>
      <c r="E45" t="s">
        <v>173</v>
      </c>
      <c r="F45">
        <v>2.2000000000000002</v>
      </c>
      <c r="G45">
        <v>2024</v>
      </c>
    </row>
    <row r="46" spans="1:7" hidden="1" x14ac:dyDescent="0.2">
      <c r="A46" t="s">
        <v>74</v>
      </c>
      <c r="B46" t="s">
        <v>29</v>
      </c>
      <c r="C46">
        <v>1</v>
      </c>
      <c r="D46" t="s">
        <v>127</v>
      </c>
      <c r="E46" t="s">
        <v>174</v>
      </c>
      <c r="F46">
        <v>13.6</v>
      </c>
      <c r="G46">
        <v>2024</v>
      </c>
    </row>
    <row r="47" spans="1:7" hidden="1" x14ac:dyDescent="0.2">
      <c r="A47" t="s">
        <v>74</v>
      </c>
      <c r="B47" t="s">
        <v>29</v>
      </c>
      <c r="C47">
        <v>1</v>
      </c>
      <c r="D47" t="s">
        <v>127</v>
      </c>
      <c r="E47" t="s">
        <v>175</v>
      </c>
      <c r="F47">
        <v>3</v>
      </c>
      <c r="G47">
        <v>2024</v>
      </c>
    </row>
    <row r="48" spans="1:7" hidden="1" x14ac:dyDescent="0.2">
      <c r="A48" t="s">
        <v>74</v>
      </c>
      <c r="B48" t="s">
        <v>29</v>
      </c>
      <c r="C48">
        <v>1</v>
      </c>
      <c r="D48" t="s">
        <v>129</v>
      </c>
      <c r="E48" t="s">
        <v>170</v>
      </c>
      <c r="F48">
        <v>6.4</v>
      </c>
      <c r="G48">
        <v>2024</v>
      </c>
    </row>
    <row r="49" spans="1:7" hidden="1" x14ac:dyDescent="0.2">
      <c r="A49" t="s">
        <v>74</v>
      </c>
      <c r="B49" t="s">
        <v>29</v>
      </c>
      <c r="C49">
        <v>1</v>
      </c>
      <c r="D49" t="s">
        <v>131</v>
      </c>
      <c r="E49" t="s">
        <v>169</v>
      </c>
      <c r="F49">
        <v>26</v>
      </c>
      <c r="G49">
        <v>2024</v>
      </c>
    </row>
    <row r="50" spans="1:7" hidden="1" x14ac:dyDescent="0.2">
      <c r="A50" t="s">
        <v>74</v>
      </c>
      <c r="B50" t="s">
        <v>29</v>
      </c>
      <c r="C50">
        <v>1</v>
      </c>
      <c r="D50" t="s">
        <v>130</v>
      </c>
      <c r="E50" t="s">
        <v>408</v>
      </c>
      <c r="F50">
        <v>-2</v>
      </c>
      <c r="G50">
        <v>2024</v>
      </c>
    </row>
    <row r="51" spans="1:7" hidden="1" x14ac:dyDescent="0.2">
      <c r="A51" t="s">
        <v>74</v>
      </c>
      <c r="B51" t="s">
        <v>29</v>
      </c>
      <c r="C51">
        <v>1</v>
      </c>
      <c r="D51" t="s">
        <v>294</v>
      </c>
      <c r="E51" t="s">
        <v>280</v>
      </c>
      <c r="F51">
        <v>1.6</v>
      </c>
      <c r="G51">
        <v>2024</v>
      </c>
    </row>
    <row r="52" spans="1:7" hidden="1" x14ac:dyDescent="0.2">
      <c r="A52" t="s">
        <v>46</v>
      </c>
      <c r="B52" t="s">
        <v>47</v>
      </c>
      <c r="C52">
        <v>1</v>
      </c>
      <c r="D52" t="s">
        <v>125</v>
      </c>
      <c r="E52" t="s">
        <v>176</v>
      </c>
      <c r="F52">
        <v>10.34</v>
      </c>
      <c r="G52">
        <v>2024</v>
      </c>
    </row>
    <row r="53" spans="1:7" hidden="1" x14ac:dyDescent="0.2">
      <c r="A53" t="s">
        <v>46</v>
      </c>
      <c r="B53" t="s">
        <v>47</v>
      </c>
      <c r="C53">
        <v>1</v>
      </c>
      <c r="D53" t="s">
        <v>128</v>
      </c>
      <c r="E53" t="s">
        <v>177</v>
      </c>
      <c r="F53">
        <v>11.1</v>
      </c>
      <c r="G53">
        <v>2024</v>
      </c>
    </row>
    <row r="54" spans="1:7" hidden="1" x14ac:dyDescent="0.2">
      <c r="A54" t="s">
        <v>46</v>
      </c>
      <c r="B54" t="s">
        <v>47</v>
      </c>
      <c r="C54">
        <v>1</v>
      </c>
      <c r="D54" t="s">
        <v>128</v>
      </c>
      <c r="E54" t="s">
        <v>178</v>
      </c>
      <c r="F54">
        <v>13.7</v>
      </c>
      <c r="G54">
        <v>2024</v>
      </c>
    </row>
    <row r="55" spans="1:7" hidden="1" x14ac:dyDescent="0.2">
      <c r="A55" t="s">
        <v>46</v>
      </c>
      <c r="B55" t="s">
        <v>47</v>
      </c>
      <c r="C55">
        <v>1</v>
      </c>
      <c r="D55" t="s">
        <v>128</v>
      </c>
      <c r="E55" t="s">
        <v>179</v>
      </c>
      <c r="F55">
        <v>6.2</v>
      </c>
      <c r="G55">
        <v>2024</v>
      </c>
    </row>
    <row r="56" spans="1:7" hidden="1" x14ac:dyDescent="0.2">
      <c r="A56" t="s">
        <v>46</v>
      </c>
      <c r="B56" t="s">
        <v>47</v>
      </c>
      <c r="C56">
        <v>1</v>
      </c>
      <c r="D56" t="s">
        <v>127</v>
      </c>
      <c r="E56" t="s">
        <v>180</v>
      </c>
      <c r="F56">
        <v>11.4</v>
      </c>
      <c r="G56">
        <v>2024</v>
      </c>
    </row>
    <row r="57" spans="1:7" hidden="1" x14ac:dyDescent="0.2">
      <c r="A57" t="s">
        <v>46</v>
      </c>
      <c r="B57" t="s">
        <v>47</v>
      </c>
      <c r="C57">
        <v>1</v>
      </c>
      <c r="D57" t="s">
        <v>127</v>
      </c>
      <c r="E57" t="s">
        <v>181</v>
      </c>
      <c r="F57">
        <v>15.8</v>
      </c>
      <c r="G57">
        <v>2024</v>
      </c>
    </row>
    <row r="58" spans="1:7" hidden="1" x14ac:dyDescent="0.2">
      <c r="A58" t="s">
        <v>46</v>
      </c>
      <c r="B58" t="s">
        <v>47</v>
      </c>
      <c r="C58">
        <v>1</v>
      </c>
      <c r="D58" t="s">
        <v>129</v>
      </c>
      <c r="E58" t="s">
        <v>182</v>
      </c>
      <c r="F58">
        <v>8.8000000000000007</v>
      </c>
      <c r="G58">
        <v>2024</v>
      </c>
    </row>
    <row r="59" spans="1:7" hidden="1" x14ac:dyDescent="0.2">
      <c r="A59" t="s">
        <v>46</v>
      </c>
      <c r="B59" t="s">
        <v>47</v>
      </c>
      <c r="C59">
        <v>1</v>
      </c>
      <c r="D59" t="s">
        <v>131</v>
      </c>
      <c r="E59" t="s">
        <v>183</v>
      </c>
      <c r="F59">
        <v>10</v>
      </c>
      <c r="G59">
        <v>2024</v>
      </c>
    </row>
    <row r="60" spans="1:7" hidden="1" x14ac:dyDescent="0.2">
      <c r="A60" t="s">
        <v>46</v>
      </c>
      <c r="B60" t="s">
        <v>47</v>
      </c>
      <c r="C60">
        <v>1</v>
      </c>
      <c r="D60" t="s">
        <v>130</v>
      </c>
      <c r="E60" t="s">
        <v>184</v>
      </c>
      <c r="F60">
        <v>13</v>
      </c>
      <c r="G60">
        <v>2024</v>
      </c>
    </row>
    <row r="61" spans="1:7" hidden="1" x14ac:dyDescent="0.2">
      <c r="A61" t="s">
        <v>46</v>
      </c>
      <c r="B61" t="s">
        <v>47</v>
      </c>
      <c r="C61">
        <v>1</v>
      </c>
      <c r="D61" t="s">
        <v>293</v>
      </c>
      <c r="E61" t="s">
        <v>296</v>
      </c>
      <c r="F61">
        <v>3.3</v>
      </c>
      <c r="G61">
        <v>2024</v>
      </c>
    </row>
    <row r="62" spans="1:7" hidden="1" x14ac:dyDescent="0.2">
      <c r="A62" t="s">
        <v>75</v>
      </c>
      <c r="B62" t="s">
        <v>36</v>
      </c>
      <c r="C62">
        <v>1</v>
      </c>
      <c r="D62" t="s">
        <v>125</v>
      </c>
      <c r="E62" t="s">
        <v>185</v>
      </c>
      <c r="F62">
        <v>7.22</v>
      </c>
      <c r="G62">
        <v>2024</v>
      </c>
    </row>
    <row r="63" spans="1:7" hidden="1" x14ac:dyDescent="0.2">
      <c r="A63" t="s">
        <v>75</v>
      </c>
      <c r="B63" t="s">
        <v>36</v>
      </c>
      <c r="C63">
        <v>1</v>
      </c>
      <c r="D63" t="s">
        <v>128</v>
      </c>
      <c r="E63" t="s">
        <v>186</v>
      </c>
      <c r="F63">
        <v>12.4</v>
      </c>
      <c r="G63">
        <v>2024</v>
      </c>
    </row>
    <row r="64" spans="1:7" hidden="1" x14ac:dyDescent="0.2">
      <c r="A64" t="s">
        <v>75</v>
      </c>
      <c r="B64" t="s">
        <v>36</v>
      </c>
      <c r="C64">
        <v>1</v>
      </c>
      <c r="D64" t="s">
        <v>128</v>
      </c>
      <c r="E64" t="s">
        <v>187</v>
      </c>
      <c r="F64">
        <v>2.8</v>
      </c>
      <c r="G64">
        <v>2024</v>
      </c>
    </row>
    <row r="65" spans="1:7" hidden="1" x14ac:dyDescent="0.2">
      <c r="A65" t="s">
        <v>75</v>
      </c>
      <c r="B65" t="s">
        <v>36</v>
      </c>
      <c r="C65">
        <v>1</v>
      </c>
      <c r="D65" t="s">
        <v>128</v>
      </c>
      <c r="E65" t="s">
        <v>188</v>
      </c>
      <c r="F65">
        <v>2.5</v>
      </c>
      <c r="G65">
        <v>2024</v>
      </c>
    </row>
    <row r="66" spans="1:7" hidden="1" x14ac:dyDescent="0.2">
      <c r="A66" t="s">
        <v>75</v>
      </c>
      <c r="B66" t="s">
        <v>36</v>
      </c>
      <c r="C66">
        <v>1</v>
      </c>
      <c r="D66" t="s">
        <v>127</v>
      </c>
      <c r="E66" t="s">
        <v>189</v>
      </c>
      <c r="F66">
        <v>10.9</v>
      </c>
      <c r="G66">
        <v>2024</v>
      </c>
    </row>
    <row r="67" spans="1:7" hidden="1" x14ac:dyDescent="0.2">
      <c r="A67" t="s">
        <v>75</v>
      </c>
      <c r="B67" t="s">
        <v>36</v>
      </c>
      <c r="C67">
        <v>1</v>
      </c>
      <c r="D67" t="s">
        <v>127</v>
      </c>
      <c r="E67" t="s">
        <v>190</v>
      </c>
      <c r="F67">
        <v>3.6</v>
      </c>
      <c r="G67">
        <v>2024</v>
      </c>
    </row>
    <row r="68" spans="1:7" hidden="1" x14ac:dyDescent="0.2">
      <c r="A68" t="s">
        <v>75</v>
      </c>
      <c r="B68" t="s">
        <v>36</v>
      </c>
      <c r="C68">
        <v>1</v>
      </c>
      <c r="D68" t="s">
        <v>129</v>
      </c>
      <c r="E68" t="s">
        <v>191</v>
      </c>
      <c r="F68">
        <v>10.1</v>
      </c>
      <c r="G68">
        <v>2024</v>
      </c>
    </row>
    <row r="69" spans="1:7" hidden="1" x14ac:dyDescent="0.2">
      <c r="A69" t="s">
        <v>75</v>
      </c>
      <c r="B69" t="s">
        <v>36</v>
      </c>
      <c r="C69">
        <v>1</v>
      </c>
      <c r="D69" t="s">
        <v>131</v>
      </c>
      <c r="E69" t="s">
        <v>192</v>
      </c>
      <c r="F69">
        <v>10</v>
      </c>
      <c r="G69">
        <v>2024</v>
      </c>
    </row>
    <row r="70" spans="1:7" hidden="1" x14ac:dyDescent="0.2">
      <c r="A70" t="s">
        <v>75</v>
      </c>
      <c r="B70" t="s">
        <v>36</v>
      </c>
      <c r="C70">
        <v>1</v>
      </c>
      <c r="D70" t="s">
        <v>130</v>
      </c>
      <c r="E70" t="s">
        <v>193</v>
      </c>
      <c r="F70">
        <v>3</v>
      </c>
      <c r="G70">
        <v>2024</v>
      </c>
    </row>
    <row r="71" spans="1:7" hidden="1" x14ac:dyDescent="0.2">
      <c r="A71" t="s">
        <v>75</v>
      </c>
      <c r="B71" t="s">
        <v>36</v>
      </c>
      <c r="C71">
        <v>1</v>
      </c>
      <c r="D71" t="s">
        <v>297</v>
      </c>
      <c r="E71" t="s">
        <v>249</v>
      </c>
      <c r="F71">
        <v>4.9000000000000004</v>
      </c>
      <c r="G71">
        <v>2024</v>
      </c>
    </row>
    <row r="72" spans="1:7" hidden="1" x14ac:dyDescent="0.2">
      <c r="A72" t="s">
        <v>31</v>
      </c>
      <c r="B72" t="s">
        <v>33</v>
      </c>
      <c r="C72">
        <v>1</v>
      </c>
      <c r="D72" t="s">
        <v>125</v>
      </c>
      <c r="E72" t="s">
        <v>202</v>
      </c>
      <c r="F72">
        <v>25.12</v>
      </c>
      <c r="G72">
        <v>2024</v>
      </c>
    </row>
    <row r="73" spans="1:7" hidden="1" x14ac:dyDescent="0.2">
      <c r="A73" t="s">
        <v>31</v>
      </c>
      <c r="B73" t="s">
        <v>33</v>
      </c>
      <c r="C73">
        <v>1</v>
      </c>
      <c r="D73" t="s">
        <v>128</v>
      </c>
      <c r="E73" t="s">
        <v>199</v>
      </c>
      <c r="F73">
        <v>18.899999999999999</v>
      </c>
      <c r="G73">
        <v>2024</v>
      </c>
    </row>
    <row r="74" spans="1:7" hidden="1" x14ac:dyDescent="0.2">
      <c r="A74" t="s">
        <v>31</v>
      </c>
      <c r="B74" t="s">
        <v>33</v>
      </c>
      <c r="C74">
        <v>1</v>
      </c>
      <c r="D74" t="s">
        <v>128</v>
      </c>
      <c r="E74" t="s">
        <v>200</v>
      </c>
      <c r="F74">
        <v>3.5</v>
      </c>
      <c r="G74">
        <v>2024</v>
      </c>
    </row>
    <row r="75" spans="1:7" hidden="1" x14ac:dyDescent="0.2">
      <c r="A75" t="s">
        <v>31</v>
      </c>
      <c r="B75" t="s">
        <v>33</v>
      </c>
      <c r="C75">
        <v>1</v>
      </c>
      <c r="D75" t="s">
        <v>128</v>
      </c>
      <c r="E75" t="s">
        <v>201</v>
      </c>
      <c r="F75">
        <v>2.6</v>
      </c>
      <c r="G75">
        <v>2024</v>
      </c>
    </row>
    <row r="76" spans="1:7" hidden="1" x14ac:dyDescent="0.2">
      <c r="A76" t="s">
        <v>31</v>
      </c>
      <c r="B76" t="s">
        <v>33</v>
      </c>
      <c r="C76">
        <v>1</v>
      </c>
      <c r="D76" t="s">
        <v>127</v>
      </c>
      <c r="E76" t="s">
        <v>197</v>
      </c>
      <c r="F76">
        <v>19.5</v>
      </c>
      <c r="G76">
        <v>2024</v>
      </c>
    </row>
    <row r="77" spans="1:7" hidden="1" x14ac:dyDescent="0.2">
      <c r="A77" t="s">
        <v>31</v>
      </c>
      <c r="B77" t="s">
        <v>33</v>
      </c>
      <c r="C77">
        <v>1</v>
      </c>
      <c r="D77" t="s">
        <v>127</v>
      </c>
      <c r="E77" t="s">
        <v>198</v>
      </c>
      <c r="F77">
        <v>10.8</v>
      </c>
      <c r="G77">
        <v>2024</v>
      </c>
    </row>
    <row r="78" spans="1:7" hidden="1" x14ac:dyDescent="0.2">
      <c r="A78" t="s">
        <v>31</v>
      </c>
      <c r="B78" t="s">
        <v>33</v>
      </c>
      <c r="C78">
        <v>1</v>
      </c>
      <c r="D78" t="s">
        <v>129</v>
      </c>
      <c r="E78" t="s">
        <v>196</v>
      </c>
      <c r="F78">
        <v>2.4</v>
      </c>
      <c r="G78">
        <v>2024</v>
      </c>
    </row>
    <row r="79" spans="1:7" hidden="1" x14ac:dyDescent="0.2">
      <c r="A79" t="s">
        <v>31</v>
      </c>
      <c r="B79" t="s">
        <v>33</v>
      </c>
      <c r="C79">
        <v>1</v>
      </c>
      <c r="D79" t="s">
        <v>131</v>
      </c>
      <c r="E79" t="s">
        <v>195</v>
      </c>
      <c r="F79">
        <v>17</v>
      </c>
      <c r="G79">
        <v>2024</v>
      </c>
    </row>
    <row r="80" spans="1:7" hidden="1" x14ac:dyDescent="0.2">
      <c r="A80" t="s">
        <v>31</v>
      </c>
      <c r="B80" t="s">
        <v>33</v>
      </c>
      <c r="C80">
        <v>1</v>
      </c>
      <c r="D80" t="s">
        <v>130</v>
      </c>
      <c r="E80" t="s">
        <v>194</v>
      </c>
      <c r="F80">
        <v>15</v>
      </c>
      <c r="G80">
        <v>2024</v>
      </c>
    </row>
    <row r="81" spans="1:7" hidden="1" x14ac:dyDescent="0.2">
      <c r="A81" t="s">
        <v>31</v>
      </c>
      <c r="B81" t="s">
        <v>33</v>
      </c>
      <c r="C81">
        <v>1</v>
      </c>
      <c r="D81" t="s">
        <v>293</v>
      </c>
      <c r="E81" t="s">
        <v>381</v>
      </c>
      <c r="F81">
        <v>2.9</v>
      </c>
      <c r="G81">
        <v>2024</v>
      </c>
    </row>
    <row r="82" spans="1:7" hidden="1" x14ac:dyDescent="0.2">
      <c r="A82" t="s">
        <v>18</v>
      </c>
      <c r="B82" t="s">
        <v>20</v>
      </c>
      <c r="C82">
        <v>1</v>
      </c>
      <c r="D82" t="s">
        <v>125</v>
      </c>
      <c r="E82" t="s">
        <v>203</v>
      </c>
      <c r="F82">
        <v>16.399999999999999</v>
      </c>
      <c r="G82">
        <v>2024</v>
      </c>
    </row>
    <row r="83" spans="1:7" hidden="1" x14ac:dyDescent="0.2">
      <c r="A83" t="s">
        <v>18</v>
      </c>
      <c r="B83" t="s">
        <v>20</v>
      </c>
      <c r="C83">
        <v>1</v>
      </c>
      <c r="D83" t="s">
        <v>128</v>
      </c>
      <c r="E83" t="s">
        <v>204</v>
      </c>
      <c r="F83">
        <v>25</v>
      </c>
      <c r="G83">
        <v>2024</v>
      </c>
    </row>
    <row r="84" spans="1:7" hidden="1" x14ac:dyDescent="0.2">
      <c r="A84" t="s">
        <v>18</v>
      </c>
      <c r="B84" t="s">
        <v>20</v>
      </c>
      <c r="C84">
        <v>1</v>
      </c>
      <c r="D84" t="s">
        <v>128</v>
      </c>
      <c r="E84" t="s">
        <v>205</v>
      </c>
      <c r="F84">
        <v>11.9</v>
      </c>
      <c r="G84">
        <v>2024</v>
      </c>
    </row>
    <row r="85" spans="1:7" hidden="1" x14ac:dyDescent="0.2">
      <c r="A85" t="s">
        <v>18</v>
      </c>
      <c r="B85" t="s">
        <v>20</v>
      </c>
      <c r="C85">
        <v>1</v>
      </c>
      <c r="D85" t="s">
        <v>128</v>
      </c>
      <c r="E85" t="s">
        <v>206</v>
      </c>
      <c r="F85">
        <v>18.3</v>
      </c>
      <c r="G85">
        <v>2024</v>
      </c>
    </row>
    <row r="86" spans="1:7" hidden="1" x14ac:dyDescent="0.2">
      <c r="A86" t="s">
        <v>18</v>
      </c>
      <c r="B86" t="s">
        <v>20</v>
      </c>
      <c r="C86">
        <v>1</v>
      </c>
      <c r="D86" t="s">
        <v>127</v>
      </c>
      <c r="E86" t="s">
        <v>207</v>
      </c>
      <c r="F86">
        <v>15.4</v>
      </c>
      <c r="G86">
        <v>2024</v>
      </c>
    </row>
    <row r="87" spans="1:7" hidden="1" x14ac:dyDescent="0.2">
      <c r="A87" t="s">
        <v>18</v>
      </c>
      <c r="B87" t="s">
        <v>20</v>
      </c>
      <c r="C87">
        <v>1</v>
      </c>
      <c r="D87" t="s">
        <v>127</v>
      </c>
      <c r="E87" t="s">
        <v>208</v>
      </c>
      <c r="F87">
        <v>11.8</v>
      </c>
      <c r="G87">
        <v>2024</v>
      </c>
    </row>
    <row r="88" spans="1:7" hidden="1" x14ac:dyDescent="0.2">
      <c r="A88" t="s">
        <v>18</v>
      </c>
      <c r="B88" t="s">
        <v>20</v>
      </c>
      <c r="C88">
        <v>1</v>
      </c>
      <c r="D88" t="s">
        <v>129</v>
      </c>
      <c r="E88" t="s">
        <v>209</v>
      </c>
      <c r="F88">
        <v>1.6</v>
      </c>
      <c r="G88">
        <v>2024</v>
      </c>
    </row>
    <row r="89" spans="1:7" hidden="1" x14ac:dyDescent="0.2">
      <c r="A89" t="s">
        <v>18</v>
      </c>
      <c r="B89" t="s">
        <v>20</v>
      </c>
      <c r="C89">
        <v>1</v>
      </c>
      <c r="D89" t="s">
        <v>131</v>
      </c>
      <c r="E89" t="s">
        <v>210</v>
      </c>
      <c r="F89">
        <v>21</v>
      </c>
      <c r="G89">
        <v>2024</v>
      </c>
    </row>
    <row r="90" spans="1:7" hidden="1" x14ac:dyDescent="0.2">
      <c r="A90" t="s">
        <v>18</v>
      </c>
      <c r="B90" t="s">
        <v>20</v>
      </c>
      <c r="C90">
        <v>1</v>
      </c>
      <c r="D90" t="s">
        <v>130</v>
      </c>
      <c r="E90" t="s">
        <v>211</v>
      </c>
      <c r="F90">
        <v>18</v>
      </c>
      <c r="G90">
        <v>2024</v>
      </c>
    </row>
    <row r="91" spans="1:7" hidden="1" x14ac:dyDescent="0.2">
      <c r="A91" t="s">
        <v>18</v>
      </c>
      <c r="B91" t="s">
        <v>20</v>
      </c>
      <c r="C91">
        <v>1</v>
      </c>
      <c r="D91" t="s">
        <v>294</v>
      </c>
      <c r="E91" t="s">
        <v>295</v>
      </c>
      <c r="F91">
        <v>2.7</v>
      </c>
      <c r="G91">
        <v>2024</v>
      </c>
    </row>
    <row r="92" spans="1:7" hidden="1" x14ac:dyDescent="0.2">
      <c r="A92" t="s">
        <v>26</v>
      </c>
      <c r="B92" t="s">
        <v>28</v>
      </c>
      <c r="C92">
        <v>1</v>
      </c>
      <c r="D92" t="s">
        <v>125</v>
      </c>
      <c r="E92" t="s">
        <v>212</v>
      </c>
      <c r="F92">
        <v>31.18</v>
      </c>
      <c r="G92">
        <v>2024</v>
      </c>
    </row>
    <row r="93" spans="1:7" hidden="1" x14ac:dyDescent="0.2">
      <c r="A93" t="s">
        <v>26</v>
      </c>
      <c r="B93" t="s">
        <v>28</v>
      </c>
      <c r="C93">
        <v>1</v>
      </c>
      <c r="D93" t="s">
        <v>128</v>
      </c>
      <c r="E93" t="s">
        <v>218</v>
      </c>
      <c r="F93">
        <v>9.1</v>
      </c>
      <c r="G93">
        <v>2024</v>
      </c>
    </row>
    <row r="94" spans="1:7" hidden="1" x14ac:dyDescent="0.2">
      <c r="A94" t="s">
        <v>26</v>
      </c>
      <c r="B94" t="s">
        <v>28</v>
      </c>
      <c r="C94">
        <v>1</v>
      </c>
      <c r="D94" t="s">
        <v>128</v>
      </c>
      <c r="E94" t="s">
        <v>219</v>
      </c>
      <c r="F94">
        <v>4.4000000000000004</v>
      </c>
      <c r="G94">
        <v>2024</v>
      </c>
    </row>
    <row r="95" spans="1:7" hidden="1" x14ac:dyDescent="0.2">
      <c r="A95" t="s">
        <v>26</v>
      </c>
      <c r="B95" t="s">
        <v>28</v>
      </c>
      <c r="C95">
        <v>1</v>
      </c>
      <c r="D95" t="s">
        <v>128</v>
      </c>
      <c r="E95" t="s">
        <v>220</v>
      </c>
      <c r="F95">
        <v>7</v>
      </c>
      <c r="G95">
        <v>2024</v>
      </c>
    </row>
    <row r="96" spans="1:7" hidden="1" x14ac:dyDescent="0.2">
      <c r="A96" t="s">
        <v>26</v>
      </c>
      <c r="B96" t="s">
        <v>28</v>
      </c>
      <c r="C96">
        <v>1</v>
      </c>
      <c r="D96" t="s">
        <v>127</v>
      </c>
      <c r="E96" t="s">
        <v>216</v>
      </c>
      <c r="F96">
        <v>32.200000000000003</v>
      </c>
      <c r="G96">
        <v>2024</v>
      </c>
    </row>
    <row r="97" spans="1:7" hidden="1" x14ac:dyDescent="0.2">
      <c r="A97" t="s">
        <v>26</v>
      </c>
      <c r="B97" t="s">
        <v>28</v>
      </c>
      <c r="C97">
        <v>1</v>
      </c>
      <c r="D97" t="s">
        <v>127</v>
      </c>
      <c r="E97" t="s">
        <v>217</v>
      </c>
      <c r="F97">
        <v>13.6</v>
      </c>
      <c r="G97">
        <v>2024</v>
      </c>
    </row>
    <row r="98" spans="1:7" hidden="1" x14ac:dyDescent="0.2">
      <c r="A98" t="s">
        <v>26</v>
      </c>
      <c r="B98" t="s">
        <v>28</v>
      </c>
      <c r="C98">
        <v>1</v>
      </c>
      <c r="D98" t="s">
        <v>129</v>
      </c>
      <c r="E98" t="s">
        <v>213</v>
      </c>
      <c r="F98">
        <v>1</v>
      </c>
      <c r="G98">
        <v>2024</v>
      </c>
    </row>
    <row r="99" spans="1:7" hidden="1" x14ac:dyDescent="0.2">
      <c r="A99" t="s">
        <v>26</v>
      </c>
      <c r="B99" t="s">
        <v>28</v>
      </c>
      <c r="C99">
        <v>1</v>
      </c>
      <c r="D99" t="s">
        <v>131</v>
      </c>
      <c r="E99" t="s">
        <v>214</v>
      </c>
      <c r="F99">
        <v>9</v>
      </c>
      <c r="G99">
        <v>2024</v>
      </c>
    </row>
    <row r="100" spans="1:7" hidden="1" x14ac:dyDescent="0.2">
      <c r="A100" t="s">
        <v>26</v>
      </c>
      <c r="B100" t="s">
        <v>28</v>
      </c>
      <c r="C100">
        <v>1</v>
      </c>
      <c r="D100" t="s">
        <v>130</v>
      </c>
      <c r="E100" t="s">
        <v>215</v>
      </c>
      <c r="F100">
        <v>7</v>
      </c>
      <c r="G100">
        <v>2024</v>
      </c>
    </row>
    <row r="101" spans="1:7" hidden="1" x14ac:dyDescent="0.2">
      <c r="A101" t="s">
        <v>26</v>
      </c>
      <c r="B101" t="s">
        <v>28</v>
      </c>
      <c r="C101">
        <v>1</v>
      </c>
      <c r="D101" t="s">
        <v>293</v>
      </c>
      <c r="E101" t="s">
        <v>256</v>
      </c>
      <c r="F101">
        <v>12.9</v>
      </c>
      <c r="G101">
        <v>2024</v>
      </c>
    </row>
    <row r="102" spans="1:7" hidden="1" x14ac:dyDescent="0.2">
      <c r="A102" t="s">
        <v>35</v>
      </c>
      <c r="B102" t="s">
        <v>49</v>
      </c>
      <c r="C102">
        <v>1</v>
      </c>
      <c r="D102" t="s">
        <v>125</v>
      </c>
      <c r="E102" t="s">
        <v>221</v>
      </c>
      <c r="F102">
        <v>26.08</v>
      </c>
      <c r="G102">
        <v>2024</v>
      </c>
    </row>
    <row r="103" spans="1:7" hidden="1" x14ac:dyDescent="0.2">
      <c r="A103" t="s">
        <v>35</v>
      </c>
      <c r="B103" t="s">
        <v>49</v>
      </c>
      <c r="C103">
        <v>1</v>
      </c>
      <c r="D103" t="s">
        <v>128</v>
      </c>
      <c r="E103" t="s">
        <v>222</v>
      </c>
      <c r="F103">
        <v>21.9</v>
      </c>
      <c r="G103">
        <v>2024</v>
      </c>
    </row>
    <row r="104" spans="1:7" hidden="1" x14ac:dyDescent="0.2">
      <c r="A104" t="s">
        <v>35</v>
      </c>
      <c r="B104" t="s">
        <v>49</v>
      </c>
      <c r="C104">
        <v>1</v>
      </c>
      <c r="D104" t="s">
        <v>128</v>
      </c>
      <c r="E104" t="s">
        <v>223</v>
      </c>
      <c r="F104">
        <v>8.8000000000000007</v>
      </c>
      <c r="G104">
        <v>2024</v>
      </c>
    </row>
    <row r="105" spans="1:7" hidden="1" x14ac:dyDescent="0.2">
      <c r="A105" t="s">
        <v>35</v>
      </c>
      <c r="B105" t="s">
        <v>49</v>
      </c>
      <c r="C105">
        <v>1</v>
      </c>
      <c r="D105" t="s">
        <v>128</v>
      </c>
      <c r="E105" t="s">
        <v>224</v>
      </c>
      <c r="F105">
        <v>9</v>
      </c>
      <c r="G105">
        <v>2024</v>
      </c>
    </row>
    <row r="106" spans="1:7" hidden="1" x14ac:dyDescent="0.2">
      <c r="A106" t="s">
        <v>35</v>
      </c>
      <c r="B106" t="s">
        <v>49</v>
      </c>
      <c r="C106">
        <v>1</v>
      </c>
      <c r="D106" t="s">
        <v>127</v>
      </c>
      <c r="E106" t="s">
        <v>225</v>
      </c>
      <c r="F106">
        <v>17.899999999999999</v>
      </c>
      <c r="G106">
        <v>2024</v>
      </c>
    </row>
    <row r="107" spans="1:7" hidden="1" x14ac:dyDescent="0.2">
      <c r="A107" t="s">
        <v>35</v>
      </c>
      <c r="B107" t="s">
        <v>49</v>
      </c>
      <c r="C107">
        <v>1</v>
      </c>
      <c r="D107" t="s">
        <v>127</v>
      </c>
      <c r="E107" t="s">
        <v>226</v>
      </c>
      <c r="F107">
        <v>15.8</v>
      </c>
      <c r="G107">
        <v>2024</v>
      </c>
    </row>
    <row r="108" spans="1:7" hidden="1" x14ac:dyDescent="0.2">
      <c r="A108" t="s">
        <v>35</v>
      </c>
      <c r="B108" t="s">
        <v>49</v>
      </c>
      <c r="C108">
        <v>1</v>
      </c>
      <c r="D108" t="s">
        <v>129</v>
      </c>
      <c r="E108" t="s">
        <v>227</v>
      </c>
      <c r="F108">
        <v>5.0999999999999996</v>
      </c>
      <c r="G108">
        <v>2024</v>
      </c>
    </row>
    <row r="109" spans="1:7" hidden="1" x14ac:dyDescent="0.2">
      <c r="A109" t="s">
        <v>35</v>
      </c>
      <c r="B109" t="s">
        <v>49</v>
      </c>
      <c r="C109">
        <v>1</v>
      </c>
      <c r="D109" t="s">
        <v>131</v>
      </c>
      <c r="E109" t="s">
        <v>228</v>
      </c>
      <c r="F109">
        <v>13</v>
      </c>
      <c r="G109">
        <v>2024</v>
      </c>
    </row>
    <row r="110" spans="1:7" hidden="1" x14ac:dyDescent="0.2">
      <c r="A110" t="s">
        <v>35</v>
      </c>
      <c r="B110" t="s">
        <v>49</v>
      </c>
      <c r="C110">
        <v>1</v>
      </c>
      <c r="D110" t="s">
        <v>130</v>
      </c>
      <c r="E110" t="s">
        <v>229</v>
      </c>
      <c r="F110">
        <v>17</v>
      </c>
      <c r="G110">
        <v>2024</v>
      </c>
    </row>
    <row r="111" spans="1:7" hidden="1" x14ac:dyDescent="0.2">
      <c r="A111" t="s">
        <v>35</v>
      </c>
      <c r="B111" t="s">
        <v>49</v>
      </c>
      <c r="C111">
        <v>1</v>
      </c>
      <c r="D111" t="s">
        <v>294</v>
      </c>
      <c r="E111" t="s">
        <v>254</v>
      </c>
      <c r="F111">
        <v>5.0999999999999996</v>
      </c>
      <c r="G111">
        <v>2024</v>
      </c>
    </row>
    <row r="112" spans="1:7" hidden="1" x14ac:dyDescent="0.2">
      <c r="A112" t="s">
        <v>76</v>
      </c>
      <c r="B112" t="s">
        <v>32</v>
      </c>
      <c r="C112">
        <v>1</v>
      </c>
      <c r="D112" t="s">
        <v>125</v>
      </c>
      <c r="E112" t="s">
        <v>230</v>
      </c>
      <c r="F112">
        <v>8.06</v>
      </c>
      <c r="G112">
        <v>2024</v>
      </c>
    </row>
    <row r="113" spans="1:7" hidden="1" x14ac:dyDescent="0.2">
      <c r="A113" t="s">
        <v>76</v>
      </c>
      <c r="B113" t="s">
        <v>32</v>
      </c>
      <c r="C113">
        <v>1</v>
      </c>
      <c r="D113" t="s">
        <v>128</v>
      </c>
      <c r="E113" t="s">
        <v>231</v>
      </c>
      <c r="F113">
        <v>9.1999999999999993</v>
      </c>
      <c r="G113">
        <v>2024</v>
      </c>
    </row>
    <row r="114" spans="1:7" hidden="1" x14ac:dyDescent="0.2">
      <c r="A114" t="s">
        <v>76</v>
      </c>
      <c r="B114" t="s">
        <v>32</v>
      </c>
      <c r="C114">
        <v>1</v>
      </c>
      <c r="D114" t="s">
        <v>128</v>
      </c>
      <c r="E114" t="s">
        <v>232</v>
      </c>
      <c r="F114">
        <v>14.7</v>
      </c>
      <c r="G114">
        <v>2024</v>
      </c>
    </row>
    <row r="115" spans="1:7" hidden="1" x14ac:dyDescent="0.2">
      <c r="A115" t="s">
        <v>76</v>
      </c>
      <c r="B115" t="s">
        <v>32</v>
      </c>
      <c r="C115">
        <v>1</v>
      </c>
      <c r="D115" t="s">
        <v>128</v>
      </c>
      <c r="E115" t="s">
        <v>233</v>
      </c>
      <c r="F115">
        <v>4.0999999999999996</v>
      </c>
      <c r="G115">
        <v>2024</v>
      </c>
    </row>
    <row r="116" spans="1:7" hidden="1" x14ac:dyDescent="0.2">
      <c r="A116" t="s">
        <v>76</v>
      </c>
      <c r="B116" t="s">
        <v>32</v>
      </c>
      <c r="C116">
        <v>1</v>
      </c>
      <c r="D116" t="s">
        <v>127</v>
      </c>
      <c r="E116" t="s">
        <v>234</v>
      </c>
      <c r="F116">
        <v>20.100000000000001</v>
      </c>
      <c r="G116">
        <v>2024</v>
      </c>
    </row>
    <row r="117" spans="1:7" hidden="1" x14ac:dyDescent="0.2">
      <c r="A117" t="s">
        <v>76</v>
      </c>
      <c r="B117" t="s">
        <v>32</v>
      </c>
      <c r="C117">
        <v>1</v>
      </c>
      <c r="D117" t="s">
        <v>127</v>
      </c>
      <c r="E117" t="s">
        <v>235</v>
      </c>
      <c r="F117">
        <v>17.899999999999999</v>
      </c>
      <c r="G117">
        <v>2024</v>
      </c>
    </row>
    <row r="118" spans="1:7" hidden="1" x14ac:dyDescent="0.2">
      <c r="A118" t="s">
        <v>76</v>
      </c>
      <c r="B118" t="s">
        <v>32</v>
      </c>
      <c r="C118">
        <v>1</v>
      </c>
      <c r="D118" t="s">
        <v>129</v>
      </c>
      <c r="E118" t="s">
        <v>236</v>
      </c>
      <c r="F118">
        <v>6</v>
      </c>
      <c r="G118">
        <v>2024</v>
      </c>
    </row>
    <row r="119" spans="1:7" hidden="1" x14ac:dyDescent="0.2">
      <c r="A119" t="s">
        <v>76</v>
      </c>
      <c r="B119" t="s">
        <v>32</v>
      </c>
      <c r="C119">
        <v>1</v>
      </c>
      <c r="D119" t="s">
        <v>131</v>
      </c>
      <c r="E119" t="s">
        <v>237</v>
      </c>
      <c r="F119">
        <v>6</v>
      </c>
      <c r="G119">
        <v>2024</v>
      </c>
    </row>
    <row r="120" spans="1:7" hidden="1" x14ac:dyDescent="0.2">
      <c r="A120" t="s">
        <v>76</v>
      </c>
      <c r="B120" t="s">
        <v>32</v>
      </c>
      <c r="C120">
        <v>1</v>
      </c>
      <c r="D120" t="s">
        <v>130</v>
      </c>
      <c r="E120" t="s">
        <v>238</v>
      </c>
      <c r="F120">
        <v>4</v>
      </c>
      <c r="G120">
        <v>2024</v>
      </c>
    </row>
    <row r="121" spans="1:7" hidden="1" x14ac:dyDescent="0.2">
      <c r="A121" t="s">
        <v>76</v>
      </c>
      <c r="B121" t="s">
        <v>32</v>
      </c>
      <c r="C121">
        <v>1</v>
      </c>
      <c r="D121" t="s">
        <v>294</v>
      </c>
      <c r="E121" t="s">
        <v>261</v>
      </c>
      <c r="F121">
        <v>3.8</v>
      </c>
      <c r="G121">
        <v>2024</v>
      </c>
    </row>
    <row r="122" spans="1:7" hidden="1" x14ac:dyDescent="0.2">
      <c r="A122" t="s">
        <v>14</v>
      </c>
      <c r="B122" t="s">
        <v>16</v>
      </c>
      <c r="C122">
        <v>2</v>
      </c>
      <c r="D122" t="s">
        <v>125</v>
      </c>
      <c r="E122" t="s">
        <v>241</v>
      </c>
      <c r="F122">
        <v>18.8</v>
      </c>
      <c r="G122">
        <v>2024</v>
      </c>
    </row>
    <row r="123" spans="1:7" hidden="1" x14ac:dyDescent="0.2">
      <c r="A123" t="s">
        <v>14</v>
      </c>
      <c r="B123" t="s">
        <v>16</v>
      </c>
      <c r="C123">
        <v>2</v>
      </c>
      <c r="D123" t="s">
        <v>128</v>
      </c>
      <c r="E123" t="s">
        <v>132</v>
      </c>
      <c r="F123">
        <v>5.6</v>
      </c>
      <c r="G123">
        <v>2024</v>
      </c>
    </row>
    <row r="124" spans="1:7" hidden="1" x14ac:dyDescent="0.2">
      <c r="A124" t="s">
        <v>14</v>
      </c>
      <c r="B124" t="s">
        <v>16</v>
      </c>
      <c r="C124">
        <v>2</v>
      </c>
      <c r="D124" t="s">
        <v>128</v>
      </c>
      <c r="E124" t="s">
        <v>133</v>
      </c>
      <c r="F124">
        <v>5.0999999999999996</v>
      </c>
      <c r="G124">
        <v>2024</v>
      </c>
    </row>
    <row r="125" spans="1:7" hidden="1" x14ac:dyDescent="0.2">
      <c r="A125" t="s">
        <v>14</v>
      </c>
      <c r="B125" t="s">
        <v>16</v>
      </c>
      <c r="C125">
        <v>2</v>
      </c>
      <c r="D125" t="s">
        <v>128</v>
      </c>
      <c r="E125" t="s">
        <v>134</v>
      </c>
      <c r="F125">
        <v>18.600000000000001</v>
      </c>
      <c r="G125">
        <v>2024</v>
      </c>
    </row>
    <row r="126" spans="1:7" hidden="1" x14ac:dyDescent="0.2">
      <c r="A126" t="s">
        <v>14</v>
      </c>
      <c r="B126" t="s">
        <v>16</v>
      </c>
      <c r="C126">
        <v>2</v>
      </c>
      <c r="D126" t="s">
        <v>129</v>
      </c>
      <c r="E126" t="s">
        <v>137</v>
      </c>
      <c r="F126">
        <v>15.7</v>
      </c>
      <c r="G126">
        <v>2024</v>
      </c>
    </row>
    <row r="127" spans="1:7" hidden="1" x14ac:dyDescent="0.2">
      <c r="A127" t="s">
        <v>14</v>
      </c>
      <c r="B127" t="s">
        <v>16</v>
      </c>
      <c r="C127">
        <v>2</v>
      </c>
      <c r="D127" t="s">
        <v>130</v>
      </c>
      <c r="E127" t="s">
        <v>139</v>
      </c>
      <c r="F127">
        <v>7</v>
      </c>
      <c r="G127">
        <v>2024</v>
      </c>
    </row>
    <row r="128" spans="1:7" hidden="1" x14ac:dyDescent="0.2">
      <c r="A128" t="s">
        <v>14</v>
      </c>
      <c r="B128" t="s">
        <v>16</v>
      </c>
      <c r="C128">
        <v>2</v>
      </c>
      <c r="D128" t="s">
        <v>131</v>
      </c>
      <c r="E128" t="s">
        <v>239</v>
      </c>
      <c r="F128">
        <v>4</v>
      </c>
      <c r="G128">
        <v>2024</v>
      </c>
    </row>
    <row r="129" spans="1:7" hidden="1" x14ac:dyDescent="0.2">
      <c r="A129" t="s">
        <v>14</v>
      </c>
      <c r="B129" t="s">
        <v>16</v>
      </c>
      <c r="C129">
        <v>2</v>
      </c>
      <c r="D129" t="s">
        <v>127</v>
      </c>
      <c r="E129" t="s">
        <v>135</v>
      </c>
      <c r="F129">
        <v>6.9</v>
      </c>
      <c r="G129">
        <v>2024</v>
      </c>
    </row>
    <row r="130" spans="1:7" hidden="1" x14ac:dyDescent="0.2">
      <c r="A130" t="s">
        <v>14</v>
      </c>
      <c r="B130" t="s">
        <v>16</v>
      </c>
      <c r="C130">
        <v>2</v>
      </c>
      <c r="D130" t="s">
        <v>127</v>
      </c>
      <c r="E130" t="s">
        <v>240</v>
      </c>
      <c r="F130">
        <v>4.2</v>
      </c>
      <c r="G130">
        <v>2024</v>
      </c>
    </row>
    <row r="131" spans="1:7" hidden="1" x14ac:dyDescent="0.2">
      <c r="A131" t="s">
        <v>14</v>
      </c>
      <c r="B131" t="s">
        <v>16</v>
      </c>
      <c r="C131">
        <v>2</v>
      </c>
      <c r="D131" t="s">
        <v>294</v>
      </c>
      <c r="E131" t="s">
        <v>330</v>
      </c>
      <c r="F131">
        <v>2.1</v>
      </c>
      <c r="G131">
        <v>2024</v>
      </c>
    </row>
    <row r="132" spans="1:7" hidden="1" x14ac:dyDescent="0.2">
      <c r="A132" t="s">
        <v>42</v>
      </c>
      <c r="B132" t="s">
        <v>17</v>
      </c>
      <c r="C132">
        <v>2</v>
      </c>
      <c r="D132" t="s">
        <v>125</v>
      </c>
      <c r="E132" t="s">
        <v>150</v>
      </c>
      <c r="F132">
        <v>12.94</v>
      </c>
      <c r="G132">
        <v>2024</v>
      </c>
    </row>
    <row r="133" spans="1:7" hidden="1" x14ac:dyDescent="0.2">
      <c r="A133" t="s">
        <v>42</v>
      </c>
      <c r="B133" t="s">
        <v>17</v>
      </c>
      <c r="C133">
        <v>2</v>
      </c>
      <c r="D133" t="s">
        <v>128</v>
      </c>
      <c r="E133" t="s">
        <v>151</v>
      </c>
      <c r="F133">
        <v>21.5</v>
      </c>
      <c r="G133">
        <v>2024</v>
      </c>
    </row>
    <row r="134" spans="1:7" hidden="1" x14ac:dyDescent="0.2">
      <c r="A134" t="s">
        <v>42</v>
      </c>
      <c r="B134" t="s">
        <v>17</v>
      </c>
      <c r="C134">
        <v>2</v>
      </c>
      <c r="D134" t="s">
        <v>128</v>
      </c>
      <c r="E134" t="s">
        <v>152</v>
      </c>
      <c r="F134">
        <v>5.7</v>
      </c>
      <c r="G134">
        <v>2024</v>
      </c>
    </row>
    <row r="135" spans="1:7" hidden="1" x14ac:dyDescent="0.2">
      <c r="A135" t="s">
        <v>42</v>
      </c>
      <c r="B135" t="s">
        <v>17</v>
      </c>
      <c r="C135">
        <v>2</v>
      </c>
      <c r="D135" t="s">
        <v>128</v>
      </c>
      <c r="E135" t="s">
        <v>153</v>
      </c>
      <c r="F135">
        <v>8.1</v>
      </c>
      <c r="G135">
        <v>2024</v>
      </c>
    </row>
    <row r="136" spans="1:7" hidden="1" x14ac:dyDescent="0.2">
      <c r="A136" t="s">
        <v>42</v>
      </c>
      <c r="B136" t="s">
        <v>17</v>
      </c>
      <c r="C136">
        <v>2</v>
      </c>
      <c r="D136" t="s">
        <v>127</v>
      </c>
      <c r="E136" t="s">
        <v>154</v>
      </c>
      <c r="F136">
        <v>16.100000000000001</v>
      </c>
      <c r="G136">
        <v>2024</v>
      </c>
    </row>
    <row r="137" spans="1:7" hidden="1" x14ac:dyDescent="0.2">
      <c r="A137" t="s">
        <v>42</v>
      </c>
      <c r="B137" t="s">
        <v>17</v>
      </c>
      <c r="C137">
        <v>2</v>
      </c>
      <c r="D137" t="s">
        <v>127</v>
      </c>
      <c r="E137" t="s">
        <v>155</v>
      </c>
      <c r="F137">
        <v>4.0999999999999996</v>
      </c>
      <c r="G137">
        <v>2024</v>
      </c>
    </row>
    <row r="138" spans="1:7" hidden="1" x14ac:dyDescent="0.2">
      <c r="A138" t="s">
        <v>42</v>
      </c>
      <c r="B138" t="s">
        <v>17</v>
      </c>
      <c r="C138">
        <v>2</v>
      </c>
      <c r="D138" t="s">
        <v>129</v>
      </c>
      <c r="E138" t="s">
        <v>156</v>
      </c>
      <c r="F138">
        <v>2.2999999999999998</v>
      </c>
      <c r="G138">
        <v>2024</v>
      </c>
    </row>
    <row r="139" spans="1:7" hidden="1" x14ac:dyDescent="0.2">
      <c r="A139" t="s">
        <v>42</v>
      </c>
      <c r="B139" t="s">
        <v>17</v>
      </c>
      <c r="C139">
        <v>2</v>
      </c>
      <c r="D139" t="s">
        <v>130</v>
      </c>
      <c r="E139" t="s">
        <v>157</v>
      </c>
      <c r="F139">
        <v>17</v>
      </c>
      <c r="G139">
        <v>2024</v>
      </c>
    </row>
    <row r="140" spans="1:7" hidden="1" x14ac:dyDescent="0.2">
      <c r="A140" t="s">
        <v>42</v>
      </c>
      <c r="B140" t="s">
        <v>17</v>
      </c>
      <c r="C140">
        <v>2</v>
      </c>
      <c r="D140" t="s">
        <v>131</v>
      </c>
      <c r="E140" t="s">
        <v>158</v>
      </c>
      <c r="F140">
        <v>4</v>
      </c>
      <c r="G140">
        <v>2024</v>
      </c>
    </row>
    <row r="141" spans="1:7" hidden="1" x14ac:dyDescent="0.2">
      <c r="A141" t="s">
        <v>42</v>
      </c>
      <c r="B141" t="s">
        <v>17</v>
      </c>
      <c r="C141">
        <v>2</v>
      </c>
      <c r="D141" t="s">
        <v>294</v>
      </c>
      <c r="E141" t="s">
        <v>274</v>
      </c>
      <c r="F141">
        <v>1.8</v>
      </c>
      <c r="G141">
        <v>2024</v>
      </c>
    </row>
    <row r="142" spans="1:7" hidden="1" x14ac:dyDescent="0.2">
      <c r="A142" t="s">
        <v>73</v>
      </c>
      <c r="B142" t="s">
        <v>21</v>
      </c>
      <c r="C142">
        <v>2</v>
      </c>
      <c r="D142" t="s">
        <v>125</v>
      </c>
      <c r="E142" t="s">
        <v>141</v>
      </c>
      <c r="F142">
        <v>12.92</v>
      </c>
      <c r="G142">
        <v>2024</v>
      </c>
    </row>
    <row r="143" spans="1:7" hidden="1" x14ac:dyDescent="0.2">
      <c r="A143" t="s">
        <v>73</v>
      </c>
      <c r="B143" t="s">
        <v>21</v>
      </c>
      <c r="C143">
        <v>2</v>
      </c>
      <c r="D143" t="s">
        <v>128</v>
      </c>
      <c r="E143" t="s">
        <v>146</v>
      </c>
      <c r="F143">
        <v>14</v>
      </c>
      <c r="G143">
        <v>2024</v>
      </c>
    </row>
    <row r="144" spans="1:7" hidden="1" x14ac:dyDescent="0.2">
      <c r="A144" t="s">
        <v>73</v>
      </c>
      <c r="B144" t="s">
        <v>21</v>
      </c>
      <c r="C144">
        <v>2</v>
      </c>
      <c r="D144" t="s">
        <v>128</v>
      </c>
      <c r="E144" t="s">
        <v>147</v>
      </c>
      <c r="F144">
        <v>16</v>
      </c>
      <c r="G144">
        <v>2024</v>
      </c>
    </row>
    <row r="145" spans="1:7" hidden="1" x14ac:dyDescent="0.2">
      <c r="A145" t="s">
        <v>73</v>
      </c>
      <c r="B145" t="s">
        <v>21</v>
      </c>
      <c r="C145">
        <v>2</v>
      </c>
      <c r="D145" t="s">
        <v>128</v>
      </c>
      <c r="E145" t="s">
        <v>243</v>
      </c>
      <c r="F145">
        <v>22.7</v>
      </c>
      <c r="G145">
        <v>2024</v>
      </c>
    </row>
    <row r="146" spans="1:7" hidden="1" x14ac:dyDescent="0.2">
      <c r="A146" t="s">
        <v>73</v>
      </c>
      <c r="B146" t="s">
        <v>21</v>
      </c>
      <c r="C146">
        <v>2</v>
      </c>
      <c r="D146" t="s">
        <v>127</v>
      </c>
      <c r="E146" t="s">
        <v>148</v>
      </c>
      <c r="F146">
        <v>26</v>
      </c>
      <c r="G146">
        <v>2024</v>
      </c>
    </row>
    <row r="147" spans="1:7" hidden="1" x14ac:dyDescent="0.2">
      <c r="A147" t="s">
        <v>73</v>
      </c>
      <c r="B147" t="s">
        <v>21</v>
      </c>
      <c r="C147">
        <v>2</v>
      </c>
      <c r="D147" t="s">
        <v>127</v>
      </c>
      <c r="E147" t="s">
        <v>149</v>
      </c>
      <c r="F147">
        <v>18.899999999999999</v>
      </c>
      <c r="G147">
        <v>2024</v>
      </c>
    </row>
    <row r="148" spans="1:7" hidden="1" x14ac:dyDescent="0.2">
      <c r="A148" t="s">
        <v>73</v>
      </c>
      <c r="B148" t="s">
        <v>21</v>
      </c>
      <c r="C148">
        <v>2</v>
      </c>
      <c r="D148" t="s">
        <v>129</v>
      </c>
      <c r="E148" t="s">
        <v>191</v>
      </c>
      <c r="F148">
        <v>3.5</v>
      </c>
      <c r="G148">
        <v>2024</v>
      </c>
    </row>
    <row r="149" spans="1:7" hidden="1" x14ac:dyDescent="0.2">
      <c r="A149" t="s">
        <v>73</v>
      </c>
      <c r="B149" t="s">
        <v>21</v>
      </c>
      <c r="C149">
        <v>2</v>
      </c>
      <c r="D149" t="s">
        <v>130</v>
      </c>
      <c r="E149" t="s">
        <v>142</v>
      </c>
      <c r="F149">
        <v>5</v>
      </c>
      <c r="G149">
        <v>2024</v>
      </c>
    </row>
    <row r="150" spans="1:7" hidden="1" x14ac:dyDescent="0.2">
      <c r="A150" t="s">
        <v>73</v>
      </c>
      <c r="B150" t="s">
        <v>21</v>
      </c>
      <c r="C150">
        <v>2</v>
      </c>
      <c r="D150" t="s">
        <v>131</v>
      </c>
      <c r="E150" t="s">
        <v>242</v>
      </c>
      <c r="F150">
        <v>9</v>
      </c>
      <c r="G150">
        <v>2024</v>
      </c>
    </row>
    <row r="151" spans="1:7" hidden="1" x14ac:dyDescent="0.2">
      <c r="A151" t="s">
        <v>73</v>
      </c>
      <c r="B151" t="s">
        <v>21</v>
      </c>
      <c r="C151">
        <v>2</v>
      </c>
      <c r="D151" t="s">
        <v>294</v>
      </c>
      <c r="E151" t="s">
        <v>277</v>
      </c>
      <c r="F151">
        <v>10.4</v>
      </c>
      <c r="G151">
        <v>2024</v>
      </c>
    </row>
    <row r="152" spans="1:7" hidden="1" x14ac:dyDescent="0.2">
      <c r="A152" t="s">
        <v>31</v>
      </c>
      <c r="B152" t="s">
        <v>33</v>
      </c>
      <c r="C152">
        <v>2</v>
      </c>
      <c r="D152" t="s">
        <v>125</v>
      </c>
      <c r="E152" t="s">
        <v>202</v>
      </c>
      <c r="F152">
        <v>16.38</v>
      </c>
      <c r="G152">
        <v>2024</v>
      </c>
    </row>
    <row r="153" spans="1:7" hidden="1" x14ac:dyDescent="0.2">
      <c r="A153" t="s">
        <v>31</v>
      </c>
      <c r="B153" t="s">
        <v>33</v>
      </c>
      <c r="C153">
        <v>2</v>
      </c>
      <c r="D153" t="s">
        <v>128</v>
      </c>
      <c r="E153" t="s">
        <v>199</v>
      </c>
      <c r="F153">
        <v>5.7</v>
      </c>
      <c r="G153">
        <v>2024</v>
      </c>
    </row>
    <row r="154" spans="1:7" hidden="1" x14ac:dyDescent="0.2">
      <c r="A154" t="s">
        <v>31</v>
      </c>
      <c r="B154" t="s">
        <v>33</v>
      </c>
      <c r="C154">
        <v>2</v>
      </c>
      <c r="D154" t="s">
        <v>128</v>
      </c>
      <c r="E154" t="s">
        <v>201</v>
      </c>
      <c r="F154">
        <v>2.6</v>
      </c>
      <c r="G154">
        <v>2024</v>
      </c>
    </row>
    <row r="155" spans="1:7" hidden="1" x14ac:dyDescent="0.2">
      <c r="A155" t="s">
        <v>31</v>
      </c>
      <c r="B155" t="s">
        <v>33</v>
      </c>
      <c r="C155">
        <v>2</v>
      </c>
      <c r="D155" t="s">
        <v>128</v>
      </c>
      <c r="E155" t="s">
        <v>200</v>
      </c>
      <c r="F155">
        <v>0.4</v>
      </c>
      <c r="G155">
        <v>2024</v>
      </c>
    </row>
    <row r="156" spans="1:7" hidden="1" x14ac:dyDescent="0.2">
      <c r="A156" t="s">
        <v>31</v>
      </c>
      <c r="B156" t="s">
        <v>33</v>
      </c>
      <c r="C156">
        <v>2</v>
      </c>
      <c r="D156" t="s">
        <v>127</v>
      </c>
      <c r="E156" t="s">
        <v>197</v>
      </c>
      <c r="F156">
        <v>43</v>
      </c>
      <c r="G156">
        <v>2024</v>
      </c>
    </row>
    <row r="157" spans="1:7" hidden="1" x14ac:dyDescent="0.2">
      <c r="A157" t="s">
        <v>31</v>
      </c>
      <c r="B157" t="s">
        <v>33</v>
      </c>
      <c r="C157">
        <v>2</v>
      </c>
      <c r="D157" t="s">
        <v>127</v>
      </c>
      <c r="E157" t="s">
        <v>198</v>
      </c>
      <c r="F157">
        <v>14.5</v>
      </c>
      <c r="G157">
        <v>2024</v>
      </c>
    </row>
    <row r="158" spans="1:7" hidden="1" x14ac:dyDescent="0.2">
      <c r="A158" t="s">
        <v>31</v>
      </c>
      <c r="B158" t="s">
        <v>33</v>
      </c>
      <c r="C158">
        <v>2</v>
      </c>
      <c r="D158" t="s">
        <v>129</v>
      </c>
      <c r="E158" t="s">
        <v>196</v>
      </c>
      <c r="F158">
        <v>7.1</v>
      </c>
      <c r="G158">
        <v>2024</v>
      </c>
    </row>
    <row r="159" spans="1:7" hidden="1" x14ac:dyDescent="0.2">
      <c r="A159" t="s">
        <v>31</v>
      </c>
      <c r="B159" t="s">
        <v>33</v>
      </c>
      <c r="C159">
        <v>2</v>
      </c>
      <c r="D159" t="s">
        <v>131</v>
      </c>
      <c r="E159" t="s">
        <v>195</v>
      </c>
      <c r="F159">
        <v>20</v>
      </c>
      <c r="G159">
        <v>2024</v>
      </c>
    </row>
    <row r="160" spans="1:7" hidden="1" x14ac:dyDescent="0.2">
      <c r="A160" t="s">
        <v>31</v>
      </c>
      <c r="B160" t="s">
        <v>33</v>
      </c>
      <c r="C160">
        <v>2</v>
      </c>
      <c r="D160" t="s">
        <v>130</v>
      </c>
      <c r="E160" t="s">
        <v>194</v>
      </c>
      <c r="F160">
        <v>14</v>
      </c>
      <c r="G160">
        <v>2024</v>
      </c>
    </row>
    <row r="161" spans="1:7" hidden="1" x14ac:dyDescent="0.2">
      <c r="A161" t="s">
        <v>31</v>
      </c>
      <c r="B161" t="s">
        <v>33</v>
      </c>
      <c r="C161">
        <v>2</v>
      </c>
      <c r="D161" t="s">
        <v>293</v>
      </c>
      <c r="E161" t="s">
        <v>291</v>
      </c>
      <c r="F161">
        <v>14.1</v>
      </c>
      <c r="G161">
        <v>2024</v>
      </c>
    </row>
    <row r="162" spans="1:7" hidden="1" x14ac:dyDescent="0.2">
      <c r="A162" t="s">
        <v>74</v>
      </c>
      <c r="B162" t="s">
        <v>29</v>
      </c>
      <c r="C162">
        <v>2</v>
      </c>
      <c r="D162" t="s">
        <v>125</v>
      </c>
      <c r="E162" t="s">
        <v>168</v>
      </c>
      <c r="F162">
        <v>23.82</v>
      </c>
      <c r="G162">
        <v>2024</v>
      </c>
    </row>
    <row r="163" spans="1:7" hidden="1" x14ac:dyDescent="0.2">
      <c r="A163" t="s">
        <v>74</v>
      </c>
      <c r="B163" t="s">
        <v>29</v>
      </c>
      <c r="C163">
        <v>2</v>
      </c>
      <c r="D163" t="s">
        <v>128</v>
      </c>
      <c r="E163" t="s">
        <v>171</v>
      </c>
      <c r="F163">
        <v>21.3</v>
      </c>
      <c r="G163">
        <v>2024</v>
      </c>
    </row>
    <row r="164" spans="1:7" hidden="1" x14ac:dyDescent="0.2">
      <c r="A164" t="s">
        <v>74</v>
      </c>
      <c r="B164" t="s">
        <v>29</v>
      </c>
      <c r="C164">
        <v>2</v>
      </c>
      <c r="D164" t="s">
        <v>128</v>
      </c>
      <c r="E164" t="s">
        <v>172</v>
      </c>
      <c r="F164">
        <v>8.3000000000000007</v>
      </c>
      <c r="G164">
        <v>2024</v>
      </c>
    </row>
    <row r="165" spans="1:7" hidden="1" x14ac:dyDescent="0.2">
      <c r="A165" t="s">
        <v>74</v>
      </c>
      <c r="B165" t="s">
        <v>29</v>
      </c>
      <c r="C165">
        <v>2</v>
      </c>
      <c r="D165" t="s">
        <v>128</v>
      </c>
      <c r="E165" t="s">
        <v>246</v>
      </c>
      <c r="F165">
        <v>6</v>
      </c>
      <c r="G165">
        <v>2024</v>
      </c>
    </row>
    <row r="166" spans="1:7" hidden="1" x14ac:dyDescent="0.2">
      <c r="A166" t="s">
        <v>74</v>
      </c>
      <c r="B166" t="s">
        <v>29</v>
      </c>
      <c r="C166">
        <v>2</v>
      </c>
      <c r="D166" t="s">
        <v>127</v>
      </c>
      <c r="E166" t="s">
        <v>174</v>
      </c>
      <c r="F166">
        <v>14.2</v>
      </c>
      <c r="G166">
        <v>2024</v>
      </c>
    </row>
    <row r="167" spans="1:7" hidden="1" x14ac:dyDescent="0.2">
      <c r="A167" t="s">
        <v>74</v>
      </c>
      <c r="B167" t="s">
        <v>29</v>
      </c>
      <c r="C167">
        <v>2</v>
      </c>
      <c r="D167" t="s">
        <v>127</v>
      </c>
      <c r="E167" t="s">
        <v>244</v>
      </c>
      <c r="F167">
        <v>16.899999999999999</v>
      </c>
      <c r="G167">
        <v>2024</v>
      </c>
    </row>
    <row r="168" spans="1:7" hidden="1" x14ac:dyDescent="0.2">
      <c r="A168" t="s">
        <v>74</v>
      </c>
      <c r="B168" t="s">
        <v>29</v>
      </c>
      <c r="C168">
        <v>2</v>
      </c>
      <c r="D168" t="s">
        <v>129</v>
      </c>
      <c r="E168" t="s">
        <v>245</v>
      </c>
      <c r="F168">
        <v>3.1</v>
      </c>
      <c r="G168">
        <v>2024</v>
      </c>
    </row>
    <row r="169" spans="1:7" hidden="1" x14ac:dyDescent="0.2">
      <c r="A169" t="s">
        <v>74</v>
      </c>
      <c r="B169" t="s">
        <v>29</v>
      </c>
      <c r="C169">
        <v>2</v>
      </c>
      <c r="D169" t="s">
        <v>131</v>
      </c>
      <c r="E169" t="s">
        <v>169</v>
      </c>
      <c r="F169">
        <v>5</v>
      </c>
      <c r="G169">
        <v>2024</v>
      </c>
    </row>
    <row r="170" spans="1:7" hidden="1" x14ac:dyDescent="0.2">
      <c r="A170" t="s">
        <v>74</v>
      </c>
      <c r="B170" t="s">
        <v>29</v>
      </c>
      <c r="C170">
        <v>2</v>
      </c>
      <c r="D170" t="s">
        <v>130</v>
      </c>
      <c r="E170" t="s">
        <v>408</v>
      </c>
      <c r="F170">
        <v>10</v>
      </c>
      <c r="G170">
        <v>2024</v>
      </c>
    </row>
    <row r="171" spans="1:7" hidden="1" x14ac:dyDescent="0.2">
      <c r="A171" t="s">
        <v>74</v>
      </c>
      <c r="B171" t="s">
        <v>29</v>
      </c>
      <c r="C171">
        <v>2</v>
      </c>
      <c r="D171" t="s">
        <v>293</v>
      </c>
      <c r="E171" t="s">
        <v>175</v>
      </c>
      <c r="F171">
        <v>7.1</v>
      </c>
      <c r="G171">
        <v>2024</v>
      </c>
    </row>
    <row r="172" spans="1:7" hidden="1" x14ac:dyDescent="0.2">
      <c r="A172" t="s">
        <v>75</v>
      </c>
      <c r="B172" t="s">
        <v>36</v>
      </c>
      <c r="C172">
        <v>2</v>
      </c>
      <c r="D172" t="s">
        <v>125</v>
      </c>
      <c r="E172" t="s">
        <v>247</v>
      </c>
      <c r="F172">
        <v>17.88</v>
      </c>
      <c r="G172">
        <v>2024</v>
      </c>
    </row>
    <row r="173" spans="1:7" hidden="1" x14ac:dyDescent="0.2">
      <c r="A173" t="s">
        <v>75</v>
      </c>
      <c r="B173" t="s">
        <v>36</v>
      </c>
      <c r="C173">
        <v>2</v>
      </c>
      <c r="D173" t="s">
        <v>128</v>
      </c>
      <c r="E173" t="s">
        <v>187</v>
      </c>
      <c r="F173">
        <v>17.399999999999999</v>
      </c>
      <c r="G173">
        <v>2024</v>
      </c>
    </row>
    <row r="174" spans="1:7" hidden="1" x14ac:dyDescent="0.2">
      <c r="A174" t="s">
        <v>75</v>
      </c>
      <c r="B174" t="s">
        <v>36</v>
      </c>
      <c r="C174">
        <v>2</v>
      </c>
      <c r="D174" t="s">
        <v>128</v>
      </c>
      <c r="E174" t="s">
        <v>188</v>
      </c>
      <c r="F174">
        <v>14.4</v>
      </c>
      <c r="G174">
        <v>2024</v>
      </c>
    </row>
    <row r="175" spans="1:7" hidden="1" x14ac:dyDescent="0.2">
      <c r="A175" t="s">
        <v>75</v>
      </c>
      <c r="B175" t="s">
        <v>36</v>
      </c>
      <c r="C175">
        <v>2</v>
      </c>
      <c r="D175" t="s">
        <v>128</v>
      </c>
      <c r="E175" t="s">
        <v>248</v>
      </c>
      <c r="F175">
        <v>17.7</v>
      </c>
      <c r="G175">
        <v>2024</v>
      </c>
    </row>
    <row r="176" spans="1:7" hidden="1" x14ac:dyDescent="0.2">
      <c r="A176" t="s">
        <v>75</v>
      </c>
      <c r="B176" t="s">
        <v>36</v>
      </c>
      <c r="C176">
        <v>2</v>
      </c>
      <c r="D176" t="s">
        <v>127</v>
      </c>
      <c r="E176" t="s">
        <v>189</v>
      </c>
      <c r="F176">
        <v>13.3</v>
      </c>
      <c r="G176">
        <v>2024</v>
      </c>
    </row>
    <row r="177" spans="1:7" hidden="1" x14ac:dyDescent="0.2">
      <c r="A177" t="s">
        <v>75</v>
      </c>
      <c r="B177" t="s">
        <v>36</v>
      </c>
      <c r="C177">
        <v>2</v>
      </c>
      <c r="D177" t="s">
        <v>127</v>
      </c>
      <c r="E177" t="s">
        <v>403</v>
      </c>
      <c r="F177">
        <v>15.4</v>
      </c>
      <c r="G177">
        <v>2024</v>
      </c>
    </row>
    <row r="178" spans="1:7" hidden="1" x14ac:dyDescent="0.2">
      <c r="A178" t="s">
        <v>75</v>
      </c>
      <c r="B178" t="s">
        <v>36</v>
      </c>
      <c r="C178">
        <v>2</v>
      </c>
      <c r="D178" t="s">
        <v>129</v>
      </c>
      <c r="E178" t="s">
        <v>249</v>
      </c>
      <c r="F178">
        <v>1.1000000000000001</v>
      </c>
      <c r="G178">
        <v>2024</v>
      </c>
    </row>
    <row r="179" spans="1:7" hidden="1" x14ac:dyDescent="0.2">
      <c r="A179" t="s">
        <v>75</v>
      </c>
      <c r="B179" t="s">
        <v>36</v>
      </c>
      <c r="C179">
        <v>2</v>
      </c>
      <c r="D179" t="s">
        <v>131</v>
      </c>
      <c r="E179" t="s">
        <v>192</v>
      </c>
      <c r="F179">
        <v>12</v>
      </c>
      <c r="G179">
        <v>2024</v>
      </c>
    </row>
    <row r="180" spans="1:7" hidden="1" x14ac:dyDescent="0.2">
      <c r="A180" t="s">
        <v>75</v>
      </c>
      <c r="B180" t="s">
        <v>36</v>
      </c>
      <c r="C180">
        <v>2</v>
      </c>
      <c r="D180" t="s">
        <v>130</v>
      </c>
      <c r="E180" t="s">
        <v>193</v>
      </c>
      <c r="F180">
        <v>16</v>
      </c>
      <c r="G180">
        <v>2024</v>
      </c>
    </row>
    <row r="181" spans="1:7" hidden="1" x14ac:dyDescent="0.2">
      <c r="A181" t="s">
        <v>75</v>
      </c>
      <c r="B181" t="s">
        <v>36</v>
      </c>
      <c r="C181">
        <v>2</v>
      </c>
      <c r="D181" t="s">
        <v>294</v>
      </c>
      <c r="E181" t="s">
        <v>186</v>
      </c>
      <c r="F181">
        <v>3.6</v>
      </c>
      <c r="G181">
        <v>2024</v>
      </c>
    </row>
    <row r="182" spans="1:7" hidden="1" x14ac:dyDescent="0.2">
      <c r="A182" t="s">
        <v>18</v>
      </c>
      <c r="B182" t="s">
        <v>20</v>
      </c>
      <c r="C182">
        <v>2</v>
      </c>
      <c r="D182" t="s">
        <v>125</v>
      </c>
      <c r="E182" t="s">
        <v>250</v>
      </c>
      <c r="F182">
        <v>13.44</v>
      </c>
      <c r="G182">
        <v>2024</v>
      </c>
    </row>
    <row r="183" spans="1:7" hidden="1" x14ac:dyDescent="0.2">
      <c r="A183" t="s">
        <v>18</v>
      </c>
      <c r="B183" t="s">
        <v>20</v>
      </c>
      <c r="C183">
        <v>2</v>
      </c>
      <c r="D183" t="s">
        <v>128</v>
      </c>
      <c r="E183" t="s">
        <v>206</v>
      </c>
      <c r="F183">
        <v>21.2</v>
      </c>
      <c r="G183">
        <v>2024</v>
      </c>
    </row>
    <row r="184" spans="1:7" hidden="1" x14ac:dyDescent="0.2">
      <c r="A184" t="s">
        <v>18</v>
      </c>
      <c r="B184" t="s">
        <v>20</v>
      </c>
      <c r="C184">
        <v>2</v>
      </c>
      <c r="D184" t="s">
        <v>128</v>
      </c>
      <c r="E184" t="s">
        <v>205</v>
      </c>
      <c r="F184">
        <v>17.100000000000001</v>
      </c>
      <c r="G184">
        <v>2024</v>
      </c>
    </row>
    <row r="185" spans="1:7" hidden="1" x14ac:dyDescent="0.2">
      <c r="A185" t="s">
        <v>18</v>
      </c>
      <c r="B185" t="s">
        <v>20</v>
      </c>
      <c r="C185">
        <v>2</v>
      </c>
      <c r="D185" t="s">
        <v>128</v>
      </c>
      <c r="E185" t="s">
        <v>204</v>
      </c>
      <c r="F185">
        <v>5.7</v>
      </c>
      <c r="G185">
        <v>2024</v>
      </c>
    </row>
    <row r="186" spans="1:7" hidden="1" x14ac:dyDescent="0.2">
      <c r="A186" t="s">
        <v>18</v>
      </c>
      <c r="B186" t="s">
        <v>20</v>
      </c>
      <c r="C186">
        <v>2</v>
      </c>
      <c r="D186" t="s">
        <v>127</v>
      </c>
      <c r="E186" t="s">
        <v>208</v>
      </c>
      <c r="F186">
        <v>28</v>
      </c>
      <c r="G186">
        <v>2024</v>
      </c>
    </row>
    <row r="187" spans="1:7" hidden="1" x14ac:dyDescent="0.2">
      <c r="A187" t="s">
        <v>18</v>
      </c>
      <c r="B187" t="s">
        <v>20</v>
      </c>
      <c r="C187">
        <v>2</v>
      </c>
      <c r="D187" t="s">
        <v>127</v>
      </c>
      <c r="E187" t="s">
        <v>207</v>
      </c>
      <c r="F187">
        <v>14.1</v>
      </c>
      <c r="G187">
        <v>2024</v>
      </c>
    </row>
    <row r="188" spans="1:7" hidden="1" x14ac:dyDescent="0.2">
      <c r="A188" t="s">
        <v>18</v>
      </c>
      <c r="B188" t="s">
        <v>20</v>
      </c>
      <c r="C188">
        <v>2</v>
      </c>
      <c r="D188" t="s">
        <v>129</v>
      </c>
      <c r="E188" t="s">
        <v>209</v>
      </c>
      <c r="F188">
        <v>5.3</v>
      </c>
      <c r="G188">
        <v>2024</v>
      </c>
    </row>
    <row r="189" spans="1:7" hidden="1" x14ac:dyDescent="0.2">
      <c r="A189" t="s">
        <v>18</v>
      </c>
      <c r="B189" t="s">
        <v>20</v>
      </c>
      <c r="C189">
        <v>2</v>
      </c>
      <c r="D189" t="s">
        <v>131</v>
      </c>
      <c r="E189" t="s">
        <v>210</v>
      </c>
      <c r="F189">
        <v>17</v>
      </c>
      <c r="G189">
        <v>2024</v>
      </c>
    </row>
    <row r="190" spans="1:7" hidden="1" x14ac:dyDescent="0.2">
      <c r="A190" t="s">
        <v>18</v>
      </c>
      <c r="B190" t="s">
        <v>20</v>
      </c>
      <c r="C190">
        <v>2</v>
      </c>
      <c r="D190" t="s">
        <v>130</v>
      </c>
      <c r="E190" t="s">
        <v>211</v>
      </c>
      <c r="F190">
        <v>-3</v>
      </c>
      <c r="G190">
        <v>2024</v>
      </c>
    </row>
    <row r="191" spans="1:7" hidden="1" x14ac:dyDescent="0.2">
      <c r="A191" t="s">
        <v>18</v>
      </c>
      <c r="B191" t="s">
        <v>20</v>
      </c>
      <c r="C191">
        <v>2</v>
      </c>
      <c r="D191" t="s">
        <v>294</v>
      </c>
      <c r="E191" t="s">
        <v>295</v>
      </c>
      <c r="F191">
        <v>5.2</v>
      </c>
      <c r="G191">
        <v>2024</v>
      </c>
    </row>
    <row r="192" spans="1:7" hidden="1" x14ac:dyDescent="0.2">
      <c r="A192" t="s">
        <v>77</v>
      </c>
      <c r="B192" t="s">
        <v>45</v>
      </c>
      <c r="C192">
        <v>2</v>
      </c>
      <c r="D192" t="s">
        <v>125</v>
      </c>
      <c r="E192" t="s">
        <v>159</v>
      </c>
      <c r="F192">
        <v>14.3</v>
      </c>
      <c r="G192">
        <v>2024</v>
      </c>
    </row>
    <row r="193" spans="1:7" hidden="1" x14ac:dyDescent="0.2">
      <c r="A193" t="s">
        <v>77</v>
      </c>
      <c r="B193" t="s">
        <v>45</v>
      </c>
      <c r="C193">
        <v>2</v>
      </c>
      <c r="D193" t="s">
        <v>128</v>
      </c>
      <c r="E193" t="s">
        <v>162</v>
      </c>
      <c r="F193">
        <v>27</v>
      </c>
      <c r="G193">
        <v>2024</v>
      </c>
    </row>
    <row r="194" spans="1:7" hidden="1" x14ac:dyDescent="0.2">
      <c r="A194" t="s">
        <v>77</v>
      </c>
      <c r="B194" t="s">
        <v>45</v>
      </c>
      <c r="C194">
        <v>2</v>
      </c>
      <c r="D194" t="s">
        <v>128</v>
      </c>
      <c r="E194" t="s">
        <v>161</v>
      </c>
      <c r="F194">
        <v>10.8</v>
      </c>
      <c r="G194">
        <v>2024</v>
      </c>
    </row>
    <row r="195" spans="1:7" hidden="1" x14ac:dyDescent="0.2">
      <c r="A195" t="s">
        <v>77</v>
      </c>
      <c r="B195" t="s">
        <v>45</v>
      </c>
      <c r="C195">
        <v>2</v>
      </c>
      <c r="D195" t="s">
        <v>128</v>
      </c>
      <c r="E195" t="s">
        <v>160</v>
      </c>
      <c r="F195">
        <v>3.9</v>
      </c>
      <c r="G195">
        <v>2024</v>
      </c>
    </row>
    <row r="196" spans="1:7" hidden="1" x14ac:dyDescent="0.2">
      <c r="A196" t="s">
        <v>77</v>
      </c>
      <c r="B196" t="s">
        <v>45</v>
      </c>
      <c r="C196">
        <v>2</v>
      </c>
      <c r="D196" t="s">
        <v>127</v>
      </c>
      <c r="E196" t="s">
        <v>164</v>
      </c>
      <c r="F196">
        <v>13.6</v>
      </c>
      <c r="G196">
        <v>2024</v>
      </c>
    </row>
    <row r="197" spans="1:7" hidden="1" x14ac:dyDescent="0.2">
      <c r="A197" t="s">
        <v>77</v>
      </c>
      <c r="B197" t="s">
        <v>45</v>
      </c>
      <c r="C197">
        <v>2</v>
      </c>
      <c r="D197" t="s">
        <v>127</v>
      </c>
      <c r="E197" t="s">
        <v>252</v>
      </c>
      <c r="F197">
        <v>7.9</v>
      </c>
      <c r="G197">
        <v>2024</v>
      </c>
    </row>
    <row r="198" spans="1:7" hidden="1" x14ac:dyDescent="0.2">
      <c r="A198" t="s">
        <v>77</v>
      </c>
      <c r="B198" t="s">
        <v>45</v>
      </c>
      <c r="C198">
        <v>2</v>
      </c>
      <c r="D198" t="s">
        <v>129</v>
      </c>
      <c r="E198" t="s">
        <v>165</v>
      </c>
      <c r="F198">
        <v>14.9</v>
      </c>
      <c r="G198">
        <v>2024</v>
      </c>
    </row>
    <row r="199" spans="1:7" hidden="1" x14ac:dyDescent="0.2">
      <c r="A199" t="s">
        <v>77</v>
      </c>
      <c r="B199" t="s">
        <v>45</v>
      </c>
      <c r="C199">
        <v>2</v>
      </c>
      <c r="D199" t="s">
        <v>131</v>
      </c>
      <c r="E199" t="s">
        <v>166</v>
      </c>
      <c r="F199">
        <v>13</v>
      </c>
      <c r="G199">
        <v>2024</v>
      </c>
    </row>
    <row r="200" spans="1:7" hidden="1" x14ac:dyDescent="0.2">
      <c r="A200" t="s">
        <v>77</v>
      </c>
      <c r="B200" t="s">
        <v>45</v>
      </c>
      <c r="C200">
        <v>2</v>
      </c>
      <c r="D200" t="s">
        <v>130</v>
      </c>
      <c r="E200" t="s">
        <v>251</v>
      </c>
      <c r="F200">
        <v>9</v>
      </c>
      <c r="G200">
        <v>2024</v>
      </c>
    </row>
    <row r="201" spans="1:7" hidden="1" x14ac:dyDescent="0.2">
      <c r="A201" t="s">
        <v>77</v>
      </c>
      <c r="B201" t="s">
        <v>45</v>
      </c>
      <c r="C201">
        <v>2</v>
      </c>
      <c r="D201" t="s">
        <v>293</v>
      </c>
      <c r="E201" t="s">
        <v>163</v>
      </c>
      <c r="F201">
        <v>6.5</v>
      </c>
      <c r="G201">
        <v>2024</v>
      </c>
    </row>
    <row r="202" spans="1:7" hidden="1" x14ac:dyDescent="0.2">
      <c r="A202" t="s">
        <v>35</v>
      </c>
      <c r="B202" t="s">
        <v>49</v>
      </c>
      <c r="C202">
        <v>2</v>
      </c>
      <c r="D202" t="s">
        <v>125</v>
      </c>
      <c r="E202" t="s">
        <v>221</v>
      </c>
      <c r="F202">
        <v>9.86</v>
      </c>
      <c r="G202">
        <v>2024</v>
      </c>
    </row>
    <row r="203" spans="1:7" hidden="1" x14ac:dyDescent="0.2">
      <c r="A203" t="s">
        <v>35</v>
      </c>
      <c r="B203" t="s">
        <v>49</v>
      </c>
      <c r="C203">
        <v>2</v>
      </c>
      <c r="D203" t="s">
        <v>128</v>
      </c>
      <c r="E203" t="s">
        <v>222</v>
      </c>
      <c r="F203">
        <v>11.9</v>
      </c>
      <c r="G203">
        <v>2024</v>
      </c>
    </row>
    <row r="204" spans="1:7" hidden="1" x14ac:dyDescent="0.2">
      <c r="A204" t="s">
        <v>35</v>
      </c>
      <c r="B204" t="s">
        <v>49</v>
      </c>
      <c r="C204">
        <v>2</v>
      </c>
      <c r="D204" t="s">
        <v>128</v>
      </c>
      <c r="E204" t="s">
        <v>224</v>
      </c>
      <c r="F204">
        <v>8.1999999999999993</v>
      </c>
      <c r="G204">
        <v>2024</v>
      </c>
    </row>
    <row r="205" spans="1:7" hidden="1" x14ac:dyDescent="0.2">
      <c r="A205" t="s">
        <v>35</v>
      </c>
      <c r="B205" t="s">
        <v>49</v>
      </c>
      <c r="C205">
        <v>2</v>
      </c>
      <c r="D205" t="s">
        <v>128</v>
      </c>
      <c r="E205" t="s">
        <v>254</v>
      </c>
      <c r="F205">
        <v>3.6</v>
      </c>
      <c r="G205">
        <v>2024</v>
      </c>
    </row>
    <row r="206" spans="1:7" hidden="1" x14ac:dyDescent="0.2">
      <c r="A206" t="s">
        <v>35</v>
      </c>
      <c r="B206" t="s">
        <v>49</v>
      </c>
      <c r="C206">
        <v>2</v>
      </c>
      <c r="D206" t="s">
        <v>127</v>
      </c>
      <c r="E206" t="s">
        <v>226</v>
      </c>
      <c r="F206">
        <v>20.9</v>
      </c>
      <c r="G206">
        <v>2024</v>
      </c>
    </row>
    <row r="207" spans="1:7" hidden="1" x14ac:dyDescent="0.2">
      <c r="A207" t="s">
        <v>35</v>
      </c>
      <c r="B207" t="s">
        <v>49</v>
      </c>
      <c r="C207">
        <v>2</v>
      </c>
      <c r="D207" t="s">
        <v>127</v>
      </c>
      <c r="E207" t="s">
        <v>255</v>
      </c>
      <c r="F207">
        <v>2.2000000000000002</v>
      </c>
      <c r="G207">
        <v>2024</v>
      </c>
    </row>
    <row r="208" spans="1:7" hidden="1" x14ac:dyDescent="0.2">
      <c r="A208" t="s">
        <v>35</v>
      </c>
      <c r="B208" t="s">
        <v>49</v>
      </c>
      <c r="C208">
        <v>2</v>
      </c>
      <c r="D208" t="s">
        <v>129</v>
      </c>
      <c r="E208" t="s">
        <v>227</v>
      </c>
      <c r="F208">
        <v>5.3</v>
      </c>
      <c r="G208">
        <v>2024</v>
      </c>
    </row>
    <row r="209" spans="1:7" hidden="1" x14ac:dyDescent="0.2">
      <c r="A209" t="s">
        <v>35</v>
      </c>
      <c r="B209" t="s">
        <v>49</v>
      </c>
      <c r="C209">
        <v>2</v>
      </c>
      <c r="D209" t="s">
        <v>131</v>
      </c>
      <c r="E209" t="s">
        <v>228</v>
      </c>
      <c r="F209">
        <v>11</v>
      </c>
      <c r="G209">
        <v>2024</v>
      </c>
    </row>
    <row r="210" spans="1:7" hidden="1" x14ac:dyDescent="0.2">
      <c r="A210" t="s">
        <v>35</v>
      </c>
      <c r="B210" t="s">
        <v>49</v>
      </c>
      <c r="C210">
        <v>2</v>
      </c>
      <c r="D210" t="s">
        <v>130</v>
      </c>
      <c r="E210" t="s">
        <v>253</v>
      </c>
      <c r="F210">
        <v>2</v>
      </c>
      <c r="G210">
        <v>2024</v>
      </c>
    </row>
    <row r="211" spans="1:7" hidden="1" x14ac:dyDescent="0.2">
      <c r="A211" t="s">
        <v>35</v>
      </c>
      <c r="B211" t="s">
        <v>49</v>
      </c>
      <c r="C211">
        <v>2</v>
      </c>
      <c r="D211" t="s">
        <v>294</v>
      </c>
      <c r="E211" t="s">
        <v>284</v>
      </c>
      <c r="F211">
        <v>2.6</v>
      </c>
      <c r="G211">
        <v>2024</v>
      </c>
    </row>
    <row r="212" spans="1:7" hidden="1" x14ac:dyDescent="0.2">
      <c r="A212" t="s">
        <v>26</v>
      </c>
      <c r="B212" t="s">
        <v>28</v>
      </c>
      <c r="C212">
        <v>2</v>
      </c>
      <c r="D212" t="s">
        <v>125</v>
      </c>
      <c r="E212" t="s">
        <v>212</v>
      </c>
      <c r="F212">
        <v>9.76</v>
      </c>
      <c r="G212">
        <v>2024</v>
      </c>
    </row>
    <row r="213" spans="1:7" hidden="1" x14ac:dyDescent="0.2">
      <c r="A213" t="s">
        <v>26</v>
      </c>
      <c r="B213" t="s">
        <v>28</v>
      </c>
      <c r="C213">
        <v>2</v>
      </c>
      <c r="D213" t="s">
        <v>128</v>
      </c>
      <c r="E213" t="s">
        <v>219</v>
      </c>
      <c r="F213">
        <v>23.9</v>
      </c>
      <c r="G213">
        <v>2024</v>
      </c>
    </row>
    <row r="214" spans="1:7" hidden="1" x14ac:dyDescent="0.2">
      <c r="A214" t="s">
        <v>26</v>
      </c>
      <c r="B214" t="s">
        <v>28</v>
      </c>
      <c r="C214">
        <v>2</v>
      </c>
      <c r="D214" t="s">
        <v>128</v>
      </c>
      <c r="E214" t="s">
        <v>218</v>
      </c>
      <c r="F214">
        <v>23.7</v>
      </c>
      <c r="G214">
        <v>2024</v>
      </c>
    </row>
    <row r="215" spans="1:7" hidden="1" x14ac:dyDescent="0.2">
      <c r="A215" t="s">
        <v>26</v>
      </c>
      <c r="B215" t="s">
        <v>28</v>
      </c>
      <c r="C215">
        <v>2</v>
      </c>
      <c r="D215" t="s">
        <v>128</v>
      </c>
      <c r="E215" t="s">
        <v>257</v>
      </c>
      <c r="F215">
        <v>3.2</v>
      </c>
      <c r="G215">
        <v>2024</v>
      </c>
    </row>
    <row r="216" spans="1:7" hidden="1" x14ac:dyDescent="0.2">
      <c r="A216" t="s">
        <v>26</v>
      </c>
      <c r="B216" t="s">
        <v>28</v>
      </c>
      <c r="C216">
        <v>2</v>
      </c>
      <c r="D216" t="s">
        <v>127</v>
      </c>
      <c r="E216" t="s">
        <v>216</v>
      </c>
      <c r="F216">
        <v>15.6</v>
      </c>
      <c r="G216">
        <v>2024</v>
      </c>
    </row>
    <row r="217" spans="1:7" hidden="1" x14ac:dyDescent="0.2">
      <c r="A217" t="s">
        <v>26</v>
      </c>
      <c r="B217" t="s">
        <v>28</v>
      </c>
      <c r="C217">
        <v>2</v>
      </c>
      <c r="D217" t="s">
        <v>127</v>
      </c>
      <c r="E217" t="s">
        <v>256</v>
      </c>
      <c r="F217">
        <v>13.2</v>
      </c>
      <c r="G217">
        <v>2024</v>
      </c>
    </row>
    <row r="218" spans="1:7" hidden="1" x14ac:dyDescent="0.2">
      <c r="A218" t="s">
        <v>26</v>
      </c>
      <c r="B218" t="s">
        <v>28</v>
      </c>
      <c r="C218">
        <v>2</v>
      </c>
      <c r="D218" t="s">
        <v>129</v>
      </c>
      <c r="E218" t="s">
        <v>213</v>
      </c>
      <c r="F218">
        <v>0</v>
      </c>
      <c r="G218">
        <v>2024</v>
      </c>
    </row>
    <row r="219" spans="1:7" hidden="1" x14ac:dyDescent="0.2">
      <c r="A219" t="s">
        <v>26</v>
      </c>
      <c r="B219" t="s">
        <v>28</v>
      </c>
      <c r="C219">
        <v>2</v>
      </c>
      <c r="D219" t="s">
        <v>131</v>
      </c>
      <c r="E219" t="s">
        <v>214</v>
      </c>
      <c r="F219">
        <v>10</v>
      </c>
      <c r="G219">
        <v>2024</v>
      </c>
    </row>
    <row r="220" spans="1:7" hidden="1" x14ac:dyDescent="0.2">
      <c r="A220" t="s">
        <v>26</v>
      </c>
      <c r="B220" t="s">
        <v>28</v>
      </c>
      <c r="C220">
        <v>2</v>
      </c>
      <c r="D220" t="s">
        <v>130</v>
      </c>
      <c r="E220" t="s">
        <v>215</v>
      </c>
      <c r="F220">
        <v>4</v>
      </c>
      <c r="G220">
        <v>2024</v>
      </c>
    </row>
    <row r="221" spans="1:7" hidden="1" x14ac:dyDescent="0.2">
      <c r="A221" t="s">
        <v>26</v>
      </c>
      <c r="B221" t="s">
        <v>28</v>
      </c>
      <c r="C221">
        <v>2</v>
      </c>
      <c r="D221" t="s">
        <v>293</v>
      </c>
      <c r="E221" t="s">
        <v>217</v>
      </c>
      <c r="F221">
        <v>2.8</v>
      </c>
      <c r="G221">
        <v>2024</v>
      </c>
    </row>
    <row r="222" spans="1:7" hidden="1" x14ac:dyDescent="0.2">
      <c r="A222" t="s">
        <v>76</v>
      </c>
      <c r="B222" t="s">
        <v>32</v>
      </c>
      <c r="C222">
        <v>2</v>
      </c>
      <c r="D222" t="s">
        <v>125</v>
      </c>
      <c r="E222" t="s">
        <v>258</v>
      </c>
      <c r="F222">
        <v>28.54</v>
      </c>
      <c r="G222">
        <v>2024</v>
      </c>
    </row>
    <row r="223" spans="1:7" hidden="1" x14ac:dyDescent="0.2">
      <c r="A223" t="s">
        <v>76</v>
      </c>
      <c r="B223" t="s">
        <v>32</v>
      </c>
      <c r="C223">
        <v>2</v>
      </c>
      <c r="D223" t="s">
        <v>128</v>
      </c>
      <c r="E223" t="s">
        <v>232</v>
      </c>
      <c r="F223">
        <v>23.5</v>
      </c>
      <c r="G223">
        <v>2024</v>
      </c>
    </row>
    <row r="224" spans="1:7" hidden="1" x14ac:dyDescent="0.2">
      <c r="A224" t="s">
        <v>76</v>
      </c>
      <c r="B224" t="s">
        <v>32</v>
      </c>
      <c r="C224">
        <v>2</v>
      </c>
      <c r="D224" t="s">
        <v>128</v>
      </c>
      <c r="E224" t="s">
        <v>231</v>
      </c>
      <c r="F224">
        <v>5.5</v>
      </c>
      <c r="G224">
        <v>2024</v>
      </c>
    </row>
    <row r="225" spans="1:7" hidden="1" x14ac:dyDescent="0.2">
      <c r="A225" t="s">
        <v>76</v>
      </c>
      <c r="B225" t="s">
        <v>32</v>
      </c>
      <c r="C225">
        <v>2</v>
      </c>
      <c r="D225" t="s">
        <v>128</v>
      </c>
      <c r="E225" t="s">
        <v>261</v>
      </c>
      <c r="F225">
        <v>6.3</v>
      </c>
      <c r="G225">
        <v>2024</v>
      </c>
    </row>
    <row r="226" spans="1:7" hidden="1" x14ac:dyDescent="0.2">
      <c r="A226" t="s">
        <v>76</v>
      </c>
      <c r="B226" t="s">
        <v>32</v>
      </c>
      <c r="C226">
        <v>2</v>
      </c>
      <c r="D226" t="s">
        <v>127</v>
      </c>
      <c r="E226" t="s">
        <v>234</v>
      </c>
      <c r="F226">
        <v>16</v>
      </c>
      <c r="G226">
        <v>2024</v>
      </c>
    </row>
    <row r="227" spans="1:7" hidden="1" x14ac:dyDescent="0.2">
      <c r="A227" t="s">
        <v>76</v>
      </c>
      <c r="B227" t="s">
        <v>32</v>
      </c>
      <c r="C227">
        <v>2</v>
      </c>
      <c r="D227" t="s">
        <v>127</v>
      </c>
      <c r="E227" t="s">
        <v>259</v>
      </c>
      <c r="F227">
        <v>19.600000000000001</v>
      </c>
      <c r="G227">
        <v>2024</v>
      </c>
    </row>
    <row r="228" spans="1:7" hidden="1" x14ac:dyDescent="0.2">
      <c r="A228" t="s">
        <v>76</v>
      </c>
      <c r="B228" t="s">
        <v>32</v>
      </c>
      <c r="C228">
        <v>2</v>
      </c>
      <c r="D228" t="s">
        <v>129</v>
      </c>
      <c r="E228" t="s">
        <v>236</v>
      </c>
      <c r="F228">
        <v>17.100000000000001</v>
      </c>
      <c r="G228">
        <v>2024</v>
      </c>
    </row>
    <row r="229" spans="1:7" hidden="1" x14ac:dyDescent="0.2">
      <c r="A229" t="s">
        <v>76</v>
      </c>
      <c r="B229" t="s">
        <v>32</v>
      </c>
      <c r="C229">
        <v>2</v>
      </c>
      <c r="D229" t="s">
        <v>131</v>
      </c>
      <c r="E229" t="s">
        <v>237</v>
      </c>
      <c r="F229">
        <v>15</v>
      </c>
      <c r="G229">
        <v>2024</v>
      </c>
    </row>
    <row r="230" spans="1:7" hidden="1" x14ac:dyDescent="0.2">
      <c r="A230" t="s">
        <v>76</v>
      </c>
      <c r="B230" t="s">
        <v>32</v>
      </c>
      <c r="C230">
        <v>2</v>
      </c>
      <c r="D230" t="s">
        <v>130</v>
      </c>
      <c r="E230" t="s">
        <v>260</v>
      </c>
      <c r="F230">
        <v>8</v>
      </c>
      <c r="G230">
        <v>2024</v>
      </c>
    </row>
    <row r="231" spans="1:7" hidden="1" x14ac:dyDescent="0.2">
      <c r="A231" t="s">
        <v>76</v>
      </c>
      <c r="B231" t="s">
        <v>32</v>
      </c>
      <c r="C231">
        <v>2</v>
      </c>
      <c r="D231" t="s">
        <v>293</v>
      </c>
      <c r="E231" t="s">
        <v>235</v>
      </c>
      <c r="F231">
        <v>7.3</v>
      </c>
      <c r="G231">
        <v>2024</v>
      </c>
    </row>
    <row r="232" spans="1:7" hidden="1" x14ac:dyDescent="0.2">
      <c r="A232" t="s">
        <v>46</v>
      </c>
      <c r="B232" t="s">
        <v>47</v>
      </c>
      <c r="C232">
        <v>2</v>
      </c>
      <c r="D232" t="s">
        <v>125</v>
      </c>
      <c r="E232" t="s">
        <v>176</v>
      </c>
      <c r="F232">
        <v>13.96</v>
      </c>
      <c r="G232">
        <v>2024</v>
      </c>
    </row>
    <row r="233" spans="1:7" hidden="1" x14ac:dyDescent="0.2">
      <c r="A233" t="s">
        <v>46</v>
      </c>
      <c r="B233" t="s">
        <v>47</v>
      </c>
      <c r="C233">
        <v>2</v>
      </c>
      <c r="D233" t="s">
        <v>128</v>
      </c>
      <c r="E233" t="s">
        <v>177</v>
      </c>
      <c r="F233">
        <v>17</v>
      </c>
      <c r="G233">
        <v>2024</v>
      </c>
    </row>
    <row r="234" spans="1:7" hidden="1" x14ac:dyDescent="0.2">
      <c r="A234" t="s">
        <v>46</v>
      </c>
      <c r="B234" t="s">
        <v>47</v>
      </c>
      <c r="C234">
        <v>2</v>
      </c>
      <c r="D234" t="s">
        <v>128</v>
      </c>
      <c r="E234" t="s">
        <v>178</v>
      </c>
      <c r="F234">
        <v>6.5</v>
      </c>
      <c r="G234">
        <v>2024</v>
      </c>
    </row>
    <row r="235" spans="1:7" hidden="1" x14ac:dyDescent="0.2">
      <c r="A235" t="s">
        <v>46</v>
      </c>
      <c r="B235" t="s">
        <v>47</v>
      </c>
      <c r="C235">
        <v>2</v>
      </c>
      <c r="D235" t="s">
        <v>128</v>
      </c>
      <c r="E235" t="s">
        <v>262</v>
      </c>
      <c r="F235">
        <v>18.899999999999999</v>
      </c>
      <c r="G235">
        <v>2024</v>
      </c>
    </row>
    <row r="236" spans="1:7" hidden="1" x14ac:dyDescent="0.2">
      <c r="A236" t="s">
        <v>46</v>
      </c>
      <c r="B236" t="s">
        <v>47</v>
      </c>
      <c r="C236">
        <v>2</v>
      </c>
      <c r="D236" t="s">
        <v>127</v>
      </c>
      <c r="E236" t="s">
        <v>181</v>
      </c>
      <c r="F236">
        <v>15</v>
      </c>
      <c r="G236">
        <v>2024</v>
      </c>
    </row>
    <row r="237" spans="1:7" hidden="1" x14ac:dyDescent="0.2">
      <c r="A237" t="s">
        <v>46</v>
      </c>
      <c r="B237" t="s">
        <v>47</v>
      </c>
      <c r="C237">
        <v>2</v>
      </c>
      <c r="D237" t="s">
        <v>127</v>
      </c>
      <c r="E237" t="s">
        <v>180</v>
      </c>
      <c r="F237">
        <v>13.1</v>
      </c>
      <c r="G237">
        <v>2024</v>
      </c>
    </row>
    <row r="238" spans="1:7" hidden="1" x14ac:dyDescent="0.2">
      <c r="A238" t="s">
        <v>46</v>
      </c>
      <c r="B238" t="s">
        <v>47</v>
      </c>
      <c r="C238">
        <v>2</v>
      </c>
      <c r="D238" t="s">
        <v>129</v>
      </c>
      <c r="E238" t="s">
        <v>182</v>
      </c>
      <c r="F238">
        <v>14.3</v>
      </c>
      <c r="G238">
        <v>2024</v>
      </c>
    </row>
    <row r="239" spans="1:7" hidden="1" x14ac:dyDescent="0.2">
      <c r="A239" t="s">
        <v>46</v>
      </c>
      <c r="B239" t="s">
        <v>47</v>
      </c>
      <c r="C239">
        <v>2</v>
      </c>
      <c r="D239" t="s">
        <v>131</v>
      </c>
      <c r="E239" t="s">
        <v>183</v>
      </c>
      <c r="F239">
        <v>7</v>
      </c>
      <c r="G239">
        <v>2024</v>
      </c>
    </row>
    <row r="240" spans="1:7" hidden="1" x14ac:dyDescent="0.2">
      <c r="A240" t="s">
        <v>46</v>
      </c>
      <c r="B240" t="s">
        <v>47</v>
      </c>
      <c r="C240">
        <v>2</v>
      </c>
      <c r="D240" t="s">
        <v>130</v>
      </c>
      <c r="E240" t="s">
        <v>184</v>
      </c>
      <c r="F240">
        <v>14</v>
      </c>
      <c r="G240">
        <v>2024</v>
      </c>
    </row>
    <row r="241" spans="1:7" hidden="1" x14ac:dyDescent="0.2">
      <c r="A241" t="s">
        <v>46</v>
      </c>
      <c r="B241" t="s">
        <v>47</v>
      </c>
      <c r="C241">
        <v>2</v>
      </c>
      <c r="D241" t="s">
        <v>293</v>
      </c>
      <c r="E241" t="s">
        <v>296</v>
      </c>
      <c r="F241">
        <v>5.9</v>
      </c>
      <c r="G241">
        <v>2024</v>
      </c>
    </row>
    <row r="242" spans="1:7" hidden="1" x14ac:dyDescent="0.2">
      <c r="A242" t="s">
        <v>14</v>
      </c>
      <c r="B242" t="s">
        <v>16</v>
      </c>
      <c r="C242">
        <v>3</v>
      </c>
      <c r="D242" t="s">
        <v>125</v>
      </c>
      <c r="E242" t="s">
        <v>271</v>
      </c>
      <c r="F242">
        <v>7.98</v>
      </c>
      <c r="G242">
        <v>2024</v>
      </c>
    </row>
    <row r="243" spans="1:7" hidden="1" x14ac:dyDescent="0.2">
      <c r="A243" t="s">
        <v>14</v>
      </c>
      <c r="B243" t="s">
        <v>16</v>
      </c>
      <c r="C243">
        <v>3</v>
      </c>
      <c r="D243" t="s">
        <v>128</v>
      </c>
      <c r="E243" t="s">
        <v>132</v>
      </c>
      <c r="F243">
        <v>8.9</v>
      </c>
      <c r="G243">
        <v>2024</v>
      </c>
    </row>
    <row r="244" spans="1:7" hidden="1" x14ac:dyDescent="0.2">
      <c r="A244" t="s">
        <v>14</v>
      </c>
      <c r="B244" t="s">
        <v>16</v>
      </c>
      <c r="C244">
        <v>3</v>
      </c>
      <c r="D244" t="s">
        <v>128</v>
      </c>
      <c r="E244" t="s">
        <v>133</v>
      </c>
      <c r="F244">
        <v>5.5</v>
      </c>
      <c r="G244">
        <v>2024</v>
      </c>
    </row>
    <row r="245" spans="1:7" hidden="1" x14ac:dyDescent="0.2">
      <c r="A245" t="s">
        <v>14</v>
      </c>
      <c r="B245" t="s">
        <v>16</v>
      </c>
      <c r="C245">
        <v>3</v>
      </c>
      <c r="D245" t="s">
        <v>128</v>
      </c>
      <c r="E245" t="s">
        <v>134</v>
      </c>
      <c r="F245">
        <v>3.8</v>
      </c>
      <c r="G245">
        <v>2024</v>
      </c>
    </row>
    <row r="246" spans="1:7" hidden="1" x14ac:dyDescent="0.2">
      <c r="A246" t="s">
        <v>14</v>
      </c>
      <c r="B246" t="s">
        <v>16</v>
      </c>
      <c r="C246">
        <v>3</v>
      </c>
      <c r="D246" t="s">
        <v>129</v>
      </c>
      <c r="E246" t="s">
        <v>137</v>
      </c>
      <c r="F246">
        <v>4</v>
      </c>
      <c r="G246">
        <v>2024</v>
      </c>
    </row>
    <row r="247" spans="1:7" hidden="1" x14ac:dyDescent="0.2">
      <c r="A247" t="s">
        <v>14</v>
      </c>
      <c r="B247" t="s">
        <v>16</v>
      </c>
      <c r="C247">
        <v>3</v>
      </c>
      <c r="D247" t="s">
        <v>131</v>
      </c>
      <c r="E247" t="s">
        <v>139</v>
      </c>
      <c r="F247">
        <v>11</v>
      </c>
      <c r="G247">
        <v>2024</v>
      </c>
    </row>
    <row r="248" spans="1:7" hidden="1" x14ac:dyDescent="0.2">
      <c r="A248" t="s">
        <v>14</v>
      </c>
      <c r="B248" t="s">
        <v>16</v>
      </c>
      <c r="C248">
        <v>3</v>
      </c>
      <c r="D248" t="s">
        <v>130</v>
      </c>
      <c r="E248" t="s">
        <v>273</v>
      </c>
      <c r="F248">
        <v>1</v>
      </c>
      <c r="G248">
        <v>2024</v>
      </c>
    </row>
    <row r="249" spans="1:7" hidden="1" x14ac:dyDescent="0.2">
      <c r="A249" t="s">
        <v>14</v>
      </c>
      <c r="B249" t="s">
        <v>16</v>
      </c>
      <c r="C249">
        <v>3</v>
      </c>
      <c r="D249" t="s">
        <v>127</v>
      </c>
      <c r="E249" t="s">
        <v>135</v>
      </c>
      <c r="F249">
        <v>8.5</v>
      </c>
      <c r="G249">
        <v>2024</v>
      </c>
    </row>
    <row r="250" spans="1:7" hidden="1" x14ac:dyDescent="0.2">
      <c r="A250" t="s">
        <v>14</v>
      </c>
      <c r="B250" t="s">
        <v>16</v>
      </c>
      <c r="C250">
        <v>3</v>
      </c>
      <c r="D250" t="s">
        <v>127</v>
      </c>
      <c r="E250" t="s">
        <v>272</v>
      </c>
      <c r="F250">
        <v>9.4</v>
      </c>
      <c r="G250">
        <v>2024</v>
      </c>
    </row>
    <row r="251" spans="1:7" hidden="1" x14ac:dyDescent="0.2">
      <c r="A251" t="s">
        <v>14</v>
      </c>
      <c r="B251" t="s">
        <v>16</v>
      </c>
      <c r="C251">
        <v>3</v>
      </c>
      <c r="D251" t="s">
        <v>293</v>
      </c>
      <c r="E251" t="s">
        <v>136</v>
      </c>
      <c r="F251">
        <v>4.0999999999999996</v>
      </c>
      <c r="G251">
        <v>2024</v>
      </c>
    </row>
    <row r="252" spans="1:7" hidden="1" x14ac:dyDescent="0.2">
      <c r="A252" t="s">
        <v>77</v>
      </c>
      <c r="B252" t="s">
        <v>45</v>
      </c>
      <c r="C252">
        <v>3</v>
      </c>
      <c r="D252" t="s">
        <v>125</v>
      </c>
      <c r="E252" t="s">
        <v>159</v>
      </c>
      <c r="F252">
        <v>9.8000000000000007</v>
      </c>
      <c r="G252">
        <v>2024</v>
      </c>
    </row>
    <row r="253" spans="1:7" hidden="1" x14ac:dyDescent="0.2">
      <c r="A253" t="s">
        <v>77</v>
      </c>
      <c r="B253" t="s">
        <v>45</v>
      </c>
      <c r="C253">
        <v>3</v>
      </c>
      <c r="D253" t="s">
        <v>128</v>
      </c>
      <c r="E253" t="s">
        <v>161</v>
      </c>
      <c r="F253">
        <v>17.600000000000001</v>
      </c>
      <c r="G253">
        <v>2024</v>
      </c>
    </row>
    <row r="254" spans="1:7" hidden="1" x14ac:dyDescent="0.2">
      <c r="A254" t="s">
        <v>77</v>
      </c>
      <c r="B254" t="s">
        <v>45</v>
      </c>
      <c r="C254">
        <v>3</v>
      </c>
      <c r="D254" t="s">
        <v>128</v>
      </c>
      <c r="E254" t="s">
        <v>162</v>
      </c>
      <c r="F254">
        <v>14.9</v>
      </c>
      <c r="G254">
        <v>2024</v>
      </c>
    </row>
    <row r="255" spans="1:7" hidden="1" x14ac:dyDescent="0.2">
      <c r="A255" t="s">
        <v>77</v>
      </c>
      <c r="B255" t="s">
        <v>45</v>
      </c>
      <c r="C255">
        <v>3</v>
      </c>
      <c r="D255" t="s">
        <v>128</v>
      </c>
      <c r="E255" t="s">
        <v>160</v>
      </c>
      <c r="F255">
        <v>8.1999999999999993</v>
      </c>
      <c r="G255">
        <v>2024</v>
      </c>
    </row>
    <row r="256" spans="1:7" hidden="1" x14ac:dyDescent="0.2">
      <c r="A256" t="s">
        <v>77</v>
      </c>
      <c r="B256" t="s">
        <v>45</v>
      </c>
      <c r="C256">
        <v>3</v>
      </c>
      <c r="D256" t="s">
        <v>127</v>
      </c>
      <c r="E256" t="s">
        <v>252</v>
      </c>
      <c r="F256">
        <v>11.1</v>
      </c>
      <c r="G256">
        <v>2024</v>
      </c>
    </row>
    <row r="257" spans="1:7" hidden="1" x14ac:dyDescent="0.2">
      <c r="A257" t="s">
        <v>77</v>
      </c>
      <c r="B257" t="s">
        <v>45</v>
      </c>
      <c r="C257">
        <v>3</v>
      </c>
      <c r="D257" t="s">
        <v>127</v>
      </c>
      <c r="E257" t="s">
        <v>163</v>
      </c>
      <c r="F257">
        <v>0</v>
      </c>
      <c r="G257">
        <v>2024</v>
      </c>
    </row>
    <row r="258" spans="1:7" hidden="1" x14ac:dyDescent="0.2">
      <c r="A258" t="s">
        <v>77</v>
      </c>
      <c r="B258" t="s">
        <v>45</v>
      </c>
      <c r="C258">
        <v>3</v>
      </c>
      <c r="D258" t="s">
        <v>129</v>
      </c>
      <c r="E258" t="s">
        <v>165</v>
      </c>
      <c r="F258">
        <v>1.9</v>
      </c>
      <c r="G258">
        <v>2024</v>
      </c>
    </row>
    <row r="259" spans="1:7" hidden="1" x14ac:dyDescent="0.2">
      <c r="A259" t="s">
        <v>77</v>
      </c>
      <c r="B259" t="s">
        <v>45</v>
      </c>
      <c r="C259">
        <v>3</v>
      </c>
      <c r="D259" t="s">
        <v>131</v>
      </c>
      <c r="E259" t="s">
        <v>166</v>
      </c>
      <c r="F259">
        <v>3</v>
      </c>
      <c r="G259">
        <v>2024</v>
      </c>
    </row>
    <row r="260" spans="1:7" hidden="1" x14ac:dyDescent="0.2">
      <c r="A260" t="s">
        <v>77</v>
      </c>
      <c r="B260" t="s">
        <v>45</v>
      </c>
      <c r="C260">
        <v>3</v>
      </c>
      <c r="D260" t="s">
        <v>130</v>
      </c>
      <c r="E260" t="s">
        <v>251</v>
      </c>
      <c r="F260">
        <v>5</v>
      </c>
      <c r="G260">
        <v>2024</v>
      </c>
    </row>
    <row r="261" spans="1:7" hidden="1" x14ac:dyDescent="0.2">
      <c r="A261" t="s">
        <v>77</v>
      </c>
      <c r="B261" t="s">
        <v>45</v>
      </c>
      <c r="C261">
        <v>3</v>
      </c>
      <c r="D261" t="s">
        <v>294</v>
      </c>
      <c r="E261" t="s">
        <v>305</v>
      </c>
      <c r="F261">
        <v>0</v>
      </c>
      <c r="G261">
        <v>2024</v>
      </c>
    </row>
    <row r="262" spans="1:7" hidden="1" x14ac:dyDescent="0.2">
      <c r="A262" t="s">
        <v>42</v>
      </c>
      <c r="B262" t="s">
        <v>17</v>
      </c>
      <c r="C262">
        <v>3</v>
      </c>
      <c r="D262" t="s">
        <v>125</v>
      </c>
      <c r="E262" t="s">
        <v>150</v>
      </c>
      <c r="F262">
        <v>16.38</v>
      </c>
      <c r="G262">
        <v>2024</v>
      </c>
    </row>
    <row r="263" spans="1:7" hidden="1" x14ac:dyDescent="0.2">
      <c r="A263" t="s">
        <v>42</v>
      </c>
      <c r="B263" t="s">
        <v>17</v>
      </c>
      <c r="C263">
        <v>3</v>
      </c>
      <c r="D263" t="s">
        <v>128</v>
      </c>
      <c r="E263" t="s">
        <v>274</v>
      </c>
      <c r="F263">
        <v>8.6999999999999993</v>
      </c>
      <c r="G263">
        <v>2024</v>
      </c>
    </row>
    <row r="264" spans="1:7" hidden="1" x14ac:dyDescent="0.2">
      <c r="A264" t="s">
        <v>42</v>
      </c>
      <c r="B264" t="s">
        <v>17</v>
      </c>
      <c r="C264">
        <v>3</v>
      </c>
      <c r="D264" t="s">
        <v>128</v>
      </c>
      <c r="E264" t="s">
        <v>151</v>
      </c>
      <c r="F264">
        <v>6</v>
      </c>
      <c r="G264">
        <v>2024</v>
      </c>
    </row>
    <row r="265" spans="1:7" hidden="1" x14ac:dyDescent="0.2">
      <c r="A265" t="s">
        <v>42</v>
      </c>
      <c r="B265" t="s">
        <v>17</v>
      </c>
      <c r="C265">
        <v>3</v>
      </c>
      <c r="D265" t="s">
        <v>128</v>
      </c>
      <c r="E265" t="s">
        <v>153</v>
      </c>
      <c r="F265">
        <v>16.2</v>
      </c>
      <c r="G265">
        <v>2024</v>
      </c>
    </row>
    <row r="266" spans="1:7" hidden="1" x14ac:dyDescent="0.2">
      <c r="A266" t="s">
        <v>42</v>
      </c>
      <c r="B266" t="s">
        <v>17</v>
      </c>
      <c r="C266">
        <v>3</v>
      </c>
      <c r="D266" t="s">
        <v>127</v>
      </c>
      <c r="E266" t="s">
        <v>154</v>
      </c>
      <c r="F266">
        <v>29.9</v>
      </c>
      <c r="G266">
        <v>2024</v>
      </c>
    </row>
    <row r="267" spans="1:7" hidden="1" x14ac:dyDescent="0.2">
      <c r="A267" t="s">
        <v>42</v>
      </c>
      <c r="B267" t="s">
        <v>17</v>
      </c>
      <c r="C267">
        <v>3</v>
      </c>
      <c r="D267" t="s">
        <v>127</v>
      </c>
      <c r="E267" t="s">
        <v>275</v>
      </c>
      <c r="F267">
        <v>7.9</v>
      </c>
      <c r="G267">
        <v>2024</v>
      </c>
    </row>
    <row r="268" spans="1:7" hidden="1" x14ac:dyDescent="0.2">
      <c r="A268" t="s">
        <v>42</v>
      </c>
      <c r="B268" t="s">
        <v>17</v>
      </c>
      <c r="C268">
        <v>3</v>
      </c>
      <c r="D268" t="s">
        <v>129</v>
      </c>
      <c r="E268" t="s">
        <v>156</v>
      </c>
      <c r="F268">
        <v>4.5999999999999996</v>
      </c>
      <c r="G268">
        <v>2024</v>
      </c>
    </row>
    <row r="269" spans="1:7" hidden="1" x14ac:dyDescent="0.2">
      <c r="A269" t="s">
        <v>42</v>
      </c>
      <c r="B269" t="s">
        <v>17</v>
      </c>
      <c r="C269">
        <v>3</v>
      </c>
      <c r="D269" t="s">
        <v>131</v>
      </c>
      <c r="E269" t="s">
        <v>143</v>
      </c>
      <c r="F269">
        <v>7</v>
      </c>
      <c r="G269">
        <v>2024</v>
      </c>
    </row>
    <row r="270" spans="1:7" hidden="1" x14ac:dyDescent="0.2">
      <c r="A270" t="s">
        <v>42</v>
      </c>
      <c r="B270" t="s">
        <v>17</v>
      </c>
      <c r="C270">
        <v>3</v>
      </c>
      <c r="D270" t="s">
        <v>130</v>
      </c>
      <c r="E270" t="s">
        <v>157</v>
      </c>
      <c r="F270">
        <v>14</v>
      </c>
      <c r="G270">
        <v>2024</v>
      </c>
    </row>
    <row r="271" spans="1:7" hidden="1" x14ac:dyDescent="0.2">
      <c r="A271" t="s">
        <v>42</v>
      </c>
      <c r="B271" t="s">
        <v>17</v>
      </c>
      <c r="C271">
        <v>3</v>
      </c>
      <c r="D271" t="s">
        <v>294</v>
      </c>
      <c r="E271" t="s">
        <v>152</v>
      </c>
      <c r="F271">
        <v>2.7</v>
      </c>
      <c r="G271">
        <v>2024</v>
      </c>
    </row>
    <row r="272" spans="1:7" hidden="1" x14ac:dyDescent="0.2">
      <c r="A272" t="s">
        <v>31</v>
      </c>
      <c r="B272" t="s">
        <v>33</v>
      </c>
      <c r="C272">
        <v>3</v>
      </c>
      <c r="D272" t="s">
        <v>125</v>
      </c>
      <c r="E272" t="s">
        <v>202</v>
      </c>
      <c r="F272">
        <v>25.98</v>
      </c>
      <c r="G272">
        <v>2024</v>
      </c>
    </row>
    <row r="273" spans="1:7" hidden="1" x14ac:dyDescent="0.2">
      <c r="A273" t="s">
        <v>31</v>
      </c>
      <c r="B273" t="s">
        <v>33</v>
      </c>
      <c r="C273">
        <v>3</v>
      </c>
      <c r="D273" t="s">
        <v>128</v>
      </c>
      <c r="E273" t="s">
        <v>201</v>
      </c>
      <c r="F273">
        <v>24.1</v>
      </c>
      <c r="G273">
        <v>2024</v>
      </c>
    </row>
    <row r="274" spans="1:7" hidden="1" x14ac:dyDescent="0.2">
      <c r="A274" t="s">
        <v>31</v>
      </c>
      <c r="B274" t="s">
        <v>33</v>
      </c>
      <c r="C274">
        <v>3</v>
      </c>
      <c r="D274" t="s">
        <v>128</v>
      </c>
      <c r="E274" t="s">
        <v>199</v>
      </c>
      <c r="F274">
        <v>14.92</v>
      </c>
      <c r="G274">
        <v>2024</v>
      </c>
    </row>
    <row r="275" spans="1:7" hidden="1" x14ac:dyDescent="0.2">
      <c r="A275" t="s">
        <v>31</v>
      </c>
      <c r="B275" t="s">
        <v>33</v>
      </c>
      <c r="C275">
        <v>3</v>
      </c>
      <c r="D275" t="s">
        <v>128</v>
      </c>
      <c r="E275" t="s">
        <v>276</v>
      </c>
      <c r="F275">
        <v>5.4</v>
      </c>
      <c r="G275">
        <v>2024</v>
      </c>
    </row>
    <row r="276" spans="1:7" hidden="1" x14ac:dyDescent="0.2">
      <c r="A276" t="s">
        <v>31</v>
      </c>
      <c r="B276" t="s">
        <v>33</v>
      </c>
      <c r="C276">
        <v>3</v>
      </c>
      <c r="D276" t="s">
        <v>127</v>
      </c>
      <c r="E276" t="s">
        <v>198</v>
      </c>
      <c r="F276">
        <v>26</v>
      </c>
      <c r="G276">
        <v>2024</v>
      </c>
    </row>
    <row r="277" spans="1:7" hidden="1" x14ac:dyDescent="0.2">
      <c r="A277" t="s">
        <v>31</v>
      </c>
      <c r="B277" t="s">
        <v>33</v>
      </c>
      <c r="C277">
        <v>3</v>
      </c>
      <c r="D277" t="s">
        <v>127</v>
      </c>
      <c r="E277" t="s">
        <v>197</v>
      </c>
      <c r="F277">
        <v>14.2</v>
      </c>
      <c r="G277">
        <v>2024</v>
      </c>
    </row>
    <row r="278" spans="1:7" hidden="1" x14ac:dyDescent="0.2">
      <c r="A278" t="s">
        <v>31</v>
      </c>
      <c r="B278" t="s">
        <v>33</v>
      </c>
      <c r="C278">
        <v>3</v>
      </c>
      <c r="D278" t="s">
        <v>129</v>
      </c>
      <c r="E278" t="s">
        <v>196</v>
      </c>
      <c r="F278">
        <v>0</v>
      </c>
      <c r="G278">
        <v>2024</v>
      </c>
    </row>
    <row r="279" spans="1:7" hidden="1" x14ac:dyDescent="0.2">
      <c r="A279" t="s">
        <v>31</v>
      </c>
      <c r="B279" t="s">
        <v>33</v>
      </c>
      <c r="C279">
        <v>3</v>
      </c>
      <c r="D279" t="s">
        <v>131</v>
      </c>
      <c r="E279" t="s">
        <v>195</v>
      </c>
      <c r="F279">
        <v>1</v>
      </c>
      <c r="G279">
        <v>2024</v>
      </c>
    </row>
    <row r="280" spans="1:7" hidden="1" x14ac:dyDescent="0.2">
      <c r="A280" t="s">
        <v>31</v>
      </c>
      <c r="B280" t="s">
        <v>33</v>
      </c>
      <c r="C280">
        <v>3</v>
      </c>
      <c r="D280" t="s">
        <v>130</v>
      </c>
      <c r="E280" t="s">
        <v>138</v>
      </c>
      <c r="F280">
        <v>-3</v>
      </c>
      <c r="G280">
        <v>2024</v>
      </c>
    </row>
    <row r="281" spans="1:7" hidden="1" x14ac:dyDescent="0.2">
      <c r="A281" t="s">
        <v>31</v>
      </c>
      <c r="B281" t="s">
        <v>33</v>
      </c>
      <c r="C281">
        <v>3</v>
      </c>
      <c r="D281" t="s">
        <v>293</v>
      </c>
      <c r="E281" t="s">
        <v>291</v>
      </c>
      <c r="F281">
        <v>10.199999999999999</v>
      </c>
      <c r="G281">
        <v>2024</v>
      </c>
    </row>
    <row r="282" spans="1:7" hidden="1" x14ac:dyDescent="0.2">
      <c r="A282" t="s">
        <v>73</v>
      </c>
      <c r="B282" t="s">
        <v>21</v>
      </c>
      <c r="C282">
        <v>3</v>
      </c>
      <c r="D282" t="s">
        <v>125</v>
      </c>
      <c r="E282" t="s">
        <v>141</v>
      </c>
      <c r="F282">
        <v>29.86</v>
      </c>
      <c r="G282">
        <v>2024</v>
      </c>
    </row>
    <row r="283" spans="1:7" hidden="1" x14ac:dyDescent="0.2">
      <c r="A283" t="s">
        <v>73</v>
      </c>
      <c r="B283" t="s">
        <v>21</v>
      </c>
      <c r="C283">
        <v>3</v>
      </c>
      <c r="D283" t="s">
        <v>128</v>
      </c>
      <c r="E283" t="s">
        <v>147</v>
      </c>
      <c r="F283">
        <v>23.1</v>
      </c>
      <c r="G283">
        <v>2024</v>
      </c>
    </row>
    <row r="284" spans="1:7" hidden="1" x14ac:dyDescent="0.2">
      <c r="A284" t="s">
        <v>73</v>
      </c>
      <c r="B284" t="s">
        <v>21</v>
      </c>
      <c r="C284">
        <v>3</v>
      </c>
      <c r="D284" t="s">
        <v>128</v>
      </c>
      <c r="E284" t="s">
        <v>277</v>
      </c>
      <c r="F284">
        <v>7.3</v>
      </c>
      <c r="G284">
        <v>2024</v>
      </c>
    </row>
    <row r="285" spans="1:7" hidden="1" x14ac:dyDescent="0.2">
      <c r="A285" t="s">
        <v>73</v>
      </c>
      <c r="B285" t="s">
        <v>21</v>
      </c>
      <c r="C285">
        <v>3</v>
      </c>
      <c r="D285" t="s">
        <v>128</v>
      </c>
      <c r="E285" t="s">
        <v>243</v>
      </c>
      <c r="F285">
        <v>1.4</v>
      </c>
      <c r="G285">
        <v>2024</v>
      </c>
    </row>
    <row r="286" spans="1:7" hidden="1" x14ac:dyDescent="0.2">
      <c r="A286" t="s">
        <v>73</v>
      </c>
      <c r="B286" t="s">
        <v>21</v>
      </c>
      <c r="C286">
        <v>3</v>
      </c>
      <c r="D286" t="s">
        <v>127</v>
      </c>
      <c r="E286" t="s">
        <v>148</v>
      </c>
      <c r="F286">
        <v>7.3</v>
      </c>
      <c r="G286">
        <v>2024</v>
      </c>
    </row>
    <row r="287" spans="1:7" hidden="1" x14ac:dyDescent="0.2">
      <c r="A287" t="s">
        <v>73</v>
      </c>
      <c r="B287" t="s">
        <v>21</v>
      </c>
      <c r="C287">
        <v>3</v>
      </c>
      <c r="D287" t="s">
        <v>127</v>
      </c>
      <c r="E287" t="s">
        <v>278</v>
      </c>
      <c r="F287">
        <v>5.2</v>
      </c>
      <c r="G287">
        <v>2024</v>
      </c>
    </row>
    <row r="288" spans="1:7" hidden="1" x14ac:dyDescent="0.2">
      <c r="A288" t="s">
        <v>73</v>
      </c>
      <c r="B288" t="s">
        <v>21</v>
      </c>
      <c r="C288">
        <v>3</v>
      </c>
      <c r="D288" t="s">
        <v>129</v>
      </c>
      <c r="E288" t="s">
        <v>191</v>
      </c>
      <c r="F288">
        <v>6.9</v>
      </c>
      <c r="G288">
        <v>2024</v>
      </c>
    </row>
    <row r="289" spans="1:7" hidden="1" x14ac:dyDescent="0.2">
      <c r="A289" t="s">
        <v>73</v>
      </c>
      <c r="B289" t="s">
        <v>21</v>
      </c>
      <c r="C289">
        <v>3</v>
      </c>
      <c r="D289" t="s">
        <v>131</v>
      </c>
      <c r="E289" t="s">
        <v>242</v>
      </c>
      <c r="F289">
        <v>8</v>
      </c>
      <c r="G289">
        <v>2024</v>
      </c>
    </row>
    <row r="290" spans="1:7" hidden="1" x14ac:dyDescent="0.2">
      <c r="A290" t="s">
        <v>73</v>
      </c>
      <c r="B290" t="s">
        <v>21</v>
      </c>
      <c r="C290">
        <v>3</v>
      </c>
      <c r="D290" t="s">
        <v>130</v>
      </c>
      <c r="E290" t="s">
        <v>279</v>
      </c>
      <c r="F290">
        <v>-6</v>
      </c>
      <c r="G290">
        <v>2024</v>
      </c>
    </row>
    <row r="291" spans="1:7" hidden="1" x14ac:dyDescent="0.2">
      <c r="A291" t="s">
        <v>73</v>
      </c>
      <c r="B291" t="s">
        <v>21</v>
      </c>
      <c r="C291">
        <v>3</v>
      </c>
      <c r="D291" t="s">
        <v>293</v>
      </c>
      <c r="E291" t="s">
        <v>149</v>
      </c>
      <c r="F291">
        <v>3</v>
      </c>
      <c r="G291">
        <v>2024</v>
      </c>
    </row>
    <row r="292" spans="1:7" hidden="1" x14ac:dyDescent="0.2">
      <c r="A292" t="s">
        <v>74</v>
      </c>
      <c r="B292" t="s">
        <v>29</v>
      </c>
      <c r="C292">
        <v>3</v>
      </c>
      <c r="D292" t="s">
        <v>125</v>
      </c>
      <c r="E292" t="s">
        <v>168</v>
      </c>
      <c r="F292">
        <v>10.94</v>
      </c>
      <c r="G292">
        <v>2024</v>
      </c>
    </row>
    <row r="293" spans="1:7" hidden="1" x14ac:dyDescent="0.2">
      <c r="A293" t="s">
        <v>74</v>
      </c>
      <c r="B293" t="s">
        <v>29</v>
      </c>
      <c r="C293">
        <v>3</v>
      </c>
      <c r="D293" t="s">
        <v>128</v>
      </c>
      <c r="E293" t="s">
        <v>171</v>
      </c>
      <c r="F293">
        <v>17.100000000000001</v>
      </c>
      <c r="G293">
        <v>2024</v>
      </c>
    </row>
    <row r="294" spans="1:7" hidden="1" x14ac:dyDescent="0.2">
      <c r="A294" t="s">
        <v>74</v>
      </c>
      <c r="B294" t="s">
        <v>29</v>
      </c>
      <c r="C294">
        <v>3</v>
      </c>
      <c r="D294" t="s">
        <v>128</v>
      </c>
      <c r="E294" t="s">
        <v>280</v>
      </c>
      <c r="F294">
        <v>20.399999999999999</v>
      </c>
      <c r="G294">
        <v>2024</v>
      </c>
    </row>
    <row r="295" spans="1:7" hidden="1" x14ac:dyDescent="0.2">
      <c r="A295" t="s">
        <v>74</v>
      </c>
      <c r="B295" t="s">
        <v>29</v>
      </c>
      <c r="C295">
        <v>3</v>
      </c>
      <c r="D295" t="s">
        <v>128</v>
      </c>
      <c r="E295" t="s">
        <v>172</v>
      </c>
      <c r="F295">
        <v>11.2</v>
      </c>
      <c r="G295">
        <v>2024</v>
      </c>
    </row>
    <row r="296" spans="1:7" hidden="1" x14ac:dyDescent="0.2">
      <c r="A296" t="s">
        <v>74</v>
      </c>
      <c r="B296" t="s">
        <v>29</v>
      </c>
      <c r="C296">
        <v>3</v>
      </c>
      <c r="D296" t="s">
        <v>127</v>
      </c>
      <c r="E296" t="s">
        <v>174</v>
      </c>
      <c r="F296">
        <v>12.2</v>
      </c>
      <c r="G296">
        <v>2024</v>
      </c>
    </row>
    <row r="297" spans="1:7" hidden="1" x14ac:dyDescent="0.2">
      <c r="A297" t="s">
        <v>74</v>
      </c>
      <c r="B297" t="s">
        <v>29</v>
      </c>
      <c r="C297">
        <v>3</v>
      </c>
      <c r="D297" t="s">
        <v>127</v>
      </c>
      <c r="E297" t="s">
        <v>244</v>
      </c>
      <c r="F297">
        <v>9.8000000000000007</v>
      </c>
      <c r="G297">
        <v>2024</v>
      </c>
    </row>
    <row r="298" spans="1:7" hidden="1" x14ac:dyDescent="0.2">
      <c r="A298" t="s">
        <v>74</v>
      </c>
      <c r="B298" t="s">
        <v>29</v>
      </c>
      <c r="C298">
        <v>3</v>
      </c>
      <c r="D298" t="s">
        <v>129</v>
      </c>
      <c r="E298" t="s">
        <v>245</v>
      </c>
      <c r="F298">
        <v>2.1</v>
      </c>
      <c r="G298">
        <v>2024</v>
      </c>
    </row>
    <row r="299" spans="1:7" hidden="1" x14ac:dyDescent="0.2">
      <c r="A299" t="s">
        <v>74</v>
      </c>
      <c r="B299" t="s">
        <v>29</v>
      </c>
      <c r="C299">
        <v>3</v>
      </c>
      <c r="D299" t="s">
        <v>131</v>
      </c>
      <c r="E299" t="s">
        <v>169</v>
      </c>
      <c r="F299">
        <v>6</v>
      </c>
      <c r="G299">
        <v>2024</v>
      </c>
    </row>
    <row r="300" spans="1:7" hidden="1" x14ac:dyDescent="0.2">
      <c r="A300" t="s">
        <v>74</v>
      </c>
      <c r="B300" t="s">
        <v>29</v>
      </c>
      <c r="C300">
        <v>3</v>
      </c>
      <c r="D300" t="s">
        <v>130</v>
      </c>
      <c r="E300" t="s">
        <v>408</v>
      </c>
      <c r="F300">
        <v>19</v>
      </c>
      <c r="G300">
        <v>2024</v>
      </c>
    </row>
    <row r="301" spans="1:7" hidden="1" x14ac:dyDescent="0.2">
      <c r="A301" t="s">
        <v>74</v>
      </c>
      <c r="B301" t="s">
        <v>29</v>
      </c>
      <c r="C301">
        <v>3</v>
      </c>
      <c r="D301" t="s">
        <v>294</v>
      </c>
      <c r="E301" t="s">
        <v>246</v>
      </c>
      <c r="F301">
        <v>3.7</v>
      </c>
      <c r="G301">
        <v>2024</v>
      </c>
    </row>
    <row r="302" spans="1:7" hidden="1" x14ac:dyDescent="0.2">
      <c r="A302" t="s">
        <v>75</v>
      </c>
      <c r="B302" t="s">
        <v>36</v>
      </c>
      <c r="C302">
        <v>3</v>
      </c>
      <c r="D302" t="s">
        <v>125</v>
      </c>
      <c r="E302" t="s">
        <v>247</v>
      </c>
      <c r="F302">
        <v>11.36</v>
      </c>
      <c r="G302">
        <v>2024</v>
      </c>
    </row>
    <row r="303" spans="1:7" hidden="1" x14ac:dyDescent="0.2">
      <c r="A303" t="s">
        <v>75</v>
      </c>
      <c r="B303" t="s">
        <v>36</v>
      </c>
      <c r="C303">
        <v>3</v>
      </c>
      <c r="D303" t="s">
        <v>128</v>
      </c>
      <c r="E303" t="s">
        <v>187</v>
      </c>
      <c r="F303">
        <v>17</v>
      </c>
      <c r="G303">
        <v>2024</v>
      </c>
    </row>
    <row r="304" spans="1:7" hidden="1" x14ac:dyDescent="0.2">
      <c r="A304" t="s">
        <v>75</v>
      </c>
      <c r="B304" t="s">
        <v>36</v>
      </c>
      <c r="C304">
        <v>3</v>
      </c>
      <c r="D304" t="s">
        <v>128</v>
      </c>
      <c r="E304" t="s">
        <v>188</v>
      </c>
      <c r="F304">
        <v>15.7</v>
      </c>
      <c r="G304">
        <v>2024</v>
      </c>
    </row>
    <row r="305" spans="1:7" hidden="1" x14ac:dyDescent="0.2">
      <c r="A305" t="s">
        <v>75</v>
      </c>
      <c r="B305" t="s">
        <v>36</v>
      </c>
      <c r="C305">
        <v>3</v>
      </c>
      <c r="D305" t="s">
        <v>128</v>
      </c>
      <c r="E305" t="s">
        <v>186</v>
      </c>
      <c r="F305">
        <v>5.9</v>
      </c>
      <c r="G305">
        <v>2024</v>
      </c>
    </row>
    <row r="306" spans="1:7" hidden="1" x14ac:dyDescent="0.2">
      <c r="A306" t="s">
        <v>75</v>
      </c>
      <c r="B306" t="s">
        <v>36</v>
      </c>
      <c r="C306">
        <v>3</v>
      </c>
      <c r="D306" t="s">
        <v>127</v>
      </c>
      <c r="E306" t="s">
        <v>403</v>
      </c>
      <c r="F306">
        <v>24.2</v>
      </c>
      <c r="G306">
        <v>2024</v>
      </c>
    </row>
    <row r="307" spans="1:7" hidden="1" x14ac:dyDescent="0.2">
      <c r="A307" t="s">
        <v>75</v>
      </c>
      <c r="B307" t="s">
        <v>36</v>
      </c>
      <c r="C307">
        <v>3</v>
      </c>
      <c r="D307" t="s">
        <v>127</v>
      </c>
      <c r="E307" t="s">
        <v>189</v>
      </c>
      <c r="F307">
        <v>10.5</v>
      </c>
      <c r="G307">
        <v>2024</v>
      </c>
    </row>
    <row r="308" spans="1:7" hidden="1" x14ac:dyDescent="0.2">
      <c r="A308" t="s">
        <v>75</v>
      </c>
      <c r="B308" t="s">
        <v>36</v>
      </c>
      <c r="C308">
        <v>3</v>
      </c>
      <c r="D308" t="s">
        <v>129</v>
      </c>
      <c r="E308" t="s">
        <v>249</v>
      </c>
      <c r="F308">
        <v>5</v>
      </c>
      <c r="G308">
        <v>2024</v>
      </c>
    </row>
    <row r="309" spans="1:7" hidden="1" x14ac:dyDescent="0.2">
      <c r="A309" t="s">
        <v>75</v>
      </c>
      <c r="B309" t="s">
        <v>36</v>
      </c>
      <c r="C309">
        <v>3</v>
      </c>
      <c r="D309" t="s">
        <v>131</v>
      </c>
      <c r="E309" t="s">
        <v>192</v>
      </c>
      <c r="F309">
        <v>8</v>
      </c>
      <c r="G309">
        <v>2024</v>
      </c>
    </row>
    <row r="310" spans="1:7" hidden="1" x14ac:dyDescent="0.2">
      <c r="A310" t="s">
        <v>75</v>
      </c>
      <c r="B310" t="s">
        <v>36</v>
      </c>
      <c r="C310">
        <v>3</v>
      </c>
      <c r="D310" t="s">
        <v>130</v>
      </c>
      <c r="E310" t="s">
        <v>193</v>
      </c>
      <c r="F310">
        <v>4</v>
      </c>
      <c r="G310">
        <v>2024</v>
      </c>
    </row>
    <row r="311" spans="1:7" hidden="1" x14ac:dyDescent="0.2">
      <c r="A311" t="s">
        <v>75</v>
      </c>
      <c r="B311" t="s">
        <v>36</v>
      </c>
      <c r="C311">
        <v>3</v>
      </c>
      <c r="D311" t="s">
        <v>294</v>
      </c>
      <c r="E311" t="s">
        <v>248</v>
      </c>
      <c r="F311">
        <v>5.4</v>
      </c>
      <c r="G311">
        <v>2024</v>
      </c>
    </row>
    <row r="312" spans="1:7" hidden="1" x14ac:dyDescent="0.2">
      <c r="A312" t="s">
        <v>76</v>
      </c>
      <c r="B312" t="s">
        <v>32</v>
      </c>
      <c r="C312">
        <v>3</v>
      </c>
      <c r="D312" t="s">
        <v>125</v>
      </c>
      <c r="E312" t="s">
        <v>230</v>
      </c>
      <c r="F312">
        <v>25.36</v>
      </c>
      <c r="G312">
        <v>2024</v>
      </c>
    </row>
    <row r="313" spans="1:7" hidden="1" x14ac:dyDescent="0.2">
      <c r="A313" t="s">
        <v>76</v>
      </c>
      <c r="B313" t="s">
        <v>32</v>
      </c>
      <c r="C313">
        <v>3</v>
      </c>
      <c r="D313" t="s">
        <v>128</v>
      </c>
      <c r="E313" t="s">
        <v>231</v>
      </c>
      <c r="F313">
        <v>26.8</v>
      </c>
      <c r="G313">
        <v>2024</v>
      </c>
    </row>
    <row r="314" spans="1:7" hidden="1" x14ac:dyDescent="0.2">
      <c r="A314" t="s">
        <v>76</v>
      </c>
      <c r="B314" t="s">
        <v>32</v>
      </c>
      <c r="C314">
        <v>3</v>
      </c>
      <c r="D314" t="s">
        <v>128</v>
      </c>
      <c r="E314" t="s">
        <v>232</v>
      </c>
      <c r="F314">
        <v>10.6</v>
      </c>
      <c r="G314">
        <v>2024</v>
      </c>
    </row>
    <row r="315" spans="1:7" hidden="1" x14ac:dyDescent="0.2">
      <c r="A315" t="s">
        <v>76</v>
      </c>
      <c r="B315" t="s">
        <v>32</v>
      </c>
      <c r="C315">
        <v>3</v>
      </c>
      <c r="D315" t="s">
        <v>128</v>
      </c>
      <c r="E315" t="s">
        <v>261</v>
      </c>
      <c r="F315">
        <v>7.3</v>
      </c>
      <c r="G315">
        <v>2024</v>
      </c>
    </row>
    <row r="316" spans="1:7" hidden="1" x14ac:dyDescent="0.2">
      <c r="A316" t="s">
        <v>76</v>
      </c>
      <c r="B316" t="s">
        <v>32</v>
      </c>
      <c r="C316">
        <v>3</v>
      </c>
      <c r="D316" t="s">
        <v>127</v>
      </c>
      <c r="E316" t="s">
        <v>235</v>
      </c>
      <c r="F316">
        <v>23.3</v>
      </c>
      <c r="G316">
        <v>2024</v>
      </c>
    </row>
    <row r="317" spans="1:7" hidden="1" x14ac:dyDescent="0.2">
      <c r="A317" t="s">
        <v>76</v>
      </c>
      <c r="B317" t="s">
        <v>32</v>
      </c>
      <c r="C317">
        <v>3</v>
      </c>
      <c r="D317" t="s">
        <v>127</v>
      </c>
      <c r="E317" t="s">
        <v>259</v>
      </c>
      <c r="F317">
        <v>6.9</v>
      </c>
      <c r="G317">
        <v>2024</v>
      </c>
    </row>
    <row r="318" spans="1:7" hidden="1" x14ac:dyDescent="0.2">
      <c r="A318" t="s">
        <v>76</v>
      </c>
      <c r="B318" t="s">
        <v>32</v>
      </c>
      <c r="C318">
        <v>3</v>
      </c>
      <c r="D318" t="s">
        <v>129</v>
      </c>
      <c r="E318" t="s">
        <v>144</v>
      </c>
      <c r="F318">
        <v>5.3</v>
      </c>
      <c r="G318">
        <v>2024</v>
      </c>
    </row>
    <row r="319" spans="1:7" hidden="1" x14ac:dyDescent="0.2">
      <c r="A319" t="s">
        <v>76</v>
      </c>
      <c r="B319" t="s">
        <v>32</v>
      </c>
      <c r="C319">
        <v>3</v>
      </c>
      <c r="D319" t="s">
        <v>131</v>
      </c>
      <c r="E319" t="s">
        <v>237</v>
      </c>
      <c r="F319">
        <v>8</v>
      </c>
      <c r="G319">
        <v>2024</v>
      </c>
    </row>
    <row r="320" spans="1:7" hidden="1" x14ac:dyDescent="0.2">
      <c r="A320" t="s">
        <v>76</v>
      </c>
      <c r="B320" t="s">
        <v>32</v>
      </c>
      <c r="C320">
        <v>3</v>
      </c>
      <c r="D320" t="s">
        <v>130</v>
      </c>
      <c r="E320" t="s">
        <v>281</v>
      </c>
      <c r="F320">
        <v>4</v>
      </c>
      <c r="G320">
        <v>2024</v>
      </c>
    </row>
    <row r="321" spans="1:7" hidden="1" x14ac:dyDescent="0.2">
      <c r="A321" t="s">
        <v>76</v>
      </c>
      <c r="B321" t="s">
        <v>32</v>
      </c>
      <c r="C321">
        <v>3</v>
      </c>
      <c r="D321" t="s">
        <v>293</v>
      </c>
      <c r="E321" t="s">
        <v>234</v>
      </c>
      <c r="F321">
        <v>0.3</v>
      </c>
      <c r="G321">
        <v>2024</v>
      </c>
    </row>
    <row r="322" spans="1:7" hidden="1" x14ac:dyDescent="0.2">
      <c r="A322" t="s">
        <v>18</v>
      </c>
      <c r="B322" t="s">
        <v>20</v>
      </c>
      <c r="C322">
        <v>3</v>
      </c>
      <c r="D322" t="s">
        <v>125</v>
      </c>
      <c r="E322" t="s">
        <v>250</v>
      </c>
      <c r="F322">
        <v>28.06</v>
      </c>
      <c r="G322">
        <v>2024</v>
      </c>
    </row>
    <row r="323" spans="1:7" hidden="1" x14ac:dyDescent="0.2">
      <c r="A323" t="s">
        <v>18</v>
      </c>
      <c r="B323" t="s">
        <v>20</v>
      </c>
      <c r="C323">
        <v>3</v>
      </c>
      <c r="D323" t="s">
        <v>128</v>
      </c>
      <c r="E323" t="s">
        <v>206</v>
      </c>
      <c r="F323">
        <v>14.3</v>
      </c>
      <c r="G323">
        <v>2024</v>
      </c>
    </row>
    <row r="324" spans="1:7" hidden="1" x14ac:dyDescent="0.2">
      <c r="A324" t="s">
        <v>18</v>
      </c>
      <c r="B324" t="s">
        <v>20</v>
      </c>
      <c r="C324">
        <v>3</v>
      </c>
      <c r="D324" t="s">
        <v>128</v>
      </c>
      <c r="E324" t="s">
        <v>205</v>
      </c>
      <c r="F324">
        <v>11.4</v>
      </c>
      <c r="G324">
        <v>2024</v>
      </c>
    </row>
    <row r="325" spans="1:7" hidden="1" x14ac:dyDescent="0.2">
      <c r="A325" t="s">
        <v>18</v>
      </c>
      <c r="B325" t="s">
        <v>20</v>
      </c>
      <c r="C325">
        <v>3</v>
      </c>
      <c r="D325" t="s">
        <v>128</v>
      </c>
      <c r="E325" t="s">
        <v>283</v>
      </c>
      <c r="F325">
        <v>6.7</v>
      </c>
      <c r="G325">
        <v>2024</v>
      </c>
    </row>
    <row r="326" spans="1:7" hidden="1" x14ac:dyDescent="0.2">
      <c r="A326" t="s">
        <v>18</v>
      </c>
      <c r="B326" t="s">
        <v>20</v>
      </c>
      <c r="C326">
        <v>3</v>
      </c>
      <c r="D326" t="s">
        <v>127</v>
      </c>
      <c r="E326" t="s">
        <v>282</v>
      </c>
      <c r="F326">
        <v>18.2</v>
      </c>
      <c r="G326">
        <v>2024</v>
      </c>
    </row>
    <row r="327" spans="1:7" hidden="1" x14ac:dyDescent="0.2">
      <c r="A327" t="s">
        <v>18</v>
      </c>
      <c r="B327" t="s">
        <v>20</v>
      </c>
      <c r="C327">
        <v>3</v>
      </c>
      <c r="D327" t="s">
        <v>127</v>
      </c>
      <c r="E327" t="s">
        <v>208</v>
      </c>
      <c r="F327">
        <v>16.7</v>
      </c>
      <c r="G327">
        <v>2024</v>
      </c>
    </row>
    <row r="328" spans="1:7" hidden="1" x14ac:dyDescent="0.2">
      <c r="A328" t="s">
        <v>18</v>
      </c>
      <c r="B328" t="s">
        <v>20</v>
      </c>
      <c r="C328">
        <v>3</v>
      </c>
      <c r="D328" t="s">
        <v>129</v>
      </c>
      <c r="E328" t="s">
        <v>209</v>
      </c>
      <c r="F328">
        <v>11.6</v>
      </c>
      <c r="G328">
        <v>2024</v>
      </c>
    </row>
    <row r="329" spans="1:7" hidden="1" x14ac:dyDescent="0.2">
      <c r="A329" t="s">
        <v>18</v>
      </c>
      <c r="B329" t="s">
        <v>20</v>
      </c>
      <c r="C329">
        <v>3</v>
      </c>
      <c r="D329" t="s">
        <v>131</v>
      </c>
      <c r="E329" t="s">
        <v>210</v>
      </c>
      <c r="F329">
        <v>11</v>
      </c>
      <c r="G329">
        <v>2024</v>
      </c>
    </row>
    <row r="330" spans="1:7" hidden="1" x14ac:dyDescent="0.2">
      <c r="A330" t="s">
        <v>18</v>
      </c>
      <c r="B330" t="s">
        <v>20</v>
      </c>
      <c r="C330">
        <v>3</v>
      </c>
      <c r="D330" t="s">
        <v>130</v>
      </c>
      <c r="E330" t="s">
        <v>211</v>
      </c>
      <c r="F330">
        <v>-5</v>
      </c>
      <c r="G330">
        <v>2024</v>
      </c>
    </row>
    <row r="331" spans="1:7" hidden="1" x14ac:dyDescent="0.2">
      <c r="A331" t="s">
        <v>18</v>
      </c>
      <c r="B331" t="s">
        <v>20</v>
      </c>
      <c r="C331">
        <v>3</v>
      </c>
      <c r="D331" t="s">
        <v>293</v>
      </c>
      <c r="E331" t="s">
        <v>207</v>
      </c>
      <c r="F331">
        <v>16.3</v>
      </c>
      <c r="G331">
        <v>2024</v>
      </c>
    </row>
    <row r="332" spans="1:7" hidden="1" x14ac:dyDescent="0.2">
      <c r="A332" t="s">
        <v>35</v>
      </c>
      <c r="B332" t="s">
        <v>49</v>
      </c>
      <c r="C332">
        <v>3</v>
      </c>
      <c r="D332" t="s">
        <v>125</v>
      </c>
      <c r="E332" t="s">
        <v>221</v>
      </c>
      <c r="F332">
        <v>5.08</v>
      </c>
      <c r="G332">
        <v>2024</v>
      </c>
    </row>
    <row r="333" spans="1:7" hidden="1" x14ac:dyDescent="0.2">
      <c r="A333" t="s">
        <v>35</v>
      </c>
      <c r="B333" t="s">
        <v>49</v>
      </c>
      <c r="C333">
        <v>3</v>
      </c>
      <c r="D333" t="s">
        <v>128</v>
      </c>
      <c r="E333" t="s">
        <v>224</v>
      </c>
      <c r="F333">
        <v>11.8</v>
      </c>
      <c r="G333">
        <v>2024</v>
      </c>
    </row>
    <row r="334" spans="1:7" hidden="1" x14ac:dyDescent="0.2">
      <c r="A334" t="s">
        <v>35</v>
      </c>
      <c r="B334" t="s">
        <v>49</v>
      </c>
      <c r="C334">
        <v>3</v>
      </c>
      <c r="D334" t="s">
        <v>128</v>
      </c>
      <c r="E334" t="s">
        <v>254</v>
      </c>
      <c r="F334">
        <v>5.6</v>
      </c>
      <c r="G334">
        <v>2024</v>
      </c>
    </row>
    <row r="335" spans="1:7" hidden="1" x14ac:dyDescent="0.2">
      <c r="A335" t="s">
        <v>35</v>
      </c>
      <c r="B335" t="s">
        <v>49</v>
      </c>
      <c r="C335">
        <v>3</v>
      </c>
      <c r="D335" t="s">
        <v>128</v>
      </c>
      <c r="E335" t="s">
        <v>284</v>
      </c>
      <c r="F335">
        <v>2.6</v>
      </c>
      <c r="G335">
        <v>2024</v>
      </c>
    </row>
    <row r="336" spans="1:7" hidden="1" x14ac:dyDescent="0.2">
      <c r="A336" t="s">
        <v>35</v>
      </c>
      <c r="B336" t="s">
        <v>49</v>
      </c>
      <c r="C336">
        <v>3</v>
      </c>
      <c r="D336" t="s">
        <v>127</v>
      </c>
      <c r="E336" t="s">
        <v>226</v>
      </c>
      <c r="F336">
        <v>16.3</v>
      </c>
      <c r="G336">
        <v>2024</v>
      </c>
    </row>
    <row r="337" spans="1:7" hidden="1" x14ac:dyDescent="0.2">
      <c r="A337" t="s">
        <v>35</v>
      </c>
      <c r="B337" t="s">
        <v>49</v>
      </c>
      <c r="C337">
        <v>3</v>
      </c>
      <c r="D337" t="s">
        <v>127</v>
      </c>
      <c r="E337" t="s">
        <v>255</v>
      </c>
      <c r="F337">
        <v>9.9</v>
      </c>
      <c r="G337">
        <v>2024</v>
      </c>
    </row>
    <row r="338" spans="1:7" hidden="1" x14ac:dyDescent="0.2">
      <c r="A338" t="s">
        <v>35</v>
      </c>
      <c r="B338" t="s">
        <v>49</v>
      </c>
      <c r="C338">
        <v>3</v>
      </c>
      <c r="D338" t="s">
        <v>129</v>
      </c>
      <c r="E338" t="s">
        <v>227</v>
      </c>
      <c r="F338">
        <v>22</v>
      </c>
      <c r="G338">
        <v>2024</v>
      </c>
    </row>
    <row r="339" spans="1:7" hidden="1" x14ac:dyDescent="0.2">
      <c r="A339" t="s">
        <v>35</v>
      </c>
      <c r="B339" t="s">
        <v>49</v>
      </c>
      <c r="C339">
        <v>3</v>
      </c>
      <c r="D339" t="s">
        <v>131</v>
      </c>
      <c r="E339" t="s">
        <v>228</v>
      </c>
      <c r="F339">
        <v>6</v>
      </c>
      <c r="G339">
        <v>2024</v>
      </c>
    </row>
    <row r="340" spans="1:7" hidden="1" x14ac:dyDescent="0.2">
      <c r="A340" t="s">
        <v>35</v>
      </c>
      <c r="B340" t="s">
        <v>49</v>
      </c>
      <c r="C340">
        <v>3</v>
      </c>
      <c r="D340" t="s">
        <v>130</v>
      </c>
      <c r="E340" t="s">
        <v>253</v>
      </c>
      <c r="F340">
        <v>10</v>
      </c>
      <c r="G340">
        <v>2024</v>
      </c>
    </row>
    <row r="341" spans="1:7" hidden="1" x14ac:dyDescent="0.2">
      <c r="A341" t="s">
        <v>35</v>
      </c>
      <c r="B341" t="s">
        <v>49</v>
      </c>
      <c r="C341">
        <v>3</v>
      </c>
      <c r="D341" t="s">
        <v>294</v>
      </c>
      <c r="E341" t="s">
        <v>222</v>
      </c>
      <c r="F341">
        <v>0.7</v>
      </c>
      <c r="G341">
        <v>2024</v>
      </c>
    </row>
    <row r="342" spans="1:7" hidden="1" x14ac:dyDescent="0.2">
      <c r="A342" t="s">
        <v>26</v>
      </c>
      <c r="B342" t="s">
        <v>28</v>
      </c>
      <c r="C342">
        <v>3</v>
      </c>
      <c r="D342" t="s">
        <v>125</v>
      </c>
      <c r="E342" t="s">
        <v>212</v>
      </c>
      <c r="F342">
        <v>30.92</v>
      </c>
      <c r="G342">
        <v>2024</v>
      </c>
    </row>
    <row r="343" spans="1:7" hidden="1" x14ac:dyDescent="0.2">
      <c r="A343" t="s">
        <v>26</v>
      </c>
      <c r="B343" t="s">
        <v>28</v>
      </c>
      <c r="C343">
        <v>3</v>
      </c>
      <c r="D343" t="s">
        <v>128</v>
      </c>
      <c r="E343" t="s">
        <v>218</v>
      </c>
      <c r="F343">
        <v>24.2</v>
      </c>
      <c r="G343">
        <v>2024</v>
      </c>
    </row>
    <row r="344" spans="1:7" hidden="1" x14ac:dyDescent="0.2">
      <c r="A344" t="s">
        <v>26</v>
      </c>
      <c r="B344" t="s">
        <v>28</v>
      </c>
      <c r="C344">
        <v>3</v>
      </c>
      <c r="D344" t="s">
        <v>128</v>
      </c>
      <c r="E344" t="s">
        <v>219</v>
      </c>
      <c r="F344">
        <v>18.399999999999999</v>
      </c>
      <c r="G344">
        <v>2024</v>
      </c>
    </row>
    <row r="345" spans="1:7" hidden="1" x14ac:dyDescent="0.2">
      <c r="A345" t="s">
        <v>26</v>
      </c>
      <c r="B345" t="s">
        <v>28</v>
      </c>
      <c r="C345">
        <v>3</v>
      </c>
      <c r="D345" t="s">
        <v>128</v>
      </c>
      <c r="E345" t="s">
        <v>257</v>
      </c>
      <c r="F345">
        <v>4</v>
      </c>
      <c r="G345">
        <v>2024</v>
      </c>
    </row>
    <row r="346" spans="1:7" hidden="1" x14ac:dyDescent="0.2">
      <c r="A346" t="s">
        <v>26</v>
      </c>
      <c r="B346" t="s">
        <v>28</v>
      </c>
      <c r="C346">
        <v>3</v>
      </c>
      <c r="D346" t="s">
        <v>127</v>
      </c>
      <c r="E346" t="s">
        <v>216</v>
      </c>
      <c r="F346">
        <v>31.6</v>
      </c>
      <c r="G346">
        <v>2024</v>
      </c>
    </row>
    <row r="347" spans="1:7" hidden="1" x14ac:dyDescent="0.2">
      <c r="A347" t="s">
        <v>26</v>
      </c>
      <c r="B347" t="s">
        <v>28</v>
      </c>
      <c r="C347">
        <v>3</v>
      </c>
      <c r="D347" t="s">
        <v>127</v>
      </c>
      <c r="E347" t="s">
        <v>256</v>
      </c>
      <c r="F347">
        <v>30.6</v>
      </c>
      <c r="G347">
        <v>2024</v>
      </c>
    </row>
    <row r="348" spans="1:7" hidden="1" x14ac:dyDescent="0.2">
      <c r="A348" t="s">
        <v>26</v>
      </c>
      <c r="B348" t="s">
        <v>28</v>
      </c>
      <c r="C348">
        <v>3</v>
      </c>
      <c r="D348" t="s">
        <v>129</v>
      </c>
      <c r="E348" t="s">
        <v>285</v>
      </c>
      <c r="F348">
        <v>6.7</v>
      </c>
      <c r="G348">
        <v>2024</v>
      </c>
    </row>
    <row r="349" spans="1:7" hidden="1" x14ac:dyDescent="0.2">
      <c r="A349" t="s">
        <v>26</v>
      </c>
      <c r="B349" t="s">
        <v>28</v>
      </c>
      <c r="C349">
        <v>3</v>
      </c>
      <c r="D349" t="s">
        <v>131</v>
      </c>
      <c r="E349" t="s">
        <v>214</v>
      </c>
      <c r="F349">
        <v>12</v>
      </c>
      <c r="G349">
        <v>2024</v>
      </c>
    </row>
    <row r="350" spans="1:7" hidden="1" x14ac:dyDescent="0.2">
      <c r="A350" t="s">
        <v>26</v>
      </c>
      <c r="B350" t="s">
        <v>28</v>
      </c>
      <c r="C350">
        <v>3</v>
      </c>
      <c r="D350" t="s">
        <v>130</v>
      </c>
      <c r="E350" t="s">
        <v>215</v>
      </c>
      <c r="F350">
        <v>4</v>
      </c>
      <c r="G350">
        <v>2024</v>
      </c>
    </row>
    <row r="351" spans="1:7" hidden="1" x14ac:dyDescent="0.2">
      <c r="A351" t="s">
        <v>26</v>
      </c>
      <c r="B351" t="s">
        <v>28</v>
      </c>
      <c r="C351">
        <v>3</v>
      </c>
      <c r="D351" t="s">
        <v>293</v>
      </c>
      <c r="E351" t="s">
        <v>217</v>
      </c>
      <c r="F351">
        <v>6</v>
      </c>
      <c r="G351">
        <v>2024</v>
      </c>
    </row>
    <row r="352" spans="1:7" hidden="1" x14ac:dyDescent="0.2">
      <c r="A352" t="s">
        <v>46</v>
      </c>
      <c r="B352" t="s">
        <v>47</v>
      </c>
      <c r="C352">
        <v>3</v>
      </c>
      <c r="D352" t="s">
        <v>125</v>
      </c>
      <c r="E352" t="s">
        <v>176</v>
      </c>
      <c r="F352">
        <v>25.78</v>
      </c>
      <c r="G352">
        <v>2024</v>
      </c>
    </row>
    <row r="353" spans="1:7" hidden="1" x14ac:dyDescent="0.2">
      <c r="A353" t="s">
        <v>46</v>
      </c>
      <c r="B353" t="s">
        <v>47</v>
      </c>
      <c r="C353">
        <v>3</v>
      </c>
      <c r="D353" t="s">
        <v>128</v>
      </c>
      <c r="E353" t="s">
        <v>177</v>
      </c>
      <c r="F353">
        <v>6.7</v>
      </c>
      <c r="G353">
        <v>2024</v>
      </c>
    </row>
    <row r="354" spans="1:7" hidden="1" x14ac:dyDescent="0.2">
      <c r="A354" t="s">
        <v>46</v>
      </c>
      <c r="B354" t="s">
        <v>47</v>
      </c>
      <c r="C354">
        <v>3</v>
      </c>
      <c r="D354" t="s">
        <v>128</v>
      </c>
      <c r="E354" t="s">
        <v>178</v>
      </c>
      <c r="F354">
        <v>4.5999999999999996</v>
      </c>
      <c r="G354">
        <v>2024</v>
      </c>
    </row>
    <row r="355" spans="1:7" hidden="1" x14ac:dyDescent="0.2">
      <c r="A355" t="s">
        <v>46</v>
      </c>
      <c r="B355" t="s">
        <v>47</v>
      </c>
      <c r="C355">
        <v>3</v>
      </c>
      <c r="D355" t="s">
        <v>128</v>
      </c>
      <c r="E355" t="s">
        <v>262</v>
      </c>
      <c r="F355">
        <v>0</v>
      </c>
      <c r="G355">
        <v>2024</v>
      </c>
    </row>
    <row r="356" spans="1:7" hidden="1" x14ac:dyDescent="0.2">
      <c r="A356" t="s">
        <v>46</v>
      </c>
      <c r="B356" t="s">
        <v>47</v>
      </c>
      <c r="C356">
        <v>3</v>
      </c>
      <c r="D356" t="s">
        <v>127</v>
      </c>
      <c r="E356" t="s">
        <v>181</v>
      </c>
      <c r="F356">
        <v>19.7</v>
      </c>
      <c r="G356">
        <v>2024</v>
      </c>
    </row>
    <row r="357" spans="1:7" hidden="1" x14ac:dyDescent="0.2">
      <c r="A357" t="s">
        <v>46</v>
      </c>
      <c r="B357" t="s">
        <v>47</v>
      </c>
      <c r="C357">
        <v>3</v>
      </c>
      <c r="D357" t="s">
        <v>127</v>
      </c>
      <c r="E357" t="s">
        <v>180</v>
      </c>
      <c r="F357">
        <v>5.3</v>
      </c>
      <c r="G357">
        <v>2024</v>
      </c>
    </row>
    <row r="358" spans="1:7" hidden="1" x14ac:dyDescent="0.2">
      <c r="A358" t="s">
        <v>46</v>
      </c>
      <c r="B358" t="s">
        <v>47</v>
      </c>
      <c r="C358">
        <v>3</v>
      </c>
      <c r="D358" t="s">
        <v>129</v>
      </c>
      <c r="E358" t="s">
        <v>182</v>
      </c>
      <c r="F358">
        <v>5.6</v>
      </c>
      <c r="G358">
        <v>2024</v>
      </c>
    </row>
    <row r="359" spans="1:7" hidden="1" x14ac:dyDescent="0.2">
      <c r="A359" t="s">
        <v>46</v>
      </c>
      <c r="B359" t="s">
        <v>47</v>
      </c>
      <c r="C359">
        <v>3</v>
      </c>
      <c r="D359" t="s">
        <v>131</v>
      </c>
      <c r="E359" t="s">
        <v>183</v>
      </c>
      <c r="F359">
        <v>1</v>
      </c>
      <c r="G359">
        <v>2024</v>
      </c>
    </row>
    <row r="360" spans="1:7" hidden="1" x14ac:dyDescent="0.2">
      <c r="A360" t="s">
        <v>46</v>
      </c>
      <c r="B360" t="s">
        <v>47</v>
      </c>
      <c r="C360">
        <v>3</v>
      </c>
      <c r="D360" t="s">
        <v>130</v>
      </c>
      <c r="E360" t="s">
        <v>184</v>
      </c>
      <c r="F360">
        <v>12</v>
      </c>
      <c r="G360">
        <v>2024</v>
      </c>
    </row>
    <row r="361" spans="1:7" hidden="1" x14ac:dyDescent="0.2">
      <c r="A361" t="s">
        <v>46</v>
      </c>
      <c r="B361" t="s">
        <v>47</v>
      </c>
      <c r="C361">
        <v>3</v>
      </c>
      <c r="D361" t="s">
        <v>293</v>
      </c>
      <c r="E361" t="s">
        <v>296</v>
      </c>
      <c r="F361">
        <v>0.9</v>
      </c>
      <c r="G361">
        <v>2024</v>
      </c>
    </row>
    <row r="362" spans="1:7" hidden="1" x14ac:dyDescent="0.2">
      <c r="A362" t="s">
        <v>14</v>
      </c>
      <c r="B362" t="s">
        <v>16</v>
      </c>
      <c r="C362">
        <v>4</v>
      </c>
      <c r="D362" t="s">
        <v>125</v>
      </c>
      <c r="E362" t="s">
        <v>241</v>
      </c>
      <c r="F362">
        <v>28.88</v>
      </c>
      <c r="G362">
        <v>2024</v>
      </c>
    </row>
    <row r="363" spans="1:7" hidden="1" x14ac:dyDescent="0.2">
      <c r="A363" t="s">
        <v>14</v>
      </c>
      <c r="B363" t="s">
        <v>16</v>
      </c>
      <c r="C363">
        <v>4</v>
      </c>
      <c r="D363" t="s">
        <v>128</v>
      </c>
      <c r="E363" t="s">
        <v>288</v>
      </c>
      <c r="F363">
        <v>13.5</v>
      </c>
      <c r="G363">
        <v>2024</v>
      </c>
    </row>
    <row r="364" spans="1:7" hidden="1" x14ac:dyDescent="0.2">
      <c r="A364" t="s">
        <v>14</v>
      </c>
      <c r="B364" t="s">
        <v>16</v>
      </c>
      <c r="C364">
        <v>4</v>
      </c>
      <c r="D364" t="s">
        <v>128</v>
      </c>
      <c r="E364" t="s">
        <v>132</v>
      </c>
      <c r="F364">
        <v>23.6</v>
      </c>
      <c r="G364">
        <v>2024</v>
      </c>
    </row>
    <row r="365" spans="1:7" hidden="1" x14ac:dyDescent="0.2">
      <c r="A365" t="s">
        <v>14</v>
      </c>
      <c r="B365" t="s">
        <v>16</v>
      </c>
      <c r="C365">
        <v>4</v>
      </c>
      <c r="D365" t="s">
        <v>128</v>
      </c>
      <c r="E365" t="s">
        <v>133</v>
      </c>
      <c r="F365">
        <v>6.2</v>
      </c>
      <c r="G365">
        <v>2024</v>
      </c>
    </row>
    <row r="366" spans="1:7" hidden="1" x14ac:dyDescent="0.2">
      <c r="A366" t="s">
        <v>14</v>
      </c>
      <c r="B366" t="s">
        <v>16</v>
      </c>
      <c r="C366">
        <v>4</v>
      </c>
      <c r="D366" t="s">
        <v>129</v>
      </c>
      <c r="E366" t="s">
        <v>286</v>
      </c>
      <c r="F366">
        <v>5.3</v>
      </c>
      <c r="G366">
        <v>2024</v>
      </c>
    </row>
    <row r="367" spans="1:7" hidden="1" x14ac:dyDescent="0.2">
      <c r="A367" t="s">
        <v>14</v>
      </c>
      <c r="B367" t="s">
        <v>16</v>
      </c>
      <c r="C367">
        <v>4</v>
      </c>
      <c r="D367" t="s">
        <v>131</v>
      </c>
      <c r="E367" t="s">
        <v>139</v>
      </c>
      <c r="F367">
        <v>5</v>
      </c>
      <c r="G367">
        <v>2024</v>
      </c>
    </row>
    <row r="368" spans="1:7" hidden="1" x14ac:dyDescent="0.2">
      <c r="A368" t="s">
        <v>14</v>
      </c>
      <c r="B368" t="s">
        <v>16</v>
      </c>
      <c r="C368">
        <v>4</v>
      </c>
      <c r="D368" t="s">
        <v>130</v>
      </c>
      <c r="E368" t="s">
        <v>287</v>
      </c>
      <c r="F368">
        <v>7</v>
      </c>
      <c r="G368">
        <v>2024</v>
      </c>
    </row>
    <row r="369" spans="1:7" hidden="1" x14ac:dyDescent="0.2">
      <c r="A369" t="s">
        <v>14</v>
      </c>
      <c r="B369" t="s">
        <v>16</v>
      </c>
      <c r="C369">
        <v>4</v>
      </c>
      <c r="D369" t="s">
        <v>294</v>
      </c>
      <c r="E369" t="s">
        <v>134</v>
      </c>
      <c r="F369">
        <v>1.5</v>
      </c>
      <c r="G369">
        <v>2024</v>
      </c>
    </row>
    <row r="370" spans="1:7" hidden="1" x14ac:dyDescent="0.2">
      <c r="A370" t="s">
        <v>14</v>
      </c>
      <c r="B370" t="s">
        <v>16</v>
      </c>
      <c r="C370">
        <v>4</v>
      </c>
      <c r="D370" t="s">
        <v>127</v>
      </c>
      <c r="E370" t="s">
        <v>135</v>
      </c>
      <c r="F370">
        <v>12</v>
      </c>
      <c r="G370">
        <v>2024</v>
      </c>
    </row>
    <row r="371" spans="1:7" hidden="1" x14ac:dyDescent="0.2">
      <c r="A371" t="s">
        <v>14</v>
      </c>
      <c r="B371" t="s">
        <v>16</v>
      </c>
      <c r="C371">
        <v>4</v>
      </c>
      <c r="D371" t="s">
        <v>127</v>
      </c>
      <c r="E371" t="s">
        <v>272</v>
      </c>
      <c r="F371">
        <v>5.3</v>
      </c>
      <c r="G371">
        <v>2024</v>
      </c>
    </row>
    <row r="372" spans="1:7" hidden="1" x14ac:dyDescent="0.2">
      <c r="A372" t="s">
        <v>31</v>
      </c>
      <c r="B372" t="s">
        <v>33</v>
      </c>
      <c r="C372">
        <v>4</v>
      </c>
      <c r="D372" t="s">
        <v>125</v>
      </c>
      <c r="E372" t="s">
        <v>202</v>
      </c>
      <c r="F372">
        <v>23.64</v>
      </c>
      <c r="G372">
        <v>2024</v>
      </c>
    </row>
    <row r="373" spans="1:7" hidden="1" x14ac:dyDescent="0.2">
      <c r="A373" t="s">
        <v>31</v>
      </c>
      <c r="B373" t="s">
        <v>33</v>
      </c>
      <c r="C373">
        <v>4</v>
      </c>
      <c r="D373" t="s">
        <v>128</v>
      </c>
      <c r="E373" t="s">
        <v>201</v>
      </c>
      <c r="F373">
        <v>5.5</v>
      </c>
      <c r="G373">
        <v>2024</v>
      </c>
    </row>
    <row r="374" spans="1:7" hidden="1" x14ac:dyDescent="0.2">
      <c r="A374" t="s">
        <v>31</v>
      </c>
      <c r="B374" t="s">
        <v>33</v>
      </c>
      <c r="C374">
        <v>4</v>
      </c>
      <c r="D374" t="s">
        <v>128</v>
      </c>
      <c r="E374" t="s">
        <v>199</v>
      </c>
      <c r="F374">
        <v>16</v>
      </c>
      <c r="G374">
        <v>2024</v>
      </c>
    </row>
    <row r="375" spans="1:7" hidden="1" x14ac:dyDescent="0.2">
      <c r="A375" t="s">
        <v>31</v>
      </c>
      <c r="B375" t="s">
        <v>33</v>
      </c>
      <c r="C375">
        <v>4</v>
      </c>
      <c r="D375" t="s">
        <v>128</v>
      </c>
      <c r="E375" t="s">
        <v>292</v>
      </c>
      <c r="F375">
        <v>10.3</v>
      </c>
      <c r="G375">
        <v>2024</v>
      </c>
    </row>
    <row r="376" spans="1:7" hidden="1" x14ac:dyDescent="0.2">
      <c r="A376" t="s">
        <v>31</v>
      </c>
      <c r="B376" t="s">
        <v>33</v>
      </c>
      <c r="C376">
        <v>4</v>
      </c>
      <c r="D376" t="s">
        <v>127</v>
      </c>
      <c r="E376" t="s">
        <v>291</v>
      </c>
      <c r="F376">
        <v>18.8</v>
      </c>
      <c r="G376">
        <v>2024</v>
      </c>
    </row>
    <row r="377" spans="1:7" hidden="1" x14ac:dyDescent="0.2">
      <c r="A377" t="s">
        <v>31</v>
      </c>
      <c r="B377" t="s">
        <v>33</v>
      </c>
      <c r="C377">
        <v>4</v>
      </c>
      <c r="D377" t="s">
        <v>127</v>
      </c>
      <c r="E377" t="s">
        <v>197</v>
      </c>
      <c r="F377">
        <v>21.4</v>
      </c>
      <c r="G377">
        <v>2024</v>
      </c>
    </row>
    <row r="378" spans="1:7" hidden="1" x14ac:dyDescent="0.2">
      <c r="A378" t="s">
        <v>31</v>
      </c>
      <c r="B378" t="s">
        <v>33</v>
      </c>
      <c r="C378">
        <v>4</v>
      </c>
      <c r="D378" t="s">
        <v>129</v>
      </c>
      <c r="E378" t="s">
        <v>290</v>
      </c>
      <c r="F378">
        <v>3.7</v>
      </c>
      <c r="G378">
        <v>2024</v>
      </c>
    </row>
    <row r="379" spans="1:7" hidden="1" x14ac:dyDescent="0.2">
      <c r="A379" t="s">
        <v>31</v>
      </c>
      <c r="B379" t="s">
        <v>33</v>
      </c>
      <c r="C379">
        <v>4</v>
      </c>
      <c r="D379" t="s">
        <v>131</v>
      </c>
      <c r="E379" t="s">
        <v>195</v>
      </c>
      <c r="F379">
        <v>6</v>
      </c>
      <c r="G379">
        <v>2024</v>
      </c>
    </row>
    <row r="380" spans="1:7" hidden="1" x14ac:dyDescent="0.2">
      <c r="A380" t="s">
        <v>31</v>
      </c>
      <c r="B380" t="s">
        <v>33</v>
      </c>
      <c r="C380">
        <v>4</v>
      </c>
      <c r="D380" t="s">
        <v>130</v>
      </c>
      <c r="E380" t="s">
        <v>289</v>
      </c>
      <c r="F380">
        <v>3</v>
      </c>
      <c r="G380">
        <v>2024</v>
      </c>
    </row>
    <row r="381" spans="1:7" hidden="1" x14ac:dyDescent="0.2">
      <c r="A381" t="s">
        <v>31</v>
      </c>
      <c r="B381" t="s">
        <v>33</v>
      </c>
      <c r="C381">
        <v>4</v>
      </c>
      <c r="D381" t="s">
        <v>293</v>
      </c>
      <c r="E381" t="s">
        <v>198</v>
      </c>
      <c r="F381">
        <v>18.3</v>
      </c>
      <c r="G381">
        <v>2024</v>
      </c>
    </row>
    <row r="382" spans="1:7" hidden="1" x14ac:dyDescent="0.2">
      <c r="A382" t="s">
        <v>18</v>
      </c>
      <c r="B382" t="s">
        <v>20</v>
      </c>
      <c r="C382">
        <v>4</v>
      </c>
      <c r="D382" t="s">
        <v>125</v>
      </c>
      <c r="E382" t="s">
        <v>250</v>
      </c>
      <c r="F382">
        <v>24.02</v>
      </c>
      <c r="G382">
        <v>2024</v>
      </c>
    </row>
    <row r="383" spans="1:7" hidden="1" x14ac:dyDescent="0.2">
      <c r="A383" t="s">
        <v>18</v>
      </c>
      <c r="B383" t="s">
        <v>20</v>
      </c>
      <c r="C383">
        <v>4</v>
      </c>
      <c r="D383" t="s">
        <v>128</v>
      </c>
      <c r="E383" t="s">
        <v>295</v>
      </c>
      <c r="F383">
        <v>14.7</v>
      </c>
      <c r="G383">
        <v>2024</v>
      </c>
    </row>
    <row r="384" spans="1:7" hidden="1" x14ac:dyDescent="0.2">
      <c r="A384" t="s">
        <v>18</v>
      </c>
      <c r="B384" t="s">
        <v>20</v>
      </c>
      <c r="C384">
        <v>4</v>
      </c>
      <c r="D384" t="s">
        <v>128</v>
      </c>
      <c r="E384" t="s">
        <v>283</v>
      </c>
      <c r="F384">
        <v>10.199999999999999</v>
      </c>
      <c r="G384">
        <v>2024</v>
      </c>
    </row>
    <row r="385" spans="1:7" hidden="1" x14ac:dyDescent="0.2">
      <c r="A385" t="s">
        <v>18</v>
      </c>
      <c r="B385" t="s">
        <v>20</v>
      </c>
      <c r="C385">
        <v>4</v>
      </c>
      <c r="D385" t="s">
        <v>128</v>
      </c>
      <c r="E385" t="s">
        <v>206</v>
      </c>
      <c r="F385">
        <v>9.9</v>
      </c>
      <c r="G385">
        <v>2024</v>
      </c>
    </row>
    <row r="386" spans="1:7" hidden="1" x14ac:dyDescent="0.2">
      <c r="A386" t="s">
        <v>18</v>
      </c>
      <c r="B386" t="s">
        <v>20</v>
      </c>
      <c r="C386">
        <v>4</v>
      </c>
      <c r="D386" t="s">
        <v>127</v>
      </c>
      <c r="E386" t="s">
        <v>207</v>
      </c>
      <c r="F386">
        <v>19.8</v>
      </c>
      <c r="G386">
        <v>2024</v>
      </c>
    </row>
    <row r="387" spans="1:7" hidden="1" x14ac:dyDescent="0.2">
      <c r="A387" t="s">
        <v>18</v>
      </c>
      <c r="B387" t="s">
        <v>20</v>
      </c>
      <c r="C387">
        <v>4</v>
      </c>
      <c r="D387" t="s">
        <v>127</v>
      </c>
      <c r="E387" t="s">
        <v>282</v>
      </c>
      <c r="F387">
        <v>15.8</v>
      </c>
      <c r="G387">
        <v>2024</v>
      </c>
    </row>
    <row r="388" spans="1:7" hidden="1" x14ac:dyDescent="0.2">
      <c r="A388" t="s">
        <v>18</v>
      </c>
      <c r="B388" t="s">
        <v>20</v>
      </c>
      <c r="C388">
        <v>4</v>
      </c>
      <c r="D388" t="s">
        <v>129</v>
      </c>
      <c r="E388" t="s">
        <v>209</v>
      </c>
      <c r="F388">
        <v>7.2</v>
      </c>
      <c r="G388">
        <v>2024</v>
      </c>
    </row>
    <row r="389" spans="1:7" hidden="1" x14ac:dyDescent="0.2">
      <c r="A389" t="s">
        <v>18</v>
      </c>
      <c r="B389" t="s">
        <v>20</v>
      </c>
      <c r="C389">
        <v>4</v>
      </c>
      <c r="D389" t="s">
        <v>131</v>
      </c>
      <c r="E389" t="s">
        <v>210</v>
      </c>
      <c r="F389">
        <v>11</v>
      </c>
      <c r="G389">
        <v>2024</v>
      </c>
    </row>
    <row r="390" spans="1:7" hidden="1" x14ac:dyDescent="0.2">
      <c r="A390" t="s">
        <v>18</v>
      </c>
      <c r="B390" t="s">
        <v>20</v>
      </c>
      <c r="C390">
        <v>4</v>
      </c>
      <c r="D390" t="s">
        <v>130</v>
      </c>
      <c r="E390" t="s">
        <v>211</v>
      </c>
      <c r="F390">
        <v>3</v>
      </c>
      <c r="G390">
        <v>2024</v>
      </c>
    </row>
    <row r="391" spans="1:7" hidden="1" x14ac:dyDescent="0.2">
      <c r="A391" t="s">
        <v>18</v>
      </c>
      <c r="B391" t="s">
        <v>20</v>
      </c>
      <c r="C391">
        <v>4</v>
      </c>
      <c r="D391" t="s">
        <v>293</v>
      </c>
      <c r="E391" t="s">
        <v>208</v>
      </c>
      <c r="F391">
        <v>5.3</v>
      </c>
      <c r="G391">
        <v>2024</v>
      </c>
    </row>
    <row r="392" spans="1:7" hidden="1" x14ac:dyDescent="0.2">
      <c r="A392" t="s">
        <v>46</v>
      </c>
      <c r="B392" t="s">
        <v>47</v>
      </c>
      <c r="C392">
        <v>4</v>
      </c>
      <c r="D392" t="s">
        <v>125</v>
      </c>
      <c r="E392" t="s">
        <v>176</v>
      </c>
      <c r="F392">
        <v>14.62</v>
      </c>
      <c r="G392">
        <v>2024</v>
      </c>
    </row>
    <row r="393" spans="1:7" hidden="1" x14ac:dyDescent="0.2">
      <c r="A393" t="s">
        <v>46</v>
      </c>
      <c r="B393" t="s">
        <v>47</v>
      </c>
      <c r="C393">
        <v>4</v>
      </c>
      <c r="D393" t="s">
        <v>128</v>
      </c>
      <c r="E393" t="s">
        <v>177</v>
      </c>
      <c r="F393">
        <v>20.100000000000001</v>
      </c>
      <c r="G393">
        <v>2024</v>
      </c>
    </row>
    <row r="394" spans="1:7" hidden="1" x14ac:dyDescent="0.2">
      <c r="A394" t="s">
        <v>46</v>
      </c>
      <c r="B394" t="s">
        <v>47</v>
      </c>
      <c r="C394">
        <v>4</v>
      </c>
      <c r="D394" t="s">
        <v>128</v>
      </c>
      <c r="E394" t="s">
        <v>178</v>
      </c>
      <c r="F394">
        <v>5.6</v>
      </c>
      <c r="G394">
        <v>2024</v>
      </c>
    </row>
    <row r="395" spans="1:7" hidden="1" x14ac:dyDescent="0.2">
      <c r="A395" t="s">
        <v>46</v>
      </c>
      <c r="B395" t="s">
        <v>47</v>
      </c>
      <c r="C395">
        <v>4</v>
      </c>
      <c r="D395" t="s">
        <v>128</v>
      </c>
      <c r="E395" t="s">
        <v>262</v>
      </c>
      <c r="F395">
        <v>11.7</v>
      </c>
      <c r="G395">
        <v>2024</v>
      </c>
    </row>
    <row r="396" spans="1:7" hidden="1" x14ac:dyDescent="0.2">
      <c r="A396" t="s">
        <v>46</v>
      </c>
      <c r="B396" t="s">
        <v>47</v>
      </c>
      <c r="C396">
        <v>4</v>
      </c>
      <c r="D396" t="s">
        <v>127</v>
      </c>
      <c r="E396" t="s">
        <v>181</v>
      </c>
      <c r="F396">
        <v>14.5</v>
      </c>
      <c r="G396">
        <v>2024</v>
      </c>
    </row>
    <row r="397" spans="1:7" hidden="1" x14ac:dyDescent="0.2">
      <c r="A397" t="s">
        <v>46</v>
      </c>
      <c r="B397" t="s">
        <v>47</v>
      </c>
      <c r="C397">
        <v>4</v>
      </c>
      <c r="D397" t="s">
        <v>127</v>
      </c>
      <c r="E397" t="s">
        <v>180</v>
      </c>
      <c r="F397">
        <v>9.8000000000000007</v>
      </c>
      <c r="G397">
        <v>2024</v>
      </c>
    </row>
    <row r="398" spans="1:7" hidden="1" x14ac:dyDescent="0.2">
      <c r="A398" t="s">
        <v>46</v>
      </c>
      <c r="B398" t="s">
        <v>47</v>
      </c>
      <c r="C398">
        <v>4</v>
      </c>
      <c r="D398" t="s">
        <v>129</v>
      </c>
      <c r="E398" t="s">
        <v>182</v>
      </c>
      <c r="F398">
        <v>4.0999999999999996</v>
      </c>
      <c r="G398">
        <v>2024</v>
      </c>
    </row>
    <row r="399" spans="1:7" hidden="1" x14ac:dyDescent="0.2">
      <c r="A399" t="s">
        <v>46</v>
      </c>
      <c r="B399" t="s">
        <v>47</v>
      </c>
      <c r="C399">
        <v>4</v>
      </c>
      <c r="D399" t="s">
        <v>131</v>
      </c>
      <c r="E399" t="s">
        <v>183</v>
      </c>
      <c r="F399">
        <v>2</v>
      </c>
      <c r="G399">
        <v>2024</v>
      </c>
    </row>
    <row r="400" spans="1:7" hidden="1" x14ac:dyDescent="0.2">
      <c r="A400" t="s">
        <v>46</v>
      </c>
      <c r="B400" t="s">
        <v>47</v>
      </c>
      <c r="C400">
        <v>4</v>
      </c>
      <c r="D400" t="s">
        <v>130</v>
      </c>
      <c r="E400" t="s">
        <v>184</v>
      </c>
      <c r="F400">
        <v>1</v>
      </c>
      <c r="G400">
        <v>2024</v>
      </c>
    </row>
    <row r="401" spans="1:7" hidden="1" x14ac:dyDescent="0.2">
      <c r="A401" t="s">
        <v>46</v>
      </c>
      <c r="B401" t="s">
        <v>47</v>
      </c>
      <c r="C401">
        <v>4</v>
      </c>
      <c r="D401" t="s">
        <v>293</v>
      </c>
      <c r="E401" t="s">
        <v>296</v>
      </c>
      <c r="F401">
        <v>1.9</v>
      </c>
      <c r="G401">
        <v>2024</v>
      </c>
    </row>
    <row r="402" spans="1:7" hidden="1" x14ac:dyDescent="0.2">
      <c r="A402" t="s">
        <v>42</v>
      </c>
      <c r="B402" t="s">
        <v>17</v>
      </c>
      <c r="C402">
        <v>4</v>
      </c>
      <c r="D402" t="s">
        <v>125</v>
      </c>
      <c r="E402" t="s">
        <v>150</v>
      </c>
      <c r="F402">
        <v>13</v>
      </c>
      <c r="G402">
        <v>2024</v>
      </c>
    </row>
    <row r="403" spans="1:7" hidden="1" x14ac:dyDescent="0.2">
      <c r="A403" t="s">
        <v>42</v>
      </c>
      <c r="B403" t="s">
        <v>17</v>
      </c>
      <c r="C403">
        <v>4</v>
      </c>
      <c r="D403" t="s">
        <v>128</v>
      </c>
      <c r="E403" t="s">
        <v>152</v>
      </c>
      <c r="F403">
        <v>19.399999999999999</v>
      </c>
      <c r="G403">
        <v>2024</v>
      </c>
    </row>
    <row r="404" spans="1:7" hidden="1" x14ac:dyDescent="0.2">
      <c r="A404" t="s">
        <v>42</v>
      </c>
      <c r="B404" t="s">
        <v>17</v>
      </c>
      <c r="C404">
        <v>4</v>
      </c>
      <c r="D404" t="s">
        <v>128</v>
      </c>
      <c r="E404" t="s">
        <v>153</v>
      </c>
      <c r="F404">
        <v>8.1999999999999993</v>
      </c>
      <c r="G404">
        <v>2024</v>
      </c>
    </row>
    <row r="405" spans="1:7" hidden="1" x14ac:dyDescent="0.2">
      <c r="A405" t="s">
        <v>42</v>
      </c>
      <c r="B405" t="s">
        <v>17</v>
      </c>
      <c r="C405">
        <v>4</v>
      </c>
      <c r="D405" t="s">
        <v>128</v>
      </c>
      <c r="E405" t="s">
        <v>298</v>
      </c>
      <c r="F405">
        <v>1.8</v>
      </c>
      <c r="G405">
        <v>2024</v>
      </c>
    </row>
    <row r="406" spans="1:7" hidden="1" x14ac:dyDescent="0.2">
      <c r="A406" t="s">
        <v>42</v>
      </c>
      <c r="B406" t="s">
        <v>17</v>
      </c>
      <c r="C406">
        <v>4</v>
      </c>
      <c r="D406" t="s">
        <v>127</v>
      </c>
      <c r="E406" t="s">
        <v>154</v>
      </c>
      <c r="F406">
        <v>34.4</v>
      </c>
      <c r="G406">
        <v>2024</v>
      </c>
    </row>
    <row r="407" spans="1:7" hidden="1" x14ac:dyDescent="0.2">
      <c r="A407" t="s">
        <v>42</v>
      </c>
      <c r="B407" t="s">
        <v>17</v>
      </c>
      <c r="C407">
        <v>4</v>
      </c>
      <c r="D407" t="s">
        <v>127</v>
      </c>
      <c r="E407" t="s">
        <v>275</v>
      </c>
      <c r="F407">
        <v>-0.9</v>
      </c>
      <c r="G407">
        <v>2024</v>
      </c>
    </row>
    <row r="408" spans="1:7" hidden="1" x14ac:dyDescent="0.2">
      <c r="A408" t="s">
        <v>42</v>
      </c>
      <c r="B408" t="s">
        <v>17</v>
      </c>
      <c r="C408">
        <v>4</v>
      </c>
      <c r="D408" t="s">
        <v>129</v>
      </c>
      <c r="E408" t="s">
        <v>299</v>
      </c>
      <c r="F408">
        <v>8.4</v>
      </c>
      <c r="G408">
        <v>2024</v>
      </c>
    </row>
    <row r="409" spans="1:7" hidden="1" x14ac:dyDescent="0.2">
      <c r="A409" t="s">
        <v>42</v>
      </c>
      <c r="B409" t="s">
        <v>17</v>
      </c>
      <c r="C409">
        <v>4</v>
      </c>
      <c r="D409" t="s">
        <v>131</v>
      </c>
      <c r="E409" t="s">
        <v>143</v>
      </c>
      <c r="F409">
        <v>20</v>
      </c>
      <c r="G409">
        <v>2024</v>
      </c>
    </row>
    <row r="410" spans="1:7" hidden="1" x14ac:dyDescent="0.2">
      <c r="A410" t="s">
        <v>42</v>
      </c>
      <c r="B410" t="s">
        <v>17</v>
      </c>
      <c r="C410">
        <v>4</v>
      </c>
      <c r="D410" t="s">
        <v>130</v>
      </c>
      <c r="E410" t="s">
        <v>157</v>
      </c>
      <c r="F410">
        <v>-5</v>
      </c>
      <c r="G410">
        <v>2024</v>
      </c>
    </row>
    <row r="411" spans="1:7" hidden="1" x14ac:dyDescent="0.2">
      <c r="A411" t="s">
        <v>42</v>
      </c>
      <c r="B411" t="s">
        <v>17</v>
      </c>
      <c r="C411">
        <v>4</v>
      </c>
      <c r="D411" t="s">
        <v>297</v>
      </c>
      <c r="E411" t="s">
        <v>156</v>
      </c>
      <c r="F411">
        <v>7.3</v>
      </c>
      <c r="G411">
        <v>2024</v>
      </c>
    </row>
    <row r="412" spans="1:7" hidden="1" x14ac:dyDescent="0.2">
      <c r="A412" t="s">
        <v>74</v>
      </c>
      <c r="B412" t="s">
        <v>29</v>
      </c>
      <c r="C412">
        <v>4</v>
      </c>
      <c r="D412" t="s">
        <v>125</v>
      </c>
      <c r="E412" t="s">
        <v>168</v>
      </c>
      <c r="F412">
        <v>16.32</v>
      </c>
      <c r="G412">
        <v>2024</v>
      </c>
    </row>
    <row r="413" spans="1:7" hidden="1" x14ac:dyDescent="0.2">
      <c r="A413" t="s">
        <v>74</v>
      </c>
      <c r="B413" t="s">
        <v>29</v>
      </c>
      <c r="C413">
        <v>4</v>
      </c>
      <c r="D413" t="s">
        <v>128</v>
      </c>
      <c r="E413" t="s">
        <v>171</v>
      </c>
      <c r="F413">
        <v>17.5</v>
      </c>
      <c r="G413">
        <v>2024</v>
      </c>
    </row>
    <row r="414" spans="1:7" hidden="1" x14ac:dyDescent="0.2">
      <c r="A414" t="s">
        <v>74</v>
      </c>
      <c r="B414" t="s">
        <v>29</v>
      </c>
      <c r="C414">
        <v>4</v>
      </c>
      <c r="D414" t="s">
        <v>128</v>
      </c>
      <c r="E414" t="s">
        <v>172</v>
      </c>
      <c r="F414">
        <v>9.6999999999999993</v>
      </c>
      <c r="G414">
        <v>2024</v>
      </c>
    </row>
    <row r="415" spans="1:7" hidden="1" x14ac:dyDescent="0.2">
      <c r="A415" t="s">
        <v>74</v>
      </c>
      <c r="B415" t="s">
        <v>29</v>
      </c>
      <c r="C415">
        <v>4</v>
      </c>
      <c r="D415" t="s">
        <v>128</v>
      </c>
      <c r="E415" t="s">
        <v>300</v>
      </c>
      <c r="F415">
        <v>3.9</v>
      </c>
      <c r="G415">
        <v>2024</v>
      </c>
    </row>
    <row r="416" spans="1:7" hidden="1" x14ac:dyDescent="0.2">
      <c r="A416" t="s">
        <v>74</v>
      </c>
      <c r="B416" t="s">
        <v>29</v>
      </c>
      <c r="C416">
        <v>4</v>
      </c>
      <c r="D416" t="s">
        <v>127</v>
      </c>
      <c r="E416" t="s">
        <v>244</v>
      </c>
      <c r="F416">
        <v>23</v>
      </c>
      <c r="G416">
        <v>2024</v>
      </c>
    </row>
    <row r="417" spans="1:7" hidden="1" x14ac:dyDescent="0.2">
      <c r="A417" t="s">
        <v>74</v>
      </c>
      <c r="B417" t="s">
        <v>29</v>
      </c>
      <c r="C417">
        <v>4</v>
      </c>
      <c r="D417" t="s">
        <v>127</v>
      </c>
      <c r="E417" t="s">
        <v>174</v>
      </c>
      <c r="F417">
        <v>9.4</v>
      </c>
      <c r="G417">
        <v>2024</v>
      </c>
    </row>
    <row r="418" spans="1:7" hidden="1" x14ac:dyDescent="0.2">
      <c r="A418" t="s">
        <v>74</v>
      </c>
      <c r="B418" t="s">
        <v>29</v>
      </c>
      <c r="C418">
        <v>4</v>
      </c>
      <c r="D418" t="s">
        <v>129</v>
      </c>
      <c r="E418" t="s">
        <v>245</v>
      </c>
      <c r="F418">
        <v>4.9000000000000004</v>
      </c>
      <c r="G418">
        <v>2024</v>
      </c>
    </row>
    <row r="419" spans="1:7" hidden="1" x14ac:dyDescent="0.2">
      <c r="A419" t="s">
        <v>74</v>
      </c>
      <c r="B419" t="s">
        <v>29</v>
      </c>
      <c r="C419">
        <v>4</v>
      </c>
      <c r="D419" t="s">
        <v>131</v>
      </c>
      <c r="E419" t="s">
        <v>169</v>
      </c>
      <c r="F419">
        <v>13</v>
      </c>
      <c r="G419">
        <v>2024</v>
      </c>
    </row>
    <row r="420" spans="1:7" hidden="1" x14ac:dyDescent="0.2">
      <c r="A420" t="s">
        <v>74</v>
      </c>
      <c r="B420" t="s">
        <v>29</v>
      </c>
      <c r="C420">
        <v>4</v>
      </c>
      <c r="D420" t="s">
        <v>130</v>
      </c>
      <c r="E420" t="s">
        <v>408</v>
      </c>
      <c r="F420">
        <v>9</v>
      </c>
      <c r="G420">
        <v>2024</v>
      </c>
    </row>
    <row r="421" spans="1:7" hidden="1" x14ac:dyDescent="0.2">
      <c r="A421" t="s">
        <v>74</v>
      </c>
      <c r="B421" t="s">
        <v>29</v>
      </c>
      <c r="C421">
        <v>4</v>
      </c>
      <c r="D421" t="s">
        <v>294</v>
      </c>
      <c r="E421" t="s">
        <v>280</v>
      </c>
      <c r="F421">
        <v>1.5</v>
      </c>
      <c r="G421">
        <v>2024</v>
      </c>
    </row>
    <row r="422" spans="1:7" hidden="1" x14ac:dyDescent="0.2">
      <c r="A422" t="s">
        <v>73</v>
      </c>
      <c r="B422" t="s">
        <v>21</v>
      </c>
      <c r="C422">
        <v>4</v>
      </c>
      <c r="D422" t="s">
        <v>125</v>
      </c>
      <c r="E422" t="s">
        <v>141</v>
      </c>
      <c r="F422">
        <v>16.739999999999998</v>
      </c>
      <c r="G422">
        <v>2024</v>
      </c>
    </row>
    <row r="423" spans="1:7" hidden="1" x14ac:dyDescent="0.2">
      <c r="A423" t="s">
        <v>73</v>
      </c>
      <c r="B423" t="s">
        <v>21</v>
      </c>
      <c r="C423">
        <v>4</v>
      </c>
      <c r="D423" t="s">
        <v>128</v>
      </c>
      <c r="E423" t="s">
        <v>277</v>
      </c>
      <c r="F423">
        <v>18.899999999999999</v>
      </c>
      <c r="G423">
        <v>2024</v>
      </c>
    </row>
    <row r="424" spans="1:7" hidden="1" x14ac:dyDescent="0.2">
      <c r="A424" t="s">
        <v>73</v>
      </c>
      <c r="B424" t="s">
        <v>21</v>
      </c>
      <c r="C424">
        <v>4</v>
      </c>
      <c r="D424" t="s">
        <v>128</v>
      </c>
      <c r="E424" t="s">
        <v>301</v>
      </c>
      <c r="F424">
        <v>17.8</v>
      </c>
      <c r="G424">
        <v>2024</v>
      </c>
    </row>
    <row r="425" spans="1:7" hidden="1" x14ac:dyDescent="0.2">
      <c r="A425" t="s">
        <v>73</v>
      </c>
      <c r="B425" t="s">
        <v>21</v>
      </c>
      <c r="C425">
        <v>4</v>
      </c>
      <c r="D425" t="s">
        <v>128</v>
      </c>
      <c r="E425" t="s">
        <v>146</v>
      </c>
      <c r="F425">
        <v>8.6999999999999993</v>
      </c>
      <c r="G425">
        <v>2024</v>
      </c>
    </row>
    <row r="426" spans="1:7" hidden="1" x14ac:dyDescent="0.2">
      <c r="A426" t="s">
        <v>73</v>
      </c>
      <c r="B426" t="s">
        <v>21</v>
      </c>
      <c r="C426">
        <v>4</v>
      </c>
      <c r="D426" t="s">
        <v>127</v>
      </c>
      <c r="E426" t="s">
        <v>149</v>
      </c>
      <c r="F426">
        <v>17.8</v>
      </c>
      <c r="G426">
        <v>2024</v>
      </c>
    </row>
    <row r="427" spans="1:7" hidden="1" x14ac:dyDescent="0.2">
      <c r="A427" t="s">
        <v>73</v>
      </c>
      <c r="B427" t="s">
        <v>21</v>
      </c>
      <c r="C427">
        <v>4</v>
      </c>
      <c r="D427" t="s">
        <v>127</v>
      </c>
      <c r="E427" t="s">
        <v>148</v>
      </c>
      <c r="F427">
        <v>4.4000000000000004</v>
      </c>
      <c r="G427">
        <v>2024</v>
      </c>
    </row>
    <row r="428" spans="1:7" hidden="1" x14ac:dyDescent="0.2">
      <c r="A428" t="s">
        <v>73</v>
      </c>
      <c r="B428" t="s">
        <v>21</v>
      </c>
      <c r="C428">
        <v>4</v>
      </c>
      <c r="D428" t="s">
        <v>129</v>
      </c>
      <c r="E428" t="s">
        <v>191</v>
      </c>
      <c r="F428">
        <v>0</v>
      </c>
      <c r="G428">
        <v>2024</v>
      </c>
    </row>
    <row r="429" spans="1:7" hidden="1" x14ac:dyDescent="0.2">
      <c r="A429" t="s">
        <v>73</v>
      </c>
      <c r="B429" t="s">
        <v>21</v>
      </c>
      <c r="C429">
        <v>4</v>
      </c>
      <c r="D429" t="s">
        <v>131</v>
      </c>
      <c r="E429" t="s">
        <v>242</v>
      </c>
      <c r="F429">
        <v>8</v>
      </c>
      <c r="G429">
        <v>2024</v>
      </c>
    </row>
    <row r="430" spans="1:7" hidden="1" x14ac:dyDescent="0.2">
      <c r="A430" t="s">
        <v>73</v>
      </c>
      <c r="B430" t="s">
        <v>21</v>
      </c>
      <c r="C430">
        <v>4</v>
      </c>
      <c r="D430" t="s">
        <v>130</v>
      </c>
      <c r="E430" t="s">
        <v>302</v>
      </c>
      <c r="F430">
        <v>13</v>
      </c>
      <c r="G430">
        <v>2024</v>
      </c>
    </row>
    <row r="431" spans="1:7" hidden="1" x14ac:dyDescent="0.2">
      <c r="A431" t="s">
        <v>73</v>
      </c>
      <c r="B431" t="s">
        <v>21</v>
      </c>
      <c r="C431">
        <v>4</v>
      </c>
      <c r="D431" t="s">
        <v>294</v>
      </c>
      <c r="E431" t="s">
        <v>147</v>
      </c>
      <c r="F431">
        <v>0</v>
      </c>
      <c r="G431">
        <v>2024</v>
      </c>
    </row>
    <row r="432" spans="1:7" hidden="1" x14ac:dyDescent="0.2">
      <c r="A432" t="s">
        <v>76</v>
      </c>
      <c r="B432" t="s">
        <v>32</v>
      </c>
      <c r="C432">
        <v>4</v>
      </c>
      <c r="D432" t="s">
        <v>125</v>
      </c>
      <c r="E432" t="s">
        <v>258</v>
      </c>
      <c r="F432">
        <v>9.98</v>
      </c>
      <c r="G432">
        <v>2024</v>
      </c>
    </row>
    <row r="433" spans="1:7" hidden="1" x14ac:dyDescent="0.2">
      <c r="A433" t="s">
        <v>76</v>
      </c>
      <c r="B433" t="s">
        <v>32</v>
      </c>
      <c r="C433">
        <v>4</v>
      </c>
      <c r="D433" t="s">
        <v>128</v>
      </c>
      <c r="E433" t="s">
        <v>231</v>
      </c>
      <c r="F433">
        <v>16</v>
      </c>
      <c r="G433">
        <v>2024</v>
      </c>
    </row>
    <row r="434" spans="1:7" hidden="1" x14ac:dyDescent="0.2">
      <c r="A434" t="s">
        <v>76</v>
      </c>
      <c r="B434" t="s">
        <v>32</v>
      </c>
      <c r="C434">
        <v>4</v>
      </c>
      <c r="D434" t="s">
        <v>128</v>
      </c>
      <c r="E434" t="s">
        <v>232</v>
      </c>
      <c r="F434">
        <v>27.1</v>
      </c>
      <c r="G434">
        <v>2024</v>
      </c>
    </row>
    <row r="435" spans="1:7" hidden="1" x14ac:dyDescent="0.2">
      <c r="A435" t="s">
        <v>76</v>
      </c>
      <c r="B435" t="s">
        <v>32</v>
      </c>
      <c r="C435">
        <v>4</v>
      </c>
      <c r="D435" t="s">
        <v>128</v>
      </c>
      <c r="E435" t="s">
        <v>303</v>
      </c>
      <c r="F435">
        <v>7.4</v>
      </c>
      <c r="G435">
        <v>2024</v>
      </c>
    </row>
    <row r="436" spans="1:7" hidden="1" x14ac:dyDescent="0.2">
      <c r="A436" t="s">
        <v>76</v>
      </c>
      <c r="B436" t="s">
        <v>32</v>
      </c>
      <c r="C436">
        <v>4</v>
      </c>
      <c r="D436" t="s">
        <v>127</v>
      </c>
      <c r="E436" t="s">
        <v>235</v>
      </c>
      <c r="F436">
        <v>15.9</v>
      </c>
      <c r="G436">
        <v>2024</v>
      </c>
    </row>
    <row r="437" spans="1:7" hidden="1" x14ac:dyDescent="0.2">
      <c r="A437" t="s">
        <v>76</v>
      </c>
      <c r="B437" t="s">
        <v>32</v>
      </c>
      <c r="C437">
        <v>4</v>
      </c>
      <c r="D437" t="s">
        <v>127</v>
      </c>
      <c r="E437" t="s">
        <v>234</v>
      </c>
      <c r="F437">
        <v>6.2</v>
      </c>
      <c r="G437">
        <v>2024</v>
      </c>
    </row>
    <row r="438" spans="1:7" hidden="1" x14ac:dyDescent="0.2">
      <c r="A438" t="s">
        <v>76</v>
      </c>
      <c r="B438" t="s">
        <v>32</v>
      </c>
      <c r="C438">
        <v>4</v>
      </c>
      <c r="D438" t="s">
        <v>129</v>
      </c>
      <c r="E438" t="s">
        <v>236</v>
      </c>
      <c r="F438">
        <v>12.5</v>
      </c>
      <c r="G438">
        <v>2024</v>
      </c>
    </row>
    <row r="439" spans="1:7" hidden="1" x14ac:dyDescent="0.2">
      <c r="A439" t="s">
        <v>76</v>
      </c>
      <c r="B439" t="s">
        <v>32</v>
      </c>
      <c r="C439">
        <v>4</v>
      </c>
      <c r="D439" t="s">
        <v>131</v>
      </c>
      <c r="E439" t="s">
        <v>237</v>
      </c>
      <c r="F439">
        <v>13</v>
      </c>
      <c r="G439">
        <v>2024</v>
      </c>
    </row>
    <row r="440" spans="1:7" hidden="1" x14ac:dyDescent="0.2">
      <c r="A440" t="s">
        <v>76</v>
      </c>
      <c r="B440" t="s">
        <v>32</v>
      </c>
      <c r="C440">
        <v>4</v>
      </c>
      <c r="D440" t="s">
        <v>130</v>
      </c>
      <c r="E440" t="s">
        <v>281</v>
      </c>
      <c r="F440">
        <v>7</v>
      </c>
      <c r="G440">
        <v>2024</v>
      </c>
    </row>
    <row r="441" spans="1:7" hidden="1" x14ac:dyDescent="0.2">
      <c r="A441" t="s">
        <v>76</v>
      </c>
      <c r="B441" t="s">
        <v>32</v>
      </c>
      <c r="C441">
        <v>4</v>
      </c>
      <c r="D441" t="s">
        <v>294</v>
      </c>
      <c r="E441" t="s">
        <v>261</v>
      </c>
      <c r="F441">
        <v>5.8</v>
      </c>
      <c r="G441">
        <v>2024</v>
      </c>
    </row>
    <row r="442" spans="1:7" hidden="1" x14ac:dyDescent="0.2">
      <c r="A442" t="s">
        <v>75</v>
      </c>
      <c r="B442" t="s">
        <v>36</v>
      </c>
      <c r="C442">
        <v>4</v>
      </c>
      <c r="D442" t="s">
        <v>125</v>
      </c>
      <c r="E442" t="s">
        <v>247</v>
      </c>
      <c r="F442">
        <v>21.6</v>
      </c>
      <c r="G442">
        <v>2024</v>
      </c>
    </row>
    <row r="443" spans="1:7" hidden="1" x14ac:dyDescent="0.2">
      <c r="A443" t="s">
        <v>75</v>
      </c>
      <c r="B443" t="s">
        <v>36</v>
      </c>
      <c r="C443">
        <v>4</v>
      </c>
      <c r="D443" t="s">
        <v>128</v>
      </c>
      <c r="E443" t="s">
        <v>187</v>
      </c>
      <c r="F443">
        <v>17.78</v>
      </c>
      <c r="G443">
        <v>2024</v>
      </c>
    </row>
    <row r="444" spans="1:7" hidden="1" x14ac:dyDescent="0.2">
      <c r="A444" t="s">
        <v>75</v>
      </c>
      <c r="B444" t="s">
        <v>36</v>
      </c>
      <c r="C444">
        <v>4</v>
      </c>
      <c r="D444" t="s">
        <v>128</v>
      </c>
      <c r="E444" t="s">
        <v>188</v>
      </c>
      <c r="F444">
        <v>9.4</v>
      </c>
      <c r="G444">
        <v>2024</v>
      </c>
    </row>
    <row r="445" spans="1:7" hidden="1" x14ac:dyDescent="0.2">
      <c r="A445" t="s">
        <v>75</v>
      </c>
      <c r="B445" t="s">
        <v>36</v>
      </c>
      <c r="C445">
        <v>4</v>
      </c>
      <c r="D445" t="s">
        <v>128</v>
      </c>
      <c r="E445" t="s">
        <v>186</v>
      </c>
      <c r="F445">
        <v>15.2</v>
      </c>
      <c r="G445">
        <v>2024</v>
      </c>
    </row>
    <row r="446" spans="1:7" hidden="1" x14ac:dyDescent="0.2">
      <c r="A446" t="s">
        <v>75</v>
      </c>
      <c r="B446" t="s">
        <v>36</v>
      </c>
      <c r="C446">
        <v>4</v>
      </c>
      <c r="D446" t="s">
        <v>127</v>
      </c>
      <c r="E446" t="s">
        <v>189</v>
      </c>
      <c r="F446">
        <v>6.5</v>
      </c>
      <c r="G446">
        <v>2024</v>
      </c>
    </row>
    <row r="447" spans="1:7" hidden="1" x14ac:dyDescent="0.2">
      <c r="A447" t="s">
        <v>75</v>
      </c>
      <c r="B447" t="s">
        <v>36</v>
      </c>
      <c r="C447">
        <v>4</v>
      </c>
      <c r="D447" t="s">
        <v>127</v>
      </c>
      <c r="E447" t="s">
        <v>403</v>
      </c>
      <c r="F447">
        <v>7.9</v>
      </c>
      <c r="G447">
        <v>2024</v>
      </c>
    </row>
    <row r="448" spans="1:7" hidden="1" x14ac:dyDescent="0.2">
      <c r="A448" t="s">
        <v>75</v>
      </c>
      <c r="B448" t="s">
        <v>36</v>
      </c>
      <c r="C448">
        <v>4</v>
      </c>
      <c r="D448" t="s">
        <v>129</v>
      </c>
      <c r="E448" t="s">
        <v>249</v>
      </c>
      <c r="F448">
        <v>12.4</v>
      </c>
      <c r="G448">
        <v>2024</v>
      </c>
    </row>
    <row r="449" spans="1:7" hidden="1" x14ac:dyDescent="0.2">
      <c r="A449" t="s">
        <v>75</v>
      </c>
      <c r="B449" t="s">
        <v>36</v>
      </c>
      <c r="C449">
        <v>4</v>
      </c>
      <c r="D449" t="s">
        <v>131</v>
      </c>
      <c r="E449" t="s">
        <v>192</v>
      </c>
      <c r="F449">
        <v>3</v>
      </c>
      <c r="G449">
        <v>2024</v>
      </c>
    </row>
    <row r="450" spans="1:7" hidden="1" x14ac:dyDescent="0.2">
      <c r="A450" t="s">
        <v>75</v>
      </c>
      <c r="B450" t="s">
        <v>36</v>
      </c>
      <c r="C450">
        <v>4</v>
      </c>
      <c r="D450" t="s">
        <v>130</v>
      </c>
      <c r="E450" t="s">
        <v>193</v>
      </c>
      <c r="F450">
        <v>1</v>
      </c>
      <c r="G450">
        <v>2024</v>
      </c>
    </row>
    <row r="451" spans="1:7" hidden="1" x14ac:dyDescent="0.2">
      <c r="A451" t="s">
        <v>75</v>
      </c>
      <c r="B451" t="s">
        <v>36</v>
      </c>
      <c r="C451">
        <v>4</v>
      </c>
      <c r="D451" t="s">
        <v>294</v>
      </c>
      <c r="E451" t="s">
        <v>248</v>
      </c>
      <c r="F451">
        <v>9.1</v>
      </c>
      <c r="G451">
        <v>2024</v>
      </c>
    </row>
    <row r="452" spans="1:7" hidden="1" x14ac:dyDescent="0.2">
      <c r="A452" t="s">
        <v>26</v>
      </c>
      <c r="B452" t="s">
        <v>28</v>
      </c>
      <c r="C452">
        <v>4</v>
      </c>
      <c r="D452" t="s">
        <v>125</v>
      </c>
      <c r="E452" t="s">
        <v>212</v>
      </c>
      <c r="F452">
        <v>7.3</v>
      </c>
      <c r="G452">
        <v>2024</v>
      </c>
    </row>
    <row r="453" spans="1:7" hidden="1" x14ac:dyDescent="0.2">
      <c r="A453" t="s">
        <v>26</v>
      </c>
      <c r="B453" t="s">
        <v>28</v>
      </c>
      <c r="C453">
        <v>4</v>
      </c>
      <c r="D453" t="s">
        <v>128</v>
      </c>
      <c r="E453" t="s">
        <v>218</v>
      </c>
      <c r="F453">
        <v>17.100000000000001</v>
      </c>
      <c r="G453">
        <v>2024</v>
      </c>
    </row>
    <row r="454" spans="1:7" hidden="1" x14ac:dyDescent="0.2">
      <c r="A454" t="s">
        <v>26</v>
      </c>
      <c r="B454" t="s">
        <v>28</v>
      </c>
      <c r="C454">
        <v>4</v>
      </c>
      <c r="D454" t="s">
        <v>128</v>
      </c>
      <c r="E454" t="s">
        <v>257</v>
      </c>
      <c r="F454">
        <v>14.8</v>
      </c>
      <c r="G454">
        <v>2024</v>
      </c>
    </row>
    <row r="455" spans="1:7" hidden="1" x14ac:dyDescent="0.2">
      <c r="A455" t="s">
        <v>26</v>
      </c>
      <c r="B455" t="s">
        <v>28</v>
      </c>
      <c r="C455">
        <v>4</v>
      </c>
      <c r="D455" t="s">
        <v>128</v>
      </c>
      <c r="E455" t="s">
        <v>219</v>
      </c>
      <c r="F455">
        <v>11.9</v>
      </c>
      <c r="G455">
        <v>2024</v>
      </c>
    </row>
    <row r="456" spans="1:7" hidden="1" x14ac:dyDescent="0.2">
      <c r="A456" t="s">
        <v>26</v>
      </c>
      <c r="B456" t="s">
        <v>28</v>
      </c>
      <c r="C456">
        <v>4</v>
      </c>
      <c r="D456" t="s">
        <v>127</v>
      </c>
      <c r="E456" t="s">
        <v>256</v>
      </c>
      <c r="F456">
        <v>18.399999999999999</v>
      </c>
      <c r="G456">
        <v>2024</v>
      </c>
    </row>
    <row r="457" spans="1:7" hidden="1" x14ac:dyDescent="0.2">
      <c r="A457" t="s">
        <v>26</v>
      </c>
      <c r="B457" t="s">
        <v>28</v>
      </c>
      <c r="C457">
        <v>4</v>
      </c>
      <c r="D457" t="s">
        <v>127</v>
      </c>
      <c r="E457" t="s">
        <v>216</v>
      </c>
      <c r="F457">
        <v>12.6</v>
      </c>
      <c r="G457">
        <v>2024</v>
      </c>
    </row>
    <row r="458" spans="1:7" hidden="1" x14ac:dyDescent="0.2">
      <c r="A458" t="s">
        <v>26</v>
      </c>
      <c r="B458" t="s">
        <v>28</v>
      </c>
      <c r="C458">
        <v>4</v>
      </c>
      <c r="D458" t="s">
        <v>129</v>
      </c>
      <c r="E458" t="s">
        <v>285</v>
      </c>
      <c r="F458">
        <v>-0.4</v>
      </c>
      <c r="G458">
        <v>2024</v>
      </c>
    </row>
    <row r="459" spans="1:7" hidden="1" x14ac:dyDescent="0.2">
      <c r="A459" t="s">
        <v>26</v>
      </c>
      <c r="B459" t="s">
        <v>28</v>
      </c>
      <c r="C459">
        <v>4</v>
      </c>
      <c r="D459" t="s">
        <v>131</v>
      </c>
      <c r="E459" t="s">
        <v>214</v>
      </c>
      <c r="F459">
        <v>5</v>
      </c>
      <c r="G459">
        <v>2024</v>
      </c>
    </row>
    <row r="460" spans="1:7" hidden="1" x14ac:dyDescent="0.2">
      <c r="A460" t="s">
        <v>26</v>
      </c>
      <c r="B460" t="s">
        <v>28</v>
      </c>
      <c r="C460">
        <v>4</v>
      </c>
      <c r="D460" t="s">
        <v>130</v>
      </c>
      <c r="E460" t="s">
        <v>215</v>
      </c>
      <c r="F460">
        <v>23</v>
      </c>
      <c r="G460">
        <v>2024</v>
      </c>
    </row>
    <row r="461" spans="1:7" hidden="1" x14ac:dyDescent="0.2">
      <c r="A461" t="s">
        <v>26</v>
      </c>
      <c r="B461" t="s">
        <v>28</v>
      </c>
      <c r="C461">
        <v>4</v>
      </c>
      <c r="D461" t="s">
        <v>293</v>
      </c>
      <c r="E461" t="s">
        <v>217</v>
      </c>
      <c r="F461">
        <v>9.4</v>
      </c>
      <c r="G461">
        <v>2024</v>
      </c>
    </row>
    <row r="462" spans="1:7" hidden="1" x14ac:dyDescent="0.2">
      <c r="A462" t="s">
        <v>35</v>
      </c>
      <c r="B462" t="s">
        <v>49</v>
      </c>
      <c r="C462">
        <v>4</v>
      </c>
      <c r="D462" t="s">
        <v>125</v>
      </c>
      <c r="E462" t="s">
        <v>221</v>
      </c>
      <c r="F462">
        <v>5.24</v>
      </c>
      <c r="G462">
        <v>2024</v>
      </c>
    </row>
    <row r="463" spans="1:7" hidden="1" x14ac:dyDescent="0.2">
      <c r="A463" t="s">
        <v>35</v>
      </c>
      <c r="B463" t="s">
        <v>49</v>
      </c>
      <c r="C463">
        <v>4</v>
      </c>
      <c r="D463" t="s">
        <v>128</v>
      </c>
      <c r="E463" t="s">
        <v>254</v>
      </c>
      <c r="F463">
        <v>14.3</v>
      </c>
      <c r="G463">
        <v>2024</v>
      </c>
    </row>
    <row r="464" spans="1:7" hidden="1" x14ac:dyDescent="0.2">
      <c r="A464" t="s">
        <v>35</v>
      </c>
      <c r="B464" t="s">
        <v>49</v>
      </c>
      <c r="C464">
        <v>4</v>
      </c>
      <c r="D464" t="s">
        <v>128</v>
      </c>
      <c r="E464" t="s">
        <v>224</v>
      </c>
      <c r="F464">
        <v>4.5999999999999996</v>
      </c>
      <c r="G464">
        <v>2024</v>
      </c>
    </row>
    <row r="465" spans="1:7" hidden="1" x14ac:dyDescent="0.2">
      <c r="A465" t="s">
        <v>35</v>
      </c>
      <c r="B465" t="s">
        <v>49</v>
      </c>
      <c r="C465">
        <v>4</v>
      </c>
      <c r="D465" t="s">
        <v>128</v>
      </c>
      <c r="E465" t="s">
        <v>222</v>
      </c>
      <c r="F465">
        <v>15</v>
      </c>
      <c r="G465">
        <v>2024</v>
      </c>
    </row>
    <row r="466" spans="1:7" hidden="1" x14ac:dyDescent="0.2">
      <c r="A466" t="s">
        <v>35</v>
      </c>
      <c r="B466" t="s">
        <v>49</v>
      </c>
      <c r="C466">
        <v>4</v>
      </c>
      <c r="D466" t="s">
        <v>127</v>
      </c>
      <c r="E466" t="s">
        <v>225</v>
      </c>
      <c r="F466">
        <v>31.6</v>
      </c>
      <c r="G466">
        <v>2024</v>
      </c>
    </row>
    <row r="467" spans="1:7" hidden="1" x14ac:dyDescent="0.2">
      <c r="A467" t="s">
        <v>35</v>
      </c>
      <c r="B467" t="s">
        <v>49</v>
      </c>
      <c r="C467">
        <v>4</v>
      </c>
      <c r="D467" t="s">
        <v>127</v>
      </c>
      <c r="E467" t="s">
        <v>226</v>
      </c>
      <c r="F467">
        <v>2.8</v>
      </c>
      <c r="G467">
        <v>2024</v>
      </c>
    </row>
    <row r="468" spans="1:7" hidden="1" x14ac:dyDescent="0.2">
      <c r="A468" t="s">
        <v>35</v>
      </c>
      <c r="B468" t="s">
        <v>49</v>
      </c>
      <c r="C468">
        <v>4</v>
      </c>
      <c r="D468" t="s">
        <v>129</v>
      </c>
      <c r="E468" t="s">
        <v>227</v>
      </c>
      <c r="F468">
        <v>9.6999999999999993</v>
      </c>
      <c r="G468">
        <v>2024</v>
      </c>
    </row>
    <row r="469" spans="1:7" hidden="1" x14ac:dyDescent="0.2">
      <c r="A469" t="s">
        <v>35</v>
      </c>
      <c r="B469" t="s">
        <v>49</v>
      </c>
      <c r="C469">
        <v>4</v>
      </c>
      <c r="D469" t="s">
        <v>131</v>
      </c>
      <c r="E469" t="s">
        <v>228</v>
      </c>
      <c r="F469">
        <v>7</v>
      </c>
      <c r="G469">
        <v>2024</v>
      </c>
    </row>
    <row r="470" spans="1:7" hidden="1" x14ac:dyDescent="0.2">
      <c r="A470" t="s">
        <v>35</v>
      </c>
      <c r="B470" t="s">
        <v>49</v>
      </c>
      <c r="C470">
        <v>4</v>
      </c>
      <c r="D470" t="s">
        <v>130</v>
      </c>
      <c r="E470" t="s">
        <v>279</v>
      </c>
      <c r="F470">
        <v>10</v>
      </c>
      <c r="G470">
        <v>2024</v>
      </c>
    </row>
    <row r="471" spans="1:7" hidden="1" x14ac:dyDescent="0.2">
      <c r="A471" t="s">
        <v>35</v>
      </c>
      <c r="B471" t="s">
        <v>49</v>
      </c>
      <c r="C471">
        <v>4</v>
      </c>
      <c r="D471" t="s">
        <v>294</v>
      </c>
      <c r="E471" t="s">
        <v>304</v>
      </c>
      <c r="F471">
        <v>3.4</v>
      </c>
      <c r="G471">
        <v>2024</v>
      </c>
    </row>
    <row r="472" spans="1:7" hidden="1" x14ac:dyDescent="0.2">
      <c r="A472" t="s">
        <v>77</v>
      </c>
      <c r="B472" t="s">
        <v>45</v>
      </c>
      <c r="C472">
        <v>4</v>
      </c>
      <c r="D472" t="s">
        <v>125</v>
      </c>
      <c r="E472" t="s">
        <v>159</v>
      </c>
      <c r="F472">
        <v>23.5</v>
      </c>
      <c r="G472">
        <v>2024</v>
      </c>
    </row>
    <row r="473" spans="1:7" hidden="1" x14ac:dyDescent="0.2">
      <c r="A473" t="s">
        <v>77</v>
      </c>
      <c r="B473" t="s">
        <v>45</v>
      </c>
      <c r="C473">
        <v>4</v>
      </c>
      <c r="D473" t="s">
        <v>128</v>
      </c>
      <c r="E473" t="s">
        <v>305</v>
      </c>
      <c r="F473">
        <v>21.4</v>
      </c>
      <c r="G473">
        <v>2024</v>
      </c>
    </row>
    <row r="474" spans="1:7" hidden="1" x14ac:dyDescent="0.2">
      <c r="A474" t="s">
        <v>77</v>
      </c>
      <c r="B474" t="s">
        <v>45</v>
      </c>
      <c r="C474">
        <v>4</v>
      </c>
      <c r="D474" t="s">
        <v>128</v>
      </c>
      <c r="E474" t="s">
        <v>162</v>
      </c>
      <c r="F474">
        <v>13</v>
      </c>
      <c r="G474">
        <v>2024</v>
      </c>
    </row>
    <row r="475" spans="1:7" hidden="1" x14ac:dyDescent="0.2">
      <c r="A475" t="s">
        <v>77</v>
      </c>
      <c r="B475" t="s">
        <v>45</v>
      </c>
      <c r="C475">
        <v>4</v>
      </c>
      <c r="D475" t="s">
        <v>128</v>
      </c>
      <c r="E475" t="s">
        <v>160</v>
      </c>
      <c r="F475">
        <v>12.8</v>
      </c>
      <c r="G475">
        <v>2024</v>
      </c>
    </row>
    <row r="476" spans="1:7" hidden="1" x14ac:dyDescent="0.2">
      <c r="A476" t="s">
        <v>77</v>
      </c>
      <c r="B476" t="s">
        <v>45</v>
      </c>
      <c r="C476">
        <v>4</v>
      </c>
      <c r="D476" t="s">
        <v>127</v>
      </c>
      <c r="E476" t="s">
        <v>306</v>
      </c>
      <c r="F476">
        <v>20.100000000000001</v>
      </c>
      <c r="G476">
        <v>2024</v>
      </c>
    </row>
    <row r="477" spans="1:7" hidden="1" x14ac:dyDescent="0.2">
      <c r="A477" t="s">
        <v>77</v>
      </c>
      <c r="B477" t="s">
        <v>45</v>
      </c>
      <c r="C477">
        <v>4</v>
      </c>
      <c r="D477" t="s">
        <v>127</v>
      </c>
      <c r="E477" t="s">
        <v>252</v>
      </c>
      <c r="F477">
        <v>8.8000000000000007</v>
      </c>
      <c r="G477">
        <v>2024</v>
      </c>
    </row>
    <row r="478" spans="1:7" hidden="1" x14ac:dyDescent="0.2">
      <c r="A478" t="s">
        <v>77</v>
      </c>
      <c r="B478" t="s">
        <v>45</v>
      </c>
      <c r="C478">
        <v>4</v>
      </c>
      <c r="D478" t="s">
        <v>129</v>
      </c>
      <c r="E478" t="s">
        <v>165</v>
      </c>
      <c r="F478">
        <v>2.2000000000000002</v>
      </c>
      <c r="G478">
        <v>2024</v>
      </c>
    </row>
    <row r="479" spans="1:7" hidden="1" x14ac:dyDescent="0.2">
      <c r="A479" t="s">
        <v>77</v>
      </c>
      <c r="B479" t="s">
        <v>45</v>
      </c>
      <c r="C479">
        <v>4</v>
      </c>
      <c r="D479" t="s">
        <v>131</v>
      </c>
      <c r="E479" t="s">
        <v>166</v>
      </c>
      <c r="F479">
        <v>5</v>
      </c>
      <c r="G479">
        <v>2024</v>
      </c>
    </row>
    <row r="480" spans="1:7" hidden="1" x14ac:dyDescent="0.2">
      <c r="A480" t="s">
        <v>77</v>
      </c>
      <c r="B480" t="s">
        <v>45</v>
      </c>
      <c r="C480">
        <v>4</v>
      </c>
      <c r="D480" t="s">
        <v>130</v>
      </c>
      <c r="E480" t="s">
        <v>251</v>
      </c>
      <c r="F480">
        <v>12</v>
      </c>
      <c r="G480">
        <v>2024</v>
      </c>
    </row>
    <row r="481" spans="1:7" hidden="1" x14ac:dyDescent="0.2">
      <c r="A481" t="s">
        <v>77</v>
      </c>
      <c r="B481" t="s">
        <v>45</v>
      </c>
      <c r="C481">
        <v>4</v>
      </c>
      <c r="D481" t="s">
        <v>294</v>
      </c>
      <c r="E481" t="s">
        <v>161</v>
      </c>
      <c r="F481">
        <v>12.7</v>
      </c>
      <c r="G481">
        <v>2024</v>
      </c>
    </row>
    <row r="482" spans="1:7" hidden="1" x14ac:dyDescent="0.2">
      <c r="A482" t="s">
        <v>14</v>
      </c>
      <c r="B482" t="s">
        <v>16</v>
      </c>
      <c r="C482">
        <v>5</v>
      </c>
      <c r="D482" t="s">
        <v>125</v>
      </c>
      <c r="E482" t="s">
        <v>241</v>
      </c>
      <c r="F482">
        <v>23.4</v>
      </c>
      <c r="G482">
        <v>2024</v>
      </c>
    </row>
    <row r="483" spans="1:7" hidden="1" x14ac:dyDescent="0.2">
      <c r="A483" t="s">
        <v>14</v>
      </c>
      <c r="B483" t="s">
        <v>16</v>
      </c>
      <c r="C483">
        <v>5</v>
      </c>
      <c r="D483" t="s">
        <v>128</v>
      </c>
      <c r="E483" t="s">
        <v>288</v>
      </c>
      <c r="F483">
        <v>4.2</v>
      </c>
      <c r="G483">
        <v>2024</v>
      </c>
    </row>
    <row r="484" spans="1:7" hidden="1" x14ac:dyDescent="0.2">
      <c r="A484" t="s">
        <v>14</v>
      </c>
      <c r="B484" t="s">
        <v>16</v>
      </c>
      <c r="C484">
        <v>5</v>
      </c>
      <c r="D484" t="s">
        <v>294</v>
      </c>
      <c r="E484" t="s">
        <v>308</v>
      </c>
      <c r="F484">
        <v>3</v>
      </c>
      <c r="G484">
        <v>2024</v>
      </c>
    </row>
    <row r="485" spans="1:7" hidden="1" x14ac:dyDescent="0.2">
      <c r="A485" t="s">
        <v>14</v>
      </c>
      <c r="B485" t="s">
        <v>16</v>
      </c>
      <c r="C485">
        <v>5</v>
      </c>
      <c r="D485" t="s">
        <v>128</v>
      </c>
      <c r="E485" t="s">
        <v>132</v>
      </c>
      <c r="F485">
        <v>11.7</v>
      </c>
      <c r="G485">
        <v>2024</v>
      </c>
    </row>
    <row r="486" spans="1:7" hidden="1" x14ac:dyDescent="0.2">
      <c r="A486" t="s">
        <v>14</v>
      </c>
      <c r="B486" t="s">
        <v>16</v>
      </c>
      <c r="C486">
        <v>5</v>
      </c>
      <c r="D486" t="s">
        <v>129</v>
      </c>
      <c r="E486" t="s">
        <v>137</v>
      </c>
      <c r="F486">
        <v>8.3000000000000007</v>
      </c>
      <c r="G486">
        <v>2024</v>
      </c>
    </row>
    <row r="487" spans="1:7" hidden="1" x14ac:dyDescent="0.2">
      <c r="A487" t="s">
        <v>14</v>
      </c>
      <c r="B487" t="s">
        <v>16</v>
      </c>
      <c r="C487">
        <v>5</v>
      </c>
      <c r="D487" t="s">
        <v>131</v>
      </c>
      <c r="E487" t="s">
        <v>139</v>
      </c>
      <c r="F487">
        <v>8</v>
      </c>
      <c r="G487">
        <v>2024</v>
      </c>
    </row>
    <row r="488" spans="1:7" hidden="1" x14ac:dyDescent="0.2">
      <c r="A488" t="s">
        <v>14</v>
      </c>
      <c r="B488" t="s">
        <v>16</v>
      </c>
      <c r="C488">
        <v>5</v>
      </c>
      <c r="D488" t="s">
        <v>130</v>
      </c>
      <c r="E488" t="s">
        <v>307</v>
      </c>
      <c r="F488">
        <v>9</v>
      </c>
      <c r="G488">
        <v>2024</v>
      </c>
    </row>
    <row r="489" spans="1:7" hidden="1" x14ac:dyDescent="0.2">
      <c r="A489" t="s">
        <v>14</v>
      </c>
      <c r="B489" t="s">
        <v>16</v>
      </c>
      <c r="C489">
        <v>5</v>
      </c>
      <c r="D489" t="s">
        <v>128</v>
      </c>
      <c r="E489" t="s">
        <v>133</v>
      </c>
      <c r="F489">
        <v>9.9</v>
      </c>
      <c r="G489">
        <v>2024</v>
      </c>
    </row>
    <row r="490" spans="1:7" hidden="1" x14ac:dyDescent="0.2">
      <c r="A490" t="s">
        <v>14</v>
      </c>
      <c r="B490" t="s">
        <v>16</v>
      </c>
      <c r="C490">
        <v>5</v>
      </c>
      <c r="D490" t="s">
        <v>127</v>
      </c>
      <c r="E490" t="s">
        <v>135</v>
      </c>
      <c r="F490">
        <v>6.4</v>
      </c>
      <c r="G490">
        <v>2024</v>
      </c>
    </row>
    <row r="491" spans="1:7" hidden="1" x14ac:dyDescent="0.2">
      <c r="A491" t="s">
        <v>14</v>
      </c>
      <c r="B491" t="s">
        <v>16</v>
      </c>
      <c r="C491">
        <v>5</v>
      </c>
      <c r="D491" t="s">
        <v>127</v>
      </c>
      <c r="E491" t="s">
        <v>136</v>
      </c>
      <c r="F491">
        <v>13.6</v>
      </c>
      <c r="G491">
        <v>2024</v>
      </c>
    </row>
    <row r="492" spans="1:7" hidden="1" x14ac:dyDescent="0.2">
      <c r="A492" t="s">
        <v>74</v>
      </c>
      <c r="B492" t="s">
        <v>29</v>
      </c>
      <c r="C492">
        <v>5</v>
      </c>
      <c r="D492" t="s">
        <v>125</v>
      </c>
      <c r="E492" t="s">
        <v>309</v>
      </c>
      <c r="F492">
        <v>8.4</v>
      </c>
      <c r="G492">
        <v>2024</v>
      </c>
    </row>
    <row r="493" spans="1:7" hidden="1" x14ac:dyDescent="0.2">
      <c r="A493" t="s">
        <v>74</v>
      </c>
      <c r="B493" t="s">
        <v>29</v>
      </c>
      <c r="C493">
        <v>5</v>
      </c>
      <c r="D493" t="s">
        <v>128</v>
      </c>
      <c r="E493" t="s">
        <v>172</v>
      </c>
      <c r="F493">
        <v>25</v>
      </c>
      <c r="G493">
        <v>2024</v>
      </c>
    </row>
    <row r="494" spans="1:7" hidden="1" x14ac:dyDescent="0.2">
      <c r="A494" t="s">
        <v>74</v>
      </c>
      <c r="B494" t="s">
        <v>29</v>
      </c>
      <c r="C494">
        <v>5</v>
      </c>
      <c r="D494" t="s">
        <v>128</v>
      </c>
      <c r="E494" t="s">
        <v>171</v>
      </c>
      <c r="F494">
        <v>12.2</v>
      </c>
      <c r="G494">
        <v>2024</v>
      </c>
    </row>
    <row r="495" spans="1:7" hidden="1" x14ac:dyDescent="0.2">
      <c r="A495" t="s">
        <v>74</v>
      </c>
      <c r="B495" t="s">
        <v>29</v>
      </c>
      <c r="C495">
        <v>5</v>
      </c>
      <c r="D495" t="s">
        <v>128</v>
      </c>
      <c r="E495" t="s">
        <v>280</v>
      </c>
      <c r="F495">
        <v>6.5</v>
      </c>
      <c r="G495">
        <v>2024</v>
      </c>
    </row>
    <row r="496" spans="1:7" hidden="1" x14ac:dyDescent="0.2">
      <c r="A496" t="s">
        <v>74</v>
      </c>
      <c r="B496" t="s">
        <v>29</v>
      </c>
      <c r="C496">
        <v>5</v>
      </c>
      <c r="D496" t="s">
        <v>127</v>
      </c>
      <c r="E496" t="s">
        <v>174</v>
      </c>
      <c r="F496">
        <v>9.1999999999999993</v>
      </c>
      <c r="G496">
        <v>2024</v>
      </c>
    </row>
    <row r="497" spans="1:7" hidden="1" x14ac:dyDescent="0.2">
      <c r="A497" t="s">
        <v>74</v>
      </c>
      <c r="B497" t="s">
        <v>29</v>
      </c>
      <c r="C497">
        <v>5</v>
      </c>
      <c r="D497" t="s">
        <v>127</v>
      </c>
      <c r="E497" t="s">
        <v>244</v>
      </c>
      <c r="F497">
        <v>8.3000000000000007</v>
      </c>
      <c r="G497">
        <v>2024</v>
      </c>
    </row>
    <row r="498" spans="1:7" hidden="1" x14ac:dyDescent="0.2">
      <c r="A498" t="s">
        <v>74</v>
      </c>
      <c r="B498" t="s">
        <v>29</v>
      </c>
      <c r="C498">
        <v>5</v>
      </c>
      <c r="D498" t="s">
        <v>129</v>
      </c>
      <c r="E498" t="s">
        <v>170</v>
      </c>
      <c r="F498">
        <v>1.9</v>
      </c>
      <c r="G498">
        <v>2024</v>
      </c>
    </row>
    <row r="499" spans="1:7" hidden="1" x14ac:dyDescent="0.2">
      <c r="A499" t="s">
        <v>74</v>
      </c>
      <c r="B499" t="s">
        <v>29</v>
      </c>
      <c r="C499">
        <v>5</v>
      </c>
      <c r="D499" t="s">
        <v>131</v>
      </c>
      <c r="E499" t="s">
        <v>169</v>
      </c>
      <c r="F499">
        <v>8</v>
      </c>
      <c r="G499">
        <v>2024</v>
      </c>
    </row>
    <row r="500" spans="1:7" hidden="1" x14ac:dyDescent="0.2">
      <c r="A500" t="s">
        <v>74</v>
      </c>
      <c r="B500" t="s">
        <v>29</v>
      </c>
      <c r="C500">
        <v>5</v>
      </c>
      <c r="D500" t="s">
        <v>130</v>
      </c>
      <c r="E500" t="s">
        <v>408</v>
      </c>
      <c r="F500">
        <v>10</v>
      </c>
      <c r="G500">
        <v>2024</v>
      </c>
    </row>
    <row r="501" spans="1:7" hidden="1" x14ac:dyDescent="0.2">
      <c r="A501" t="s">
        <v>74</v>
      </c>
      <c r="B501" t="s">
        <v>29</v>
      </c>
      <c r="C501">
        <v>5</v>
      </c>
      <c r="D501" t="s">
        <v>294</v>
      </c>
      <c r="E501" t="s">
        <v>310</v>
      </c>
      <c r="F501">
        <v>1.3</v>
      </c>
      <c r="G501">
        <v>2024</v>
      </c>
    </row>
    <row r="502" spans="1:7" hidden="1" x14ac:dyDescent="0.2">
      <c r="A502" t="s">
        <v>42</v>
      </c>
      <c r="B502" t="s">
        <v>17</v>
      </c>
      <c r="C502">
        <v>5</v>
      </c>
      <c r="D502" t="s">
        <v>125</v>
      </c>
      <c r="E502" t="s">
        <v>311</v>
      </c>
      <c r="F502">
        <v>15.94</v>
      </c>
      <c r="G502">
        <v>2024</v>
      </c>
    </row>
    <row r="503" spans="1:7" hidden="1" x14ac:dyDescent="0.2">
      <c r="A503" t="s">
        <v>42</v>
      </c>
      <c r="B503" t="s">
        <v>17</v>
      </c>
      <c r="C503">
        <v>5</v>
      </c>
      <c r="D503" t="s">
        <v>128</v>
      </c>
      <c r="E503" t="s">
        <v>152</v>
      </c>
      <c r="F503">
        <v>20.7</v>
      </c>
      <c r="G503">
        <v>2024</v>
      </c>
    </row>
    <row r="504" spans="1:7" hidden="1" x14ac:dyDescent="0.2">
      <c r="A504" t="s">
        <v>42</v>
      </c>
      <c r="B504" t="s">
        <v>17</v>
      </c>
      <c r="C504">
        <v>5</v>
      </c>
      <c r="D504" t="s">
        <v>128</v>
      </c>
      <c r="E504" t="s">
        <v>312</v>
      </c>
      <c r="F504">
        <v>9.5</v>
      </c>
      <c r="G504">
        <v>2024</v>
      </c>
    </row>
    <row r="505" spans="1:7" hidden="1" x14ac:dyDescent="0.2">
      <c r="A505" t="s">
        <v>42</v>
      </c>
      <c r="B505" t="s">
        <v>17</v>
      </c>
      <c r="C505">
        <v>5</v>
      </c>
      <c r="D505" t="s">
        <v>128</v>
      </c>
      <c r="E505" t="s">
        <v>274</v>
      </c>
      <c r="F505">
        <v>5.3</v>
      </c>
      <c r="G505">
        <v>2024</v>
      </c>
    </row>
    <row r="506" spans="1:7" hidden="1" x14ac:dyDescent="0.2">
      <c r="A506" t="s">
        <v>42</v>
      </c>
      <c r="B506" t="s">
        <v>17</v>
      </c>
      <c r="C506">
        <v>5</v>
      </c>
      <c r="D506" t="s">
        <v>127</v>
      </c>
      <c r="E506" t="s">
        <v>154</v>
      </c>
      <c r="F506">
        <v>16.100000000000001</v>
      </c>
      <c r="G506">
        <v>2024</v>
      </c>
    </row>
    <row r="507" spans="1:7" hidden="1" x14ac:dyDescent="0.2">
      <c r="A507" t="s">
        <v>42</v>
      </c>
      <c r="B507" t="s">
        <v>17</v>
      </c>
      <c r="C507">
        <v>5</v>
      </c>
      <c r="D507" t="s">
        <v>127</v>
      </c>
      <c r="E507" t="s">
        <v>313</v>
      </c>
      <c r="F507">
        <v>18.2</v>
      </c>
      <c r="G507">
        <v>2024</v>
      </c>
    </row>
    <row r="508" spans="1:7" hidden="1" x14ac:dyDescent="0.2">
      <c r="A508" t="s">
        <v>42</v>
      </c>
      <c r="B508" t="s">
        <v>17</v>
      </c>
      <c r="C508">
        <v>5</v>
      </c>
      <c r="D508" t="s">
        <v>129</v>
      </c>
      <c r="E508" t="s">
        <v>299</v>
      </c>
      <c r="F508">
        <v>10</v>
      </c>
      <c r="G508">
        <v>2024</v>
      </c>
    </row>
    <row r="509" spans="1:7" hidden="1" x14ac:dyDescent="0.2">
      <c r="A509" t="s">
        <v>42</v>
      </c>
      <c r="B509" t="s">
        <v>17</v>
      </c>
      <c r="C509">
        <v>5</v>
      </c>
      <c r="D509" t="s">
        <v>131</v>
      </c>
      <c r="E509" t="s">
        <v>143</v>
      </c>
      <c r="F509">
        <v>16</v>
      </c>
      <c r="G509">
        <v>2024</v>
      </c>
    </row>
    <row r="510" spans="1:7" hidden="1" x14ac:dyDescent="0.2">
      <c r="A510" t="s">
        <v>42</v>
      </c>
      <c r="B510" t="s">
        <v>17</v>
      </c>
      <c r="C510">
        <v>5</v>
      </c>
      <c r="D510" t="s">
        <v>130</v>
      </c>
      <c r="E510" t="s">
        <v>157</v>
      </c>
      <c r="F510">
        <v>1</v>
      </c>
      <c r="G510">
        <v>2024</v>
      </c>
    </row>
    <row r="511" spans="1:7" hidden="1" x14ac:dyDescent="0.2">
      <c r="A511" t="s">
        <v>42</v>
      </c>
      <c r="B511" t="s">
        <v>17</v>
      </c>
      <c r="C511">
        <v>5</v>
      </c>
      <c r="D511" t="s">
        <v>293</v>
      </c>
      <c r="E511" t="s">
        <v>314</v>
      </c>
      <c r="F511">
        <v>14.9</v>
      </c>
      <c r="G511">
        <v>2024</v>
      </c>
    </row>
    <row r="512" spans="1:7" hidden="1" x14ac:dyDescent="0.2">
      <c r="A512" t="s">
        <v>76</v>
      </c>
      <c r="B512" t="s">
        <v>32</v>
      </c>
      <c r="C512">
        <v>5</v>
      </c>
      <c r="D512" t="s">
        <v>125</v>
      </c>
      <c r="E512" t="s">
        <v>230</v>
      </c>
      <c r="F512">
        <v>33.78</v>
      </c>
      <c r="G512">
        <v>2024</v>
      </c>
    </row>
    <row r="513" spans="1:7" hidden="1" x14ac:dyDescent="0.2">
      <c r="A513" t="s">
        <v>76</v>
      </c>
      <c r="B513" t="s">
        <v>32</v>
      </c>
      <c r="C513">
        <v>5</v>
      </c>
      <c r="D513" t="s">
        <v>128</v>
      </c>
      <c r="E513" t="s">
        <v>231</v>
      </c>
      <c r="F513">
        <v>36.299999999999997</v>
      </c>
      <c r="G513">
        <v>2024</v>
      </c>
    </row>
    <row r="514" spans="1:7" hidden="1" x14ac:dyDescent="0.2">
      <c r="A514" t="s">
        <v>76</v>
      </c>
      <c r="B514" t="s">
        <v>32</v>
      </c>
      <c r="C514">
        <v>5</v>
      </c>
      <c r="D514" t="s">
        <v>128</v>
      </c>
      <c r="E514" t="s">
        <v>261</v>
      </c>
      <c r="F514">
        <v>18.7</v>
      </c>
      <c r="G514">
        <v>2024</v>
      </c>
    </row>
    <row r="515" spans="1:7" hidden="1" x14ac:dyDescent="0.2">
      <c r="A515" t="s">
        <v>76</v>
      </c>
      <c r="B515" t="s">
        <v>32</v>
      </c>
      <c r="C515">
        <v>5</v>
      </c>
      <c r="D515" t="s">
        <v>128</v>
      </c>
      <c r="E515" t="s">
        <v>232</v>
      </c>
      <c r="F515">
        <v>14.8</v>
      </c>
      <c r="G515">
        <v>2024</v>
      </c>
    </row>
    <row r="516" spans="1:7" hidden="1" x14ac:dyDescent="0.2">
      <c r="A516" t="s">
        <v>76</v>
      </c>
      <c r="B516" t="s">
        <v>32</v>
      </c>
      <c r="C516">
        <v>5</v>
      </c>
      <c r="D516" t="s">
        <v>127</v>
      </c>
      <c r="E516" t="s">
        <v>278</v>
      </c>
      <c r="F516">
        <v>19</v>
      </c>
      <c r="G516">
        <v>2024</v>
      </c>
    </row>
    <row r="517" spans="1:7" hidden="1" x14ac:dyDescent="0.2">
      <c r="A517" t="s">
        <v>76</v>
      </c>
      <c r="B517" t="s">
        <v>32</v>
      </c>
      <c r="C517">
        <v>5</v>
      </c>
      <c r="D517" t="s">
        <v>127</v>
      </c>
      <c r="E517" t="s">
        <v>235</v>
      </c>
      <c r="F517">
        <v>5.8</v>
      </c>
      <c r="G517">
        <v>2024</v>
      </c>
    </row>
    <row r="518" spans="1:7" hidden="1" x14ac:dyDescent="0.2">
      <c r="A518" t="s">
        <v>76</v>
      </c>
      <c r="B518" t="s">
        <v>32</v>
      </c>
      <c r="C518">
        <v>5</v>
      </c>
      <c r="D518" t="s">
        <v>129</v>
      </c>
      <c r="E518" t="s">
        <v>236</v>
      </c>
      <c r="F518">
        <v>16.399999999999999</v>
      </c>
      <c r="G518">
        <v>2024</v>
      </c>
    </row>
    <row r="519" spans="1:7" hidden="1" x14ac:dyDescent="0.2">
      <c r="A519" t="s">
        <v>76</v>
      </c>
      <c r="B519" t="s">
        <v>32</v>
      </c>
      <c r="C519">
        <v>5</v>
      </c>
      <c r="D519" t="s">
        <v>131</v>
      </c>
      <c r="E519" t="s">
        <v>237</v>
      </c>
      <c r="F519">
        <v>4</v>
      </c>
      <c r="G519">
        <v>2024</v>
      </c>
    </row>
    <row r="520" spans="1:7" hidden="1" x14ac:dyDescent="0.2">
      <c r="A520" t="s">
        <v>76</v>
      </c>
      <c r="B520" t="s">
        <v>32</v>
      </c>
      <c r="C520">
        <v>5</v>
      </c>
      <c r="D520" t="s">
        <v>130</v>
      </c>
      <c r="E520" t="s">
        <v>281</v>
      </c>
      <c r="F520">
        <v>15</v>
      </c>
      <c r="G520">
        <v>2024</v>
      </c>
    </row>
    <row r="521" spans="1:7" hidden="1" x14ac:dyDescent="0.2">
      <c r="A521" t="s">
        <v>76</v>
      </c>
      <c r="B521" t="s">
        <v>32</v>
      </c>
      <c r="C521">
        <v>5</v>
      </c>
      <c r="D521" t="s">
        <v>294</v>
      </c>
      <c r="E521" t="s">
        <v>315</v>
      </c>
      <c r="F521">
        <v>13</v>
      </c>
      <c r="G521">
        <v>2024</v>
      </c>
    </row>
    <row r="522" spans="1:7" hidden="1" x14ac:dyDescent="0.2">
      <c r="A522" t="s">
        <v>35</v>
      </c>
      <c r="B522" t="s">
        <v>49</v>
      </c>
      <c r="C522">
        <v>5</v>
      </c>
      <c r="D522" t="s">
        <v>125</v>
      </c>
      <c r="E522" t="s">
        <v>316</v>
      </c>
      <c r="F522">
        <v>26.56</v>
      </c>
      <c r="G522">
        <v>2024</v>
      </c>
    </row>
    <row r="523" spans="1:7" hidden="1" x14ac:dyDescent="0.2">
      <c r="A523" t="s">
        <v>35</v>
      </c>
      <c r="B523" t="s">
        <v>49</v>
      </c>
      <c r="C523">
        <v>5</v>
      </c>
      <c r="D523" t="s">
        <v>128</v>
      </c>
      <c r="E523" t="s">
        <v>224</v>
      </c>
      <c r="F523">
        <v>22.6</v>
      </c>
      <c r="G523">
        <v>2024</v>
      </c>
    </row>
    <row r="524" spans="1:7" hidden="1" x14ac:dyDescent="0.2">
      <c r="A524" t="s">
        <v>35</v>
      </c>
      <c r="B524" t="s">
        <v>49</v>
      </c>
      <c r="C524">
        <v>5</v>
      </c>
      <c r="D524" t="s">
        <v>128</v>
      </c>
      <c r="E524" t="s">
        <v>254</v>
      </c>
      <c r="F524">
        <v>12.2</v>
      </c>
      <c r="G524">
        <v>2024</v>
      </c>
    </row>
    <row r="525" spans="1:7" hidden="1" x14ac:dyDescent="0.2">
      <c r="A525" t="s">
        <v>35</v>
      </c>
      <c r="B525" t="s">
        <v>49</v>
      </c>
      <c r="C525">
        <v>5</v>
      </c>
      <c r="D525" t="s">
        <v>128</v>
      </c>
      <c r="E525" t="s">
        <v>304</v>
      </c>
      <c r="F525">
        <v>4.8</v>
      </c>
      <c r="G525">
        <v>2024</v>
      </c>
    </row>
    <row r="526" spans="1:7" hidden="1" x14ac:dyDescent="0.2">
      <c r="A526" t="s">
        <v>35</v>
      </c>
      <c r="B526" t="s">
        <v>49</v>
      </c>
      <c r="C526">
        <v>5</v>
      </c>
      <c r="D526" t="s">
        <v>127</v>
      </c>
      <c r="E526" t="s">
        <v>225</v>
      </c>
      <c r="F526">
        <v>11.1</v>
      </c>
      <c r="G526">
        <v>2024</v>
      </c>
    </row>
    <row r="527" spans="1:7" hidden="1" x14ac:dyDescent="0.2">
      <c r="A527" t="s">
        <v>35</v>
      </c>
      <c r="B527" t="s">
        <v>49</v>
      </c>
      <c r="C527">
        <v>5</v>
      </c>
      <c r="D527" t="s">
        <v>127</v>
      </c>
      <c r="E527" t="s">
        <v>226</v>
      </c>
      <c r="F527">
        <v>5.2</v>
      </c>
      <c r="G527">
        <v>2024</v>
      </c>
    </row>
    <row r="528" spans="1:7" hidden="1" x14ac:dyDescent="0.2">
      <c r="A528" t="s">
        <v>35</v>
      </c>
      <c r="B528" t="s">
        <v>49</v>
      </c>
      <c r="C528">
        <v>5</v>
      </c>
      <c r="D528" t="s">
        <v>129</v>
      </c>
      <c r="E528" t="s">
        <v>317</v>
      </c>
      <c r="F528">
        <v>2</v>
      </c>
      <c r="G528">
        <v>2024</v>
      </c>
    </row>
    <row r="529" spans="1:7" hidden="1" x14ac:dyDescent="0.2">
      <c r="A529" t="s">
        <v>35</v>
      </c>
      <c r="B529" t="s">
        <v>49</v>
      </c>
      <c r="C529">
        <v>5</v>
      </c>
      <c r="D529" t="s">
        <v>131</v>
      </c>
      <c r="E529" t="s">
        <v>228</v>
      </c>
      <c r="F529">
        <v>5</v>
      </c>
      <c r="G529">
        <v>2024</v>
      </c>
    </row>
    <row r="530" spans="1:7" hidden="1" x14ac:dyDescent="0.2">
      <c r="A530" t="s">
        <v>35</v>
      </c>
      <c r="B530" t="s">
        <v>49</v>
      </c>
      <c r="C530">
        <v>5</v>
      </c>
      <c r="D530" t="s">
        <v>130</v>
      </c>
      <c r="E530" t="s">
        <v>253</v>
      </c>
      <c r="F530">
        <v>-4</v>
      </c>
      <c r="G530">
        <v>2024</v>
      </c>
    </row>
    <row r="531" spans="1:7" hidden="1" x14ac:dyDescent="0.2">
      <c r="A531" t="s">
        <v>35</v>
      </c>
      <c r="B531" t="s">
        <v>49</v>
      </c>
      <c r="C531">
        <v>5</v>
      </c>
      <c r="D531" t="s">
        <v>293</v>
      </c>
      <c r="E531" t="s">
        <v>255</v>
      </c>
      <c r="F531">
        <v>4.5999999999999996</v>
      </c>
      <c r="G531">
        <v>2024</v>
      </c>
    </row>
    <row r="532" spans="1:7" hidden="1" x14ac:dyDescent="0.2">
      <c r="A532" t="s">
        <v>46</v>
      </c>
      <c r="B532" t="s">
        <v>47</v>
      </c>
      <c r="C532">
        <v>5</v>
      </c>
      <c r="D532" t="s">
        <v>125</v>
      </c>
      <c r="E532" t="s">
        <v>176</v>
      </c>
      <c r="F532">
        <v>13.06</v>
      </c>
      <c r="G532">
        <v>2024</v>
      </c>
    </row>
    <row r="533" spans="1:7" hidden="1" x14ac:dyDescent="0.2">
      <c r="A533" t="s">
        <v>46</v>
      </c>
      <c r="B533" t="s">
        <v>47</v>
      </c>
      <c r="C533">
        <v>5</v>
      </c>
      <c r="D533" t="s">
        <v>128</v>
      </c>
      <c r="E533" t="s">
        <v>262</v>
      </c>
      <c r="F533">
        <v>16.600000000000001</v>
      </c>
      <c r="G533">
        <v>2024</v>
      </c>
    </row>
    <row r="534" spans="1:7" hidden="1" x14ac:dyDescent="0.2">
      <c r="A534" t="s">
        <v>46</v>
      </c>
      <c r="B534" t="s">
        <v>47</v>
      </c>
      <c r="C534">
        <v>5</v>
      </c>
      <c r="D534" t="s">
        <v>128</v>
      </c>
      <c r="E534" t="s">
        <v>177</v>
      </c>
      <c r="F534">
        <v>8.9</v>
      </c>
      <c r="G534">
        <v>2024</v>
      </c>
    </row>
    <row r="535" spans="1:7" hidden="1" x14ac:dyDescent="0.2">
      <c r="A535" t="s">
        <v>46</v>
      </c>
      <c r="B535" t="s">
        <v>47</v>
      </c>
      <c r="C535">
        <v>5</v>
      </c>
      <c r="D535" t="s">
        <v>128</v>
      </c>
      <c r="E535" t="s">
        <v>320</v>
      </c>
      <c r="F535">
        <v>12.4</v>
      </c>
      <c r="G535">
        <v>2024</v>
      </c>
    </row>
    <row r="536" spans="1:7" hidden="1" x14ac:dyDescent="0.2">
      <c r="A536" t="s">
        <v>46</v>
      </c>
      <c r="B536" t="s">
        <v>47</v>
      </c>
      <c r="C536">
        <v>5</v>
      </c>
      <c r="D536" t="s">
        <v>127</v>
      </c>
      <c r="E536" t="s">
        <v>180</v>
      </c>
      <c r="F536">
        <v>15.9</v>
      </c>
      <c r="G536">
        <v>2024</v>
      </c>
    </row>
    <row r="537" spans="1:7" hidden="1" x14ac:dyDescent="0.2">
      <c r="A537" t="s">
        <v>46</v>
      </c>
      <c r="B537" t="s">
        <v>47</v>
      </c>
      <c r="C537">
        <v>5</v>
      </c>
      <c r="D537" t="s">
        <v>127</v>
      </c>
      <c r="E537" t="s">
        <v>318</v>
      </c>
      <c r="F537">
        <v>18.399999999999999</v>
      </c>
      <c r="G537">
        <v>2024</v>
      </c>
    </row>
    <row r="538" spans="1:7" hidden="1" x14ac:dyDescent="0.2">
      <c r="A538" t="s">
        <v>46</v>
      </c>
      <c r="B538" t="s">
        <v>47</v>
      </c>
      <c r="C538">
        <v>5</v>
      </c>
      <c r="D538" t="s">
        <v>129</v>
      </c>
      <c r="E538" t="s">
        <v>182</v>
      </c>
      <c r="F538">
        <v>19.7</v>
      </c>
      <c r="G538">
        <v>2024</v>
      </c>
    </row>
    <row r="539" spans="1:7" hidden="1" x14ac:dyDescent="0.2">
      <c r="A539" t="s">
        <v>46</v>
      </c>
      <c r="B539" t="s">
        <v>47</v>
      </c>
      <c r="C539">
        <v>5</v>
      </c>
      <c r="D539" t="s">
        <v>131</v>
      </c>
      <c r="E539" t="s">
        <v>319</v>
      </c>
      <c r="F539">
        <v>10</v>
      </c>
      <c r="G539">
        <v>2024</v>
      </c>
    </row>
    <row r="540" spans="1:7" hidden="1" x14ac:dyDescent="0.2">
      <c r="A540" t="s">
        <v>46</v>
      </c>
      <c r="B540" t="s">
        <v>47</v>
      </c>
      <c r="C540">
        <v>5</v>
      </c>
      <c r="D540" t="s">
        <v>130</v>
      </c>
      <c r="E540" t="s">
        <v>184</v>
      </c>
      <c r="F540">
        <v>7</v>
      </c>
      <c r="G540">
        <v>2024</v>
      </c>
    </row>
    <row r="541" spans="1:7" hidden="1" x14ac:dyDescent="0.2">
      <c r="A541" t="s">
        <v>46</v>
      </c>
      <c r="B541" t="s">
        <v>47</v>
      </c>
      <c r="C541">
        <v>5</v>
      </c>
      <c r="D541" t="s">
        <v>294</v>
      </c>
      <c r="E541" t="s">
        <v>178</v>
      </c>
      <c r="F541">
        <v>6.6</v>
      </c>
      <c r="G541">
        <v>2024</v>
      </c>
    </row>
    <row r="542" spans="1:7" hidden="1" x14ac:dyDescent="0.2">
      <c r="A542" t="s">
        <v>75</v>
      </c>
      <c r="B542" t="s">
        <v>36</v>
      </c>
      <c r="C542">
        <v>5</v>
      </c>
      <c r="D542" t="s">
        <v>125</v>
      </c>
      <c r="E542" t="s">
        <v>247</v>
      </c>
      <c r="F542">
        <v>22.56</v>
      </c>
      <c r="G542">
        <v>2024</v>
      </c>
    </row>
    <row r="543" spans="1:7" hidden="1" x14ac:dyDescent="0.2">
      <c r="A543" t="s">
        <v>75</v>
      </c>
      <c r="B543" t="s">
        <v>36</v>
      </c>
      <c r="C543">
        <v>5</v>
      </c>
      <c r="D543" t="s">
        <v>128</v>
      </c>
      <c r="E543" t="s">
        <v>188</v>
      </c>
      <c r="F543">
        <v>27.4</v>
      </c>
      <c r="G543">
        <v>2024</v>
      </c>
    </row>
    <row r="544" spans="1:7" hidden="1" x14ac:dyDescent="0.2">
      <c r="A544" t="s">
        <v>75</v>
      </c>
      <c r="B544" t="s">
        <v>36</v>
      </c>
      <c r="C544">
        <v>5</v>
      </c>
      <c r="D544" t="s">
        <v>128</v>
      </c>
      <c r="E544" t="s">
        <v>248</v>
      </c>
      <c r="F544">
        <v>11.1</v>
      </c>
      <c r="G544">
        <v>2024</v>
      </c>
    </row>
    <row r="545" spans="1:7" hidden="1" x14ac:dyDescent="0.2">
      <c r="A545" t="s">
        <v>75</v>
      </c>
      <c r="B545" t="s">
        <v>36</v>
      </c>
      <c r="C545">
        <v>5</v>
      </c>
      <c r="D545" t="s">
        <v>128</v>
      </c>
      <c r="E545" t="s">
        <v>321</v>
      </c>
      <c r="F545">
        <v>11.4</v>
      </c>
      <c r="G545">
        <v>2024</v>
      </c>
    </row>
    <row r="546" spans="1:7" hidden="1" x14ac:dyDescent="0.2">
      <c r="A546" t="s">
        <v>75</v>
      </c>
      <c r="B546" t="s">
        <v>36</v>
      </c>
      <c r="C546">
        <v>5</v>
      </c>
      <c r="D546" t="s">
        <v>127</v>
      </c>
      <c r="E546" t="s">
        <v>189</v>
      </c>
      <c r="F546">
        <v>9</v>
      </c>
      <c r="G546">
        <v>2024</v>
      </c>
    </row>
    <row r="547" spans="1:7" hidden="1" x14ac:dyDescent="0.2">
      <c r="A547" t="s">
        <v>75</v>
      </c>
      <c r="B547" t="s">
        <v>36</v>
      </c>
      <c r="C547">
        <v>5</v>
      </c>
      <c r="D547" t="s">
        <v>127</v>
      </c>
      <c r="E547" t="s">
        <v>322</v>
      </c>
      <c r="F547">
        <v>10.7</v>
      </c>
      <c r="G547">
        <v>2024</v>
      </c>
    </row>
    <row r="548" spans="1:7" hidden="1" x14ac:dyDescent="0.2">
      <c r="A548" t="s">
        <v>75</v>
      </c>
      <c r="B548" t="s">
        <v>36</v>
      </c>
      <c r="C548">
        <v>5</v>
      </c>
      <c r="D548" t="s">
        <v>129</v>
      </c>
      <c r="E548" t="s">
        <v>249</v>
      </c>
      <c r="F548">
        <v>11.5</v>
      </c>
      <c r="G548">
        <v>2024</v>
      </c>
    </row>
    <row r="549" spans="1:7" hidden="1" x14ac:dyDescent="0.2">
      <c r="A549" t="s">
        <v>75</v>
      </c>
      <c r="B549" t="s">
        <v>36</v>
      </c>
      <c r="C549">
        <v>5</v>
      </c>
      <c r="D549" t="s">
        <v>131</v>
      </c>
      <c r="E549" t="s">
        <v>192</v>
      </c>
      <c r="F549">
        <v>9</v>
      </c>
      <c r="G549">
        <v>2024</v>
      </c>
    </row>
    <row r="550" spans="1:7" hidden="1" x14ac:dyDescent="0.2">
      <c r="A550" t="s">
        <v>75</v>
      </c>
      <c r="B550" t="s">
        <v>36</v>
      </c>
      <c r="C550">
        <v>5</v>
      </c>
      <c r="D550" t="s">
        <v>130</v>
      </c>
      <c r="E550" t="s">
        <v>193</v>
      </c>
      <c r="F550">
        <v>3</v>
      </c>
      <c r="G550">
        <v>2024</v>
      </c>
    </row>
    <row r="551" spans="1:7" hidden="1" x14ac:dyDescent="0.2">
      <c r="A551" t="s">
        <v>75</v>
      </c>
      <c r="B551" t="s">
        <v>36</v>
      </c>
      <c r="C551">
        <v>5</v>
      </c>
      <c r="D551" t="s">
        <v>293</v>
      </c>
      <c r="E551" t="s">
        <v>403</v>
      </c>
      <c r="F551">
        <v>4.5</v>
      </c>
      <c r="G551">
        <v>2024</v>
      </c>
    </row>
    <row r="552" spans="1:7" hidden="1" x14ac:dyDescent="0.2">
      <c r="A552" t="s">
        <v>18</v>
      </c>
      <c r="B552" t="s">
        <v>20</v>
      </c>
      <c r="C552">
        <v>5</v>
      </c>
      <c r="D552" t="s">
        <v>125</v>
      </c>
      <c r="E552" t="s">
        <v>250</v>
      </c>
      <c r="F552">
        <v>19.72</v>
      </c>
      <c r="G552">
        <v>2024</v>
      </c>
    </row>
    <row r="553" spans="1:7" hidden="1" x14ac:dyDescent="0.2">
      <c r="A553" t="s">
        <v>18</v>
      </c>
      <c r="B553" t="s">
        <v>20</v>
      </c>
      <c r="C553">
        <v>5</v>
      </c>
      <c r="D553" t="s">
        <v>128</v>
      </c>
      <c r="E553" t="s">
        <v>295</v>
      </c>
      <c r="F553">
        <v>11.4</v>
      </c>
      <c r="G553">
        <v>2024</v>
      </c>
    </row>
    <row r="554" spans="1:7" hidden="1" x14ac:dyDescent="0.2">
      <c r="A554" t="s">
        <v>18</v>
      </c>
      <c r="B554" t="s">
        <v>20</v>
      </c>
      <c r="C554">
        <v>5</v>
      </c>
      <c r="D554" t="s">
        <v>128</v>
      </c>
      <c r="E554" t="s">
        <v>206</v>
      </c>
      <c r="F554">
        <v>9.1</v>
      </c>
      <c r="G554">
        <v>2024</v>
      </c>
    </row>
    <row r="555" spans="1:7" hidden="1" x14ac:dyDescent="0.2">
      <c r="A555" t="s">
        <v>18</v>
      </c>
      <c r="B555" t="s">
        <v>20</v>
      </c>
      <c r="C555">
        <v>5</v>
      </c>
      <c r="D555" t="s">
        <v>128</v>
      </c>
      <c r="E555" t="s">
        <v>324</v>
      </c>
      <c r="F555">
        <v>9.5</v>
      </c>
      <c r="G555">
        <v>2024</v>
      </c>
    </row>
    <row r="556" spans="1:7" hidden="1" x14ac:dyDescent="0.2">
      <c r="A556" t="s">
        <v>18</v>
      </c>
      <c r="B556" t="s">
        <v>20</v>
      </c>
      <c r="C556">
        <v>5</v>
      </c>
      <c r="D556" t="s">
        <v>127</v>
      </c>
      <c r="E556" t="s">
        <v>208</v>
      </c>
      <c r="F556">
        <v>16.899999999999999</v>
      </c>
      <c r="G556">
        <v>2024</v>
      </c>
    </row>
    <row r="557" spans="1:7" hidden="1" x14ac:dyDescent="0.2">
      <c r="A557" t="s">
        <v>18</v>
      </c>
      <c r="B557" t="s">
        <v>20</v>
      </c>
      <c r="C557">
        <v>5</v>
      </c>
      <c r="D557" t="s">
        <v>127</v>
      </c>
      <c r="E557" t="s">
        <v>282</v>
      </c>
      <c r="F557">
        <v>6.7</v>
      </c>
      <c r="G557">
        <v>2024</v>
      </c>
    </row>
    <row r="558" spans="1:7" hidden="1" x14ac:dyDescent="0.2">
      <c r="A558" t="s">
        <v>18</v>
      </c>
      <c r="B558" t="s">
        <v>20</v>
      </c>
      <c r="C558">
        <v>5</v>
      </c>
      <c r="D558" t="s">
        <v>129</v>
      </c>
      <c r="E558" t="s">
        <v>209</v>
      </c>
      <c r="F558">
        <v>4.4000000000000004</v>
      </c>
      <c r="G558">
        <v>2024</v>
      </c>
    </row>
    <row r="559" spans="1:7" hidden="1" x14ac:dyDescent="0.2">
      <c r="A559" t="s">
        <v>18</v>
      </c>
      <c r="B559" t="s">
        <v>20</v>
      </c>
      <c r="C559">
        <v>5</v>
      </c>
      <c r="D559" t="s">
        <v>131</v>
      </c>
      <c r="E559" t="s">
        <v>210</v>
      </c>
      <c r="F559">
        <v>9</v>
      </c>
      <c r="G559">
        <v>2024</v>
      </c>
    </row>
    <row r="560" spans="1:7" hidden="1" x14ac:dyDescent="0.2">
      <c r="A560" t="s">
        <v>18</v>
      </c>
      <c r="B560" t="s">
        <v>20</v>
      </c>
      <c r="C560">
        <v>5</v>
      </c>
      <c r="D560" t="s">
        <v>130</v>
      </c>
      <c r="E560" t="s">
        <v>323</v>
      </c>
      <c r="F560">
        <v>15</v>
      </c>
      <c r="G560">
        <v>2024</v>
      </c>
    </row>
    <row r="561" spans="1:7" hidden="1" x14ac:dyDescent="0.2">
      <c r="A561" t="s">
        <v>18</v>
      </c>
      <c r="B561" t="s">
        <v>20</v>
      </c>
      <c r="C561">
        <v>5</v>
      </c>
      <c r="D561" t="s">
        <v>294</v>
      </c>
      <c r="E561" t="s">
        <v>283</v>
      </c>
      <c r="F561">
        <v>2.1</v>
      </c>
      <c r="G561">
        <v>2024</v>
      </c>
    </row>
    <row r="562" spans="1:7" hidden="1" x14ac:dyDescent="0.2">
      <c r="A562" t="s">
        <v>73</v>
      </c>
      <c r="B562" t="s">
        <v>21</v>
      </c>
      <c r="C562">
        <v>5</v>
      </c>
      <c r="D562" t="s">
        <v>125</v>
      </c>
      <c r="E562" t="s">
        <v>325</v>
      </c>
      <c r="F562">
        <v>4.26</v>
      </c>
      <c r="G562">
        <v>2024</v>
      </c>
    </row>
    <row r="563" spans="1:7" hidden="1" x14ac:dyDescent="0.2">
      <c r="A563" t="s">
        <v>73</v>
      </c>
      <c r="B563" t="s">
        <v>21</v>
      </c>
      <c r="C563">
        <v>5</v>
      </c>
      <c r="D563" t="s">
        <v>128</v>
      </c>
      <c r="E563" t="s">
        <v>277</v>
      </c>
      <c r="F563">
        <v>20.7</v>
      </c>
      <c r="G563">
        <v>2024</v>
      </c>
    </row>
    <row r="564" spans="1:7" hidden="1" x14ac:dyDescent="0.2">
      <c r="A564" t="s">
        <v>73</v>
      </c>
      <c r="B564" t="s">
        <v>21</v>
      </c>
      <c r="C564">
        <v>5</v>
      </c>
      <c r="D564" t="s">
        <v>128</v>
      </c>
      <c r="E564" t="s">
        <v>328</v>
      </c>
      <c r="F564">
        <v>27</v>
      </c>
      <c r="G564">
        <v>2024</v>
      </c>
    </row>
    <row r="565" spans="1:7" hidden="1" x14ac:dyDescent="0.2">
      <c r="A565" t="s">
        <v>73</v>
      </c>
      <c r="B565" t="s">
        <v>21</v>
      </c>
      <c r="C565">
        <v>5</v>
      </c>
      <c r="D565" t="s">
        <v>128</v>
      </c>
      <c r="E565" t="s">
        <v>301</v>
      </c>
      <c r="F565">
        <v>4.4000000000000004</v>
      </c>
      <c r="G565">
        <v>2024</v>
      </c>
    </row>
    <row r="566" spans="1:7" hidden="1" x14ac:dyDescent="0.2">
      <c r="A566" t="s">
        <v>73</v>
      </c>
      <c r="B566" t="s">
        <v>21</v>
      </c>
      <c r="C566">
        <v>5</v>
      </c>
      <c r="D566" t="s">
        <v>127</v>
      </c>
      <c r="E566" t="s">
        <v>149</v>
      </c>
      <c r="F566">
        <v>13</v>
      </c>
      <c r="G566">
        <v>2024</v>
      </c>
    </row>
    <row r="567" spans="1:7" hidden="1" x14ac:dyDescent="0.2">
      <c r="A567" t="s">
        <v>73</v>
      </c>
      <c r="B567" t="s">
        <v>21</v>
      </c>
      <c r="C567">
        <v>5</v>
      </c>
      <c r="D567" t="s">
        <v>127</v>
      </c>
      <c r="E567" t="s">
        <v>148</v>
      </c>
      <c r="F567">
        <v>2.2000000000000002</v>
      </c>
      <c r="G567">
        <v>2024</v>
      </c>
    </row>
    <row r="568" spans="1:7" hidden="1" x14ac:dyDescent="0.2">
      <c r="A568" t="s">
        <v>73</v>
      </c>
      <c r="B568" t="s">
        <v>21</v>
      </c>
      <c r="C568">
        <v>5</v>
      </c>
      <c r="D568" t="s">
        <v>129</v>
      </c>
      <c r="E568" t="s">
        <v>327</v>
      </c>
      <c r="F568">
        <v>22.8</v>
      </c>
      <c r="G568">
        <v>2024</v>
      </c>
    </row>
    <row r="569" spans="1:7" hidden="1" x14ac:dyDescent="0.2">
      <c r="A569" t="s">
        <v>73</v>
      </c>
      <c r="B569" t="s">
        <v>21</v>
      </c>
      <c r="C569">
        <v>5</v>
      </c>
      <c r="D569" t="s">
        <v>131</v>
      </c>
      <c r="E569" t="s">
        <v>242</v>
      </c>
      <c r="F569">
        <v>6</v>
      </c>
      <c r="G569">
        <v>2024</v>
      </c>
    </row>
    <row r="570" spans="1:7" hidden="1" x14ac:dyDescent="0.2">
      <c r="A570" t="s">
        <v>73</v>
      </c>
      <c r="B570" t="s">
        <v>21</v>
      </c>
      <c r="C570">
        <v>5</v>
      </c>
      <c r="D570" t="s">
        <v>130</v>
      </c>
      <c r="E570" t="s">
        <v>326</v>
      </c>
      <c r="F570">
        <v>12</v>
      </c>
      <c r="G570">
        <v>2024</v>
      </c>
    </row>
    <row r="571" spans="1:7" hidden="1" x14ac:dyDescent="0.2">
      <c r="A571" t="s">
        <v>73</v>
      </c>
      <c r="B571" t="s">
        <v>21</v>
      </c>
      <c r="C571">
        <v>5</v>
      </c>
      <c r="D571" t="s">
        <v>294</v>
      </c>
      <c r="E571" t="s">
        <v>146</v>
      </c>
      <c r="F571">
        <v>2.5</v>
      </c>
      <c r="G571">
        <v>2024</v>
      </c>
    </row>
    <row r="572" spans="1:7" hidden="1" x14ac:dyDescent="0.2">
      <c r="A572" t="s">
        <v>26</v>
      </c>
      <c r="B572" t="s">
        <v>28</v>
      </c>
      <c r="C572">
        <v>5</v>
      </c>
      <c r="D572" t="s">
        <v>125</v>
      </c>
      <c r="E572" t="s">
        <v>212</v>
      </c>
      <c r="F572">
        <v>14.64</v>
      </c>
      <c r="G572">
        <v>2024</v>
      </c>
    </row>
    <row r="573" spans="1:7" hidden="1" x14ac:dyDescent="0.2">
      <c r="A573" t="s">
        <v>26</v>
      </c>
      <c r="B573" t="s">
        <v>28</v>
      </c>
      <c r="C573">
        <v>5</v>
      </c>
      <c r="D573" t="s">
        <v>128</v>
      </c>
      <c r="E573" t="s">
        <v>257</v>
      </c>
      <c r="F573">
        <v>10.3</v>
      </c>
      <c r="G573">
        <v>2024</v>
      </c>
    </row>
    <row r="574" spans="1:7" hidden="1" x14ac:dyDescent="0.2">
      <c r="A574" t="s">
        <v>26</v>
      </c>
      <c r="B574" t="s">
        <v>28</v>
      </c>
      <c r="C574">
        <v>5</v>
      </c>
      <c r="D574" t="s">
        <v>128</v>
      </c>
      <c r="E574" t="s">
        <v>330</v>
      </c>
      <c r="F574">
        <v>11.4</v>
      </c>
      <c r="G574">
        <v>2024</v>
      </c>
    </row>
    <row r="575" spans="1:7" hidden="1" x14ac:dyDescent="0.2">
      <c r="A575" t="s">
        <v>26</v>
      </c>
      <c r="B575" t="s">
        <v>28</v>
      </c>
      <c r="C575">
        <v>5</v>
      </c>
      <c r="D575" t="s">
        <v>128</v>
      </c>
      <c r="E575" t="s">
        <v>329</v>
      </c>
      <c r="F575">
        <v>10.3</v>
      </c>
      <c r="G575">
        <v>2024</v>
      </c>
    </row>
    <row r="576" spans="1:7" hidden="1" x14ac:dyDescent="0.2">
      <c r="A576" t="s">
        <v>26</v>
      </c>
      <c r="B576" t="s">
        <v>28</v>
      </c>
      <c r="C576">
        <v>5</v>
      </c>
      <c r="D576" t="s">
        <v>127</v>
      </c>
      <c r="E576" t="s">
        <v>256</v>
      </c>
      <c r="F576">
        <v>15</v>
      </c>
      <c r="G576">
        <v>2024</v>
      </c>
    </row>
    <row r="577" spans="1:7" hidden="1" x14ac:dyDescent="0.2">
      <c r="A577" t="s">
        <v>26</v>
      </c>
      <c r="B577" t="s">
        <v>28</v>
      </c>
      <c r="C577">
        <v>5</v>
      </c>
      <c r="D577" t="s">
        <v>127</v>
      </c>
      <c r="E577" t="s">
        <v>217</v>
      </c>
      <c r="F577">
        <v>8.1</v>
      </c>
      <c r="G577">
        <v>2024</v>
      </c>
    </row>
    <row r="578" spans="1:7" hidden="1" x14ac:dyDescent="0.2">
      <c r="A578" t="s">
        <v>26</v>
      </c>
      <c r="B578" t="s">
        <v>28</v>
      </c>
      <c r="C578">
        <v>5</v>
      </c>
      <c r="D578" t="s">
        <v>129</v>
      </c>
      <c r="E578" t="s">
        <v>331</v>
      </c>
      <c r="F578">
        <v>5.9</v>
      </c>
      <c r="G578">
        <v>2024</v>
      </c>
    </row>
    <row r="579" spans="1:7" hidden="1" x14ac:dyDescent="0.2">
      <c r="A579" t="s">
        <v>26</v>
      </c>
      <c r="B579" t="s">
        <v>28</v>
      </c>
      <c r="C579">
        <v>5</v>
      </c>
      <c r="D579" t="s">
        <v>131</v>
      </c>
      <c r="E579" t="s">
        <v>214</v>
      </c>
      <c r="F579">
        <v>14</v>
      </c>
      <c r="G579">
        <v>2024</v>
      </c>
    </row>
    <row r="580" spans="1:7" hidden="1" x14ac:dyDescent="0.2">
      <c r="A580" t="s">
        <v>26</v>
      </c>
      <c r="B580" t="s">
        <v>28</v>
      </c>
      <c r="C580">
        <v>5</v>
      </c>
      <c r="D580" t="s">
        <v>130</v>
      </c>
      <c r="E580" t="s">
        <v>167</v>
      </c>
      <c r="F580">
        <v>17</v>
      </c>
      <c r="G580">
        <v>2024</v>
      </c>
    </row>
    <row r="581" spans="1:7" hidden="1" x14ac:dyDescent="0.2">
      <c r="A581" t="s">
        <v>26</v>
      </c>
      <c r="B581" t="s">
        <v>28</v>
      </c>
      <c r="C581">
        <v>5</v>
      </c>
      <c r="D581" t="s">
        <v>294</v>
      </c>
      <c r="E581" t="s">
        <v>219</v>
      </c>
      <c r="F581">
        <v>5.5</v>
      </c>
      <c r="G581">
        <v>2024</v>
      </c>
    </row>
    <row r="582" spans="1:7" hidden="1" x14ac:dyDescent="0.2">
      <c r="A582" t="s">
        <v>31</v>
      </c>
      <c r="B582" t="s">
        <v>33</v>
      </c>
      <c r="C582">
        <v>5</v>
      </c>
      <c r="D582" t="s">
        <v>125</v>
      </c>
      <c r="E582" t="s">
        <v>202</v>
      </c>
      <c r="F582">
        <v>33.42</v>
      </c>
      <c r="G582">
        <v>2024</v>
      </c>
    </row>
    <row r="583" spans="1:7" hidden="1" x14ac:dyDescent="0.2">
      <c r="A583" t="s">
        <v>31</v>
      </c>
      <c r="B583" t="s">
        <v>33</v>
      </c>
      <c r="C583">
        <v>5</v>
      </c>
      <c r="D583" t="s">
        <v>128</v>
      </c>
      <c r="E583" t="s">
        <v>199</v>
      </c>
      <c r="F583">
        <v>11.2</v>
      </c>
      <c r="G583">
        <v>2024</v>
      </c>
    </row>
    <row r="584" spans="1:7" hidden="1" x14ac:dyDescent="0.2">
      <c r="A584" t="s">
        <v>31</v>
      </c>
      <c r="B584" t="s">
        <v>33</v>
      </c>
      <c r="C584">
        <v>5</v>
      </c>
      <c r="D584" t="s">
        <v>128</v>
      </c>
      <c r="E584" t="s">
        <v>201</v>
      </c>
      <c r="F584">
        <v>8</v>
      </c>
      <c r="G584">
        <v>2024</v>
      </c>
    </row>
    <row r="585" spans="1:7" hidden="1" x14ac:dyDescent="0.2">
      <c r="A585" t="s">
        <v>31</v>
      </c>
      <c r="B585" t="s">
        <v>33</v>
      </c>
      <c r="C585">
        <v>5</v>
      </c>
      <c r="D585" t="s">
        <v>128</v>
      </c>
      <c r="E585" t="s">
        <v>292</v>
      </c>
      <c r="F585">
        <v>1.8</v>
      </c>
      <c r="G585">
        <v>2024</v>
      </c>
    </row>
    <row r="586" spans="1:7" hidden="1" x14ac:dyDescent="0.2">
      <c r="A586" t="s">
        <v>31</v>
      </c>
      <c r="B586" t="s">
        <v>33</v>
      </c>
      <c r="C586">
        <v>5</v>
      </c>
      <c r="D586" t="s">
        <v>127</v>
      </c>
      <c r="E586" t="s">
        <v>332</v>
      </c>
      <c r="F586">
        <v>15.3</v>
      </c>
      <c r="G586">
        <v>2024</v>
      </c>
    </row>
    <row r="587" spans="1:7" hidden="1" x14ac:dyDescent="0.2">
      <c r="A587" t="s">
        <v>31</v>
      </c>
      <c r="B587" t="s">
        <v>33</v>
      </c>
      <c r="C587">
        <v>5</v>
      </c>
      <c r="D587" t="s">
        <v>127</v>
      </c>
      <c r="E587" t="s">
        <v>291</v>
      </c>
      <c r="F587">
        <v>13.8</v>
      </c>
      <c r="G587">
        <v>2024</v>
      </c>
    </row>
    <row r="588" spans="1:7" hidden="1" x14ac:dyDescent="0.2">
      <c r="A588" t="s">
        <v>31</v>
      </c>
      <c r="B588" t="s">
        <v>33</v>
      </c>
      <c r="C588">
        <v>5</v>
      </c>
      <c r="D588" t="s">
        <v>129</v>
      </c>
      <c r="E588" t="s">
        <v>290</v>
      </c>
      <c r="F588">
        <v>8.5</v>
      </c>
      <c r="G588">
        <v>2024</v>
      </c>
    </row>
    <row r="589" spans="1:7" hidden="1" x14ac:dyDescent="0.2">
      <c r="A589" t="s">
        <v>31</v>
      </c>
      <c r="B589" t="s">
        <v>33</v>
      </c>
      <c r="C589">
        <v>5</v>
      </c>
      <c r="D589" t="s">
        <v>131</v>
      </c>
      <c r="E589" t="s">
        <v>195</v>
      </c>
      <c r="F589">
        <v>16</v>
      </c>
      <c r="G589">
        <v>2024</v>
      </c>
    </row>
    <row r="590" spans="1:7" hidden="1" x14ac:dyDescent="0.2">
      <c r="A590" t="s">
        <v>31</v>
      </c>
      <c r="B590" t="s">
        <v>33</v>
      </c>
      <c r="C590">
        <v>5</v>
      </c>
      <c r="D590" t="s">
        <v>130</v>
      </c>
      <c r="E590" t="s">
        <v>289</v>
      </c>
      <c r="F590">
        <v>7</v>
      </c>
      <c r="G590">
        <v>2024</v>
      </c>
    </row>
    <row r="591" spans="1:7" hidden="1" x14ac:dyDescent="0.2">
      <c r="A591" t="s">
        <v>31</v>
      </c>
      <c r="B591" t="s">
        <v>33</v>
      </c>
      <c r="C591">
        <v>5</v>
      </c>
      <c r="D591" t="s">
        <v>293</v>
      </c>
      <c r="E591" t="s">
        <v>197</v>
      </c>
      <c r="F591">
        <v>9.6</v>
      </c>
      <c r="G591">
        <v>2024</v>
      </c>
    </row>
    <row r="592" spans="1:7" hidden="1" x14ac:dyDescent="0.2">
      <c r="A592" t="s">
        <v>77</v>
      </c>
      <c r="B592" t="s">
        <v>45</v>
      </c>
      <c r="C592">
        <v>5</v>
      </c>
      <c r="D592" t="s">
        <v>125</v>
      </c>
      <c r="E592" t="s">
        <v>159</v>
      </c>
      <c r="F592">
        <v>15.94</v>
      </c>
      <c r="G592">
        <v>2024</v>
      </c>
    </row>
    <row r="593" spans="1:7" hidden="1" x14ac:dyDescent="0.2">
      <c r="A593" t="s">
        <v>77</v>
      </c>
      <c r="B593" t="s">
        <v>45</v>
      </c>
      <c r="C593">
        <v>5</v>
      </c>
      <c r="D593" t="s">
        <v>128</v>
      </c>
      <c r="E593" t="s">
        <v>305</v>
      </c>
      <c r="F593">
        <v>5.0999999999999996</v>
      </c>
      <c r="G593">
        <v>2024</v>
      </c>
    </row>
    <row r="594" spans="1:7" hidden="1" x14ac:dyDescent="0.2">
      <c r="A594" t="s">
        <v>77</v>
      </c>
      <c r="B594" t="s">
        <v>45</v>
      </c>
      <c r="C594">
        <v>5</v>
      </c>
      <c r="D594" t="s">
        <v>128</v>
      </c>
      <c r="E594" t="s">
        <v>162</v>
      </c>
      <c r="F594">
        <v>4.5999999999999996</v>
      </c>
      <c r="G594">
        <v>2024</v>
      </c>
    </row>
    <row r="595" spans="1:7" hidden="1" x14ac:dyDescent="0.2">
      <c r="A595" t="s">
        <v>77</v>
      </c>
      <c r="B595" t="s">
        <v>45</v>
      </c>
      <c r="C595">
        <v>5</v>
      </c>
      <c r="D595" t="s">
        <v>128</v>
      </c>
      <c r="E595" t="s">
        <v>160</v>
      </c>
      <c r="F595">
        <v>4.0999999999999996</v>
      </c>
      <c r="G595">
        <v>2024</v>
      </c>
    </row>
    <row r="596" spans="1:7" hidden="1" x14ac:dyDescent="0.2">
      <c r="A596" t="s">
        <v>77</v>
      </c>
      <c r="B596" t="s">
        <v>45</v>
      </c>
      <c r="C596">
        <v>5</v>
      </c>
      <c r="D596" t="s">
        <v>127</v>
      </c>
      <c r="E596" t="s">
        <v>306</v>
      </c>
      <c r="F596">
        <v>15.5</v>
      </c>
      <c r="G596">
        <v>2024</v>
      </c>
    </row>
    <row r="597" spans="1:7" hidden="1" x14ac:dyDescent="0.2">
      <c r="A597" t="s">
        <v>77</v>
      </c>
      <c r="B597" t="s">
        <v>45</v>
      </c>
      <c r="C597">
        <v>5</v>
      </c>
      <c r="D597" t="s">
        <v>127</v>
      </c>
      <c r="E597" t="s">
        <v>252</v>
      </c>
      <c r="F597">
        <v>8.6999999999999993</v>
      </c>
      <c r="G597">
        <v>2024</v>
      </c>
    </row>
    <row r="598" spans="1:7" hidden="1" x14ac:dyDescent="0.2">
      <c r="A598" t="s">
        <v>77</v>
      </c>
      <c r="B598" t="s">
        <v>45</v>
      </c>
      <c r="C598">
        <v>5</v>
      </c>
      <c r="D598" t="s">
        <v>129</v>
      </c>
      <c r="E598" t="s">
        <v>165</v>
      </c>
      <c r="F598">
        <v>4.2</v>
      </c>
      <c r="G598">
        <v>2024</v>
      </c>
    </row>
    <row r="599" spans="1:7" hidden="1" x14ac:dyDescent="0.2">
      <c r="A599" t="s">
        <v>77</v>
      </c>
      <c r="B599" t="s">
        <v>45</v>
      </c>
      <c r="C599">
        <v>5</v>
      </c>
      <c r="D599" t="s">
        <v>131</v>
      </c>
      <c r="E599" t="s">
        <v>166</v>
      </c>
      <c r="F599">
        <v>13</v>
      </c>
      <c r="G599">
        <v>2024</v>
      </c>
    </row>
    <row r="600" spans="1:7" hidden="1" x14ac:dyDescent="0.2">
      <c r="A600" t="s">
        <v>77</v>
      </c>
      <c r="B600" t="s">
        <v>45</v>
      </c>
      <c r="C600">
        <v>5</v>
      </c>
      <c r="D600" t="s">
        <v>130</v>
      </c>
      <c r="E600" t="s">
        <v>142</v>
      </c>
      <c r="F600">
        <v>7</v>
      </c>
      <c r="G600">
        <v>2024</v>
      </c>
    </row>
    <row r="601" spans="1:7" hidden="1" x14ac:dyDescent="0.2">
      <c r="A601" t="s">
        <v>77</v>
      </c>
      <c r="B601" t="s">
        <v>45</v>
      </c>
      <c r="C601">
        <v>5</v>
      </c>
      <c r="D601" t="s">
        <v>294</v>
      </c>
      <c r="E601" t="s">
        <v>161</v>
      </c>
      <c r="F601">
        <v>2</v>
      </c>
      <c r="G601">
        <v>2024</v>
      </c>
    </row>
    <row r="602" spans="1:7" hidden="1" x14ac:dyDescent="0.2">
      <c r="A602" t="s">
        <v>14</v>
      </c>
      <c r="B602" t="s">
        <v>16</v>
      </c>
      <c r="C602">
        <v>6</v>
      </c>
      <c r="D602" t="s">
        <v>127</v>
      </c>
      <c r="E602" t="s">
        <v>335</v>
      </c>
      <c r="F602">
        <v>2.4</v>
      </c>
      <c r="G602">
        <v>2024</v>
      </c>
    </row>
    <row r="603" spans="1:7" hidden="1" x14ac:dyDescent="0.2">
      <c r="A603" t="s">
        <v>14</v>
      </c>
      <c r="B603" t="s">
        <v>16</v>
      </c>
      <c r="C603">
        <v>6</v>
      </c>
      <c r="D603" t="s">
        <v>125</v>
      </c>
      <c r="E603" t="s">
        <v>334</v>
      </c>
      <c r="F603">
        <v>11.8</v>
      </c>
      <c r="G603">
        <v>2024</v>
      </c>
    </row>
    <row r="604" spans="1:7" hidden="1" x14ac:dyDescent="0.2">
      <c r="A604" t="s">
        <v>14</v>
      </c>
      <c r="B604" t="s">
        <v>16</v>
      </c>
      <c r="C604">
        <v>6</v>
      </c>
      <c r="D604" t="s">
        <v>128</v>
      </c>
      <c r="E604" t="s">
        <v>288</v>
      </c>
      <c r="F604">
        <v>13.3</v>
      </c>
      <c r="G604">
        <v>2024</v>
      </c>
    </row>
    <row r="605" spans="1:7" hidden="1" x14ac:dyDescent="0.2">
      <c r="A605" t="s">
        <v>14</v>
      </c>
      <c r="B605" t="s">
        <v>16</v>
      </c>
      <c r="C605">
        <v>6</v>
      </c>
      <c r="D605" t="s">
        <v>294</v>
      </c>
      <c r="E605" t="s">
        <v>308</v>
      </c>
      <c r="F605">
        <v>1.4</v>
      </c>
      <c r="G605">
        <v>2024</v>
      </c>
    </row>
    <row r="606" spans="1:7" hidden="1" x14ac:dyDescent="0.2">
      <c r="A606" t="s">
        <v>14</v>
      </c>
      <c r="B606" t="s">
        <v>16</v>
      </c>
      <c r="C606">
        <v>6</v>
      </c>
      <c r="D606" t="s">
        <v>128</v>
      </c>
      <c r="E606" t="s">
        <v>132</v>
      </c>
      <c r="F606">
        <v>11.8</v>
      </c>
      <c r="G606">
        <v>2024</v>
      </c>
    </row>
    <row r="607" spans="1:7" hidden="1" x14ac:dyDescent="0.2">
      <c r="A607" t="s">
        <v>14</v>
      </c>
      <c r="B607" t="s">
        <v>16</v>
      </c>
      <c r="C607">
        <v>6</v>
      </c>
      <c r="D607" t="s">
        <v>129</v>
      </c>
      <c r="E607" t="s">
        <v>137</v>
      </c>
      <c r="F607">
        <v>13.6</v>
      </c>
      <c r="G607">
        <v>2024</v>
      </c>
    </row>
    <row r="608" spans="1:7" hidden="1" x14ac:dyDescent="0.2">
      <c r="A608" t="s">
        <v>14</v>
      </c>
      <c r="B608" t="s">
        <v>16</v>
      </c>
      <c r="C608">
        <v>6</v>
      </c>
      <c r="D608" t="s">
        <v>131</v>
      </c>
      <c r="E608" t="s">
        <v>183</v>
      </c>
      <c r="F608">
        <v>10</v>
      </c>
      <c r="G608">
        <v>2024</v>
      </c>
    </row>
    <row r="609" spans="1:7" hidden="1" x14ac:dyDescent="0.2">
      <c r="A609" t="s">
        <v>14</v>
      </c>
      <c r="B609" t="s">
        <v>16</v>
      </c>
      <c r="C609">
        <v>6</v>
      </c>
      <c r="D609" t="s">
        <v>130</v>
      </c>
      <c r="E609" t="s">
        <v>238</v>
      </c>
      <c r="F609">
        <v>4</v>
      </c>
      <c r="G609">
        <v>2024</v>
      </c>
    </row>
    <row r="610" spans="1:7" hidden="1" x14ac:dyDescent="0.2">
      <c r="A610" t="s">
        <v>14</v>
      </c>
      <c r="B610" t="s">
        <v>16</v>
      </c>
      <c r="C610">
        <v>6</v>
      </c>
      <c r="D610" t="s">
        <v>128</v>
      </c>
      <c r="E610" t="s">
        <v>134</v>
      </c>
      <c r="F610">
        <v>17.899999999999999</v>
      </c>
      <c r="G610">
        <v>2024</v>
      </c>
    </row>
    <row r="611" spans="1:7" hidden="1" x14ac:dyDescent="0.2">
      <c r="A611" t="s">
        <v>14</v>
      </c>
      <c r="B611" t="s">
        <v>16</v>
      </c>
      <c r="C611">
        <v>6</v>
      </c>
      <c r="D611" t="s">
        <v>127</v>
      </c>
      <c r="E611" t="s">
        <v>136</v>
      </c>
      <c r="F611">
        <v>3.1</v>
      </c>
      <c r="G611">
        <v>2024</v>
      </c>
    </row>
    <row r="612" spans="1:7" hidden="1" x14ac:dyDescent="0.2">
      <c r="A612" t="s">
        <v>76</v>
      </c>
      <c r="B612" t="s">
        <v>32</v>
      </c>
      <c r="C612">
        <v>6</v>
      </c>
      <c r="D612" t="s">
        <v>125</v>
      </c>
      <c r="E612" t="s">
        <v>230</v>
      </c>
      <c r="F612">
        <v>19.82</v>
      </c>
      <c r="G612">
        <v>2024</v>
      </c>
    </row>
    <row r="613" spans="1:7" hidden="1" x14ac:dyDescent="0.2">
      <c r="A613" t="s">
        <v>76</v>
      </c>
      <c r="B613" t="s">
        <v>32</v>
      </c>
      <c r="C613">
        <v>6</v>
      </c>
      <c r="D613" t="s">
        <v>128</v>
      </c>
      <c r="E613" t="s">
        <v>336</v>
      </c>
      <c r="F613">
        <v>16</v>
      </c>
      <c r="G613">
        <v>2024</v>
      </c>
    </row>
    <row r="614" spans="1:7" hidden="1" x14ac:dyDescent="0.2">
      <c r="A614" t="s">
        <v>76</v>
      </c>
      <c r="B614" t="s">
        <v>32</v>
      </c>
      <c r="C614">
        <v>6</v>
      </c>
      <c r="D614" t="s">
        <v>128</v>
      </c>
      <c r="E614" t="s">
        <v>231</v>
      </c>
      <c r="F614">
        <v>9.6999999999999993</v>
      </c>
      <c r="G614">
        <v>2024</v>
      </c>
    </row>
    <row r="615" spans="1:7" hidden="1" x14ac:dyDescent="0.2">
      <c r="A615" t="s">
        <v>76</v>
      </c>
      <c r="B615" t="s">
        <v>32</v>
      </c>
      <c r="C615">
        <v>6</v>
      </c>
      <c r="D615" t="s">
        <v>128</v>
      </c>
      <c r="E615" t="s">
        <v>315</v>
      </c>
      <c r="F615">
        <v>7.5</v>
      </c>
      <c r="G615">
        <v>2024</v>
      </c>
    </row>
    <row r="616" spans="1:7" hidden="1" x14ac:dyDescent="0.2">
      <c r="A616" t="s">
        <v>76</v>
      </c>
      <c r="B616" t="s">
        <v>32</v>
      </c>
      <c r="C616">
        <v>6</v>
      </c>
      <c r="D616" t="s">
        <v>127</v>
      </c>
      <c r="E616" t="s">
        <v>278</v>
      </c>
      <c r="F616">
        <v>19.899999999999999</v>
      </c>
      <c r="G616">
        <v>2024</v>
      </c>
    </row>
    <row r="617" spans="1:7" hidden="1" x14ac:dyDescent="0.2">
      <c r="A617" t="s">
        <v>76</v>
      </c>
      <c r="B617" t="s">
        <v>32</v>
      </c>
      <c r="C617">
        <v>6</v>
      </c>
      <c r="D617" t="s">
        <v>127</v>
      </c>
      <c r="E617" t="s">
        <v>259</v>
      </c>
      <c r="F617">
        <v>17.2</v>
      </c>
      <c r="G617">
        <v>2024</v>
      </c>
    </row>
    <row r="618" spans="1:7" hidden="1" x14ac:dyDescent="0.2">
      <c r="A618" t="s">
        <v>76</v>
      </c>
      <c r="B618" t="s">
        <v>32</v>
      </c>
      <c r="C618">
        <v>6</v>
      </c>
      <c r="D618" t="s">
        <v>129</v>
      </c>
      <c r="E618" t="s">
        <v>236</v>
      </c>
      <c r="F618">
        <v>20.3</v>
      </c>
      <c r="G618">
        <v>2024</v>
      </c>
    </row>
    <row r="619" spans="1:7" hidden="1" x14ac:dyDescent="0.2">
      <c r="A619" t="s">
        <v>76</v>
      </c>
      <c r="B619" t="s">
        <v>32</v>
      </c>
      <c r="C619">
        <v>6</v>
      </c>
      <c r="D619" t="s">
        <v>131</v>
      </c>
      <c r="E619" t="s">
        <v>237</v>
      </c>
      <c r="F619">
        <v>5</v>
      </c>
      <c r="G619">
        <v>2024</v>
      </c>
    </row>
    <row r="620" spans="1:7" hidden="1" x14ac:dyDescent="0.2">
      <c r="A620" t="s">
        <v>76</v>
      </c>
      <c r="B620" t="s">
        <v>32</v>
      </c>
      <c r="C620">
        <v>6</v>
      </c>
      <c r="D620" t="s">
        <v>130</v>
      </c>
      <c r="E620" t="s">
        <v>281</v>
      </c>
      <c r="F620">
        <v>10</v>
      </c>
      <c r="G620">
        <v>2024</v>
      </c>
    </row>
    <row r="621" spans="1:7" hidden="1" x14ac:dyDescent="0.2">
      <c r="A621" t="s">
        <v>76</v>
      </c>
      <c r="B621" t="s">
        <v>32</v>
      </c>
      <c r="C621">
        <v>6</v>
      </c>
      <c r="D621" t="s">
        <v>294</v>
      </c>
      <c r="E621" t="s">
        <v>261</v>
      </c>
      <c r="F621">
        <v>4.7</v>
      </c>
      <c r="G621">
        <v>2024</v>
      </c>
    </row>
    <row r="622" spans="1:7" hidden="1" x14ac:dyDescent="0.2">
      <c r="A622" t="s">
        <v>42</v>
      </c>
      <c r="B622" t="s">
        <v>17</v>
      </c>
      <c r="C622">
        <v>6</v>
      </c>
      <c r="D622" t="s">
        <v>125</v>
      </c>
      <c r="E622" t="s">
        <v>311</v>
      </c>
      <c r="F622">
        <v>23.7</v>
      </c>
      <c r="G622">
        <v>2024</v>
      </c>
    </row>
    <row r="623" spans="1:7" hidden="1" x14ac:dyDescent="0.2">
      <c r="A623" t="s">
        <v>42</v>
      </c>
      <c r="B623" t="s">
        <v>17</v>
      </c>
      <c r="C623">
        <v>6</v>
      </c>
      <c r="D623" t="s">
        <v>128</v>
      </c>
      <c r="E623" t="s">
        <v>274</v>
      </c>
      <c r="F623">
        <v>15.2</v>
      </c>
      <c r="G623">
        <v>2024</v>
      </c>
    </row>
    <row r="624" spans="1:7" hidden="1" x14ac:dyDescent="0.2">
      <c r="A624" t="s">
        <v>42</v>
      </c>
      <c r="B624" t="s">
        <v>17</v>
      </c>
      <c r="C624">
        <v>6</v>
      </c>
      <c r="D624" t="s">
        <v>128</v>
      </c>
      <c r="E624" t="s">
        <v>152</v>
      </c>
      <c r="F624">
        <v>4.4000000000000004</v>
      </c>
      <c r="G624">
        <v>2024</v>
      </c>
    </row>
    <row r="625" spans="1:7" hidden="1" x14ac:dyDescent="0.2">
      <c r="A625" t="s">
        <v>42</v>
      </c>
      <c r="B625" t="s">
        <v>17</v>
      </c>
      <c r="C625">
        <v>6</v>
      </c>
      <c r="D625" t="s">
        <v>128</v>
      </c>
      <c r="E625" t="s">
        <v>337</v>
      </c>
      <c r="F625">
        <v>2.8</v>
      </c>
      <c r="G625">
        <v>2024</v>
      </c>
    </row>
    <row r="626" spans="1:7" hidden="1" x14ac:dyDescent="0.2">
      <c r="A626" t="s">
        <v>42</v>
      </c>
      <c r="B626" t="s">
        <v>17</v>
      </c>
      <c r="C626">
        <v>6</v>
      </c>
      <c r="D626" t="s">
        <v>127</v>
      </c>
      <c r="E626" t="s">
        <v>154</v>
      </c>
      <c r="F626">
        <v>25.2</v>
      </c>
      <c r="G626">
        <v>2024</v>
      </c>
    </row>
    <row r="627" spans="1:7" hidden="1" x14ac:dyDescent="0.2">
      <c r="A627" t="s">
        <v>42</v>
      </c>
      <c r="B627" t="s">
        <v>17</v>
      </c>
      <c r="C627">
        <v>6</v>
      </c>
      <c r="D627" t="s">
        <v>127</v>
      </c>
      <c r="E627" t="s">
        <v>314</v>
      </c>
      <c r="F627">
        <v>13.4</v>
      </c>
      <c r="G627">
        <v>2024</v>
      </c>
    </row>
    <row r="628" spans="1:7" hidden="1" x14ac:dyDescent="0.2">
      <c r="A628" t="s">
        <v>42</v>
      </c>
      <c r="B628" t="s">
        <v>17</v>
      </c>
      <c r="C628">
        <v>6</v>
      </c>
      <c r="D628" t="s">
        <v>129</v>
      </c>
      <c r="E628" t="s">
        <v>156</v>
      </c>
      <c r="F628">
        <v>11.7</v>
      </c>
      <c r="G628">
        <v>2024</v>
      </c>
    </row>
    <row r="629" spans="1:7" hidden="1" x14ac:dyDescent="0.2">
      <c r="A629" t="s">
        <v>42</v>
      </c>
      <c r="B629" t="s">
        <v>17</v>
      </c>
      <c r="C629">
        <v>6</v>
      </c>
      <c r="D629" t="s">
        <v>131</v>
      </c>
      <c r="E629" t="s">
        <v>143</v>
      </c>
      <c r="F629">
        <v>12</v>
      </c>
      <c r="G629">
        <v>2024</v>
      </c>
    </row>
    <row r="630" spans="1:7" hidden="1" x14ac:dyDescent="0.2">
      <c r="A630" t="s">
        <v>42</v>
      </c>
      <c r="B630" t="s">
        <v>17</v>
      </c>
      <c r="C630">
        <v>6</v>
      </c>
      <c r="D630" t="s">
        <v>130</v>
      </c>
      <c r="E630" t="s">
        <v>157</v>
      </c>
      <c r="F630">
        <v>5</v>
      </c>
      <c r="G630">
        <v>2024</v>
      </c>
    </row>
    <row r="631" spans="1:7" hidden="1" x14ac:dyDescent="0.2">
      <c r="A631" t="s">
        <v>42</v>
      </c>
      <c r="B631" t="s">
        <v>17</v>
      </c>
      <c r="C631">
        <v>6</v>
      </c>
      <c r="D631" t="s">
        <v>297</v>
      </c>
      <c r="E631" t="s">
        <v>299</v>
      </c>
      <c r="F631">
        <v>2.6</v>
      </c>
      <c r="G631">
        <v>2024</v>
      </c>
    </row>
    <row r="632" spans="1:7" hidden="1" x14ac:dyDescent="0.2">
      <c r="A632" t="s">
        <v>26</v>
      </c>
      <c r="B632" t="s">
        <v>28</v>
      </c>
      <c r="C632">
        <v>6</v>
      </c>
      <c r="D632" t="s">
        <v>125</v>
      </c>
      <c r="E632" t="s">
        <v>212</v>
      </c>
      <c r="F632">
        <v>24.4</v>
      </c>
      <c r="G632">
        <v>2024</v>
      </c>
    </row>
    <row r="633" spans="1:7" hidden="1" x14ac:dyDescent="0.2">
      <c r="A633" t="s">
        <v>26</v>
      </c>
      <c r="B633" t="s">
        <v>28</v>
      </c>
      <c r="C633">
        <v>6</v>
      </c>
      <c r="D633" t="s">
        <v>128</v>
      </c>
      <c r="E633" t="s">
        <v>330</v>
      </c>
      <c r="F633">
        <v>20.399999999999999</v>
      </c>
      <c r="G633">
        <v>2024</v>
      </c>
    </row>
    <row r="634" spans="1:7" hidden="1" x14ac:dyDescent="0.2">
      <c r="A634" t="s">
        <v>26</v>
      </c>
      <c r="B634" t="s">
        <v>28</v>
      </c>
      <c r="C634">
        <v>6</v>
      </c>
      <c r="D634" t="s">
        <v>128</v>
      </c>
      <c r="E634" t="s">
        <v>220</v>
      </c>
      <c r="F634">
        <v>18.399999999999999</v>
      </c>
      <c r="G634">
        <v>2024</v>
      </c>
    </row>
    <row r="635" spans="1:7" hidden="1" x14ac:dyDescent="0.2">
      <c r="A635" t="s">
        <v>26</v>
      </c>
      <c r="B635" t="s">
        <v>28</v>
      </c>
      <c r="C635">
        <v>6</v>
      </c>
      <c r="D635" t="s">
        <v>128</v>
      </c>
      <c r="E635" t="s">
        <v>329</v>
      </c>
      <c r="F635">
        <v>9.1</v>
      </c>
      <c r="G635">
        <v>2024</v>
      </c>
    </row>
    <row r="636" spans="1:7" hidden="1" x14ac:dyDescent="0.2">
      <c r="A636" t="s">
        <v>26</v>
      </c>
      <c r="B636" t="s">
        <v>28</v>
      </c>
      <c r="C636">
        <v>6</v>
      </c>
      <c r="D636" t="s">
        <v>127</v>
      </c>
      <c r="E636" t="s">
        <v>338</v>
      </c>
      <c r="F636">
        <v>15</v>
      </c>
      <c r="G636">
        <v>2024</v>
      </c>
    </row>
    <row r="637" spans="1:7" hidden="1" x14ac:dyDescent="0.2">
      <c r="A637" t="s">
        <v>26</v>
      </c>
      <c r="B637" t="s">
        <v>28</v>
      </c>
      <c r="C637">
        <v>6</v>
      </c>
      <c r="D637" t="s">
        <v>127</v>
      </c>
      <c r="E637" t="s">
        <v>216</v>
      </c>
      <c r="F637">
        <v>6.4</v>
      </c>
      <c r="G637">
        <v>2024</v>
      </c>
    </row>
    <row r="638" spans="1:7" hidden="1" x14ac:dyDescent="0.2">
      <c r="A638" t="s">
        <v>26</v>
      </c>
      <c r="B638" t="s">
        <v>28</v>
      </c>
      <c r="C638">
        <v>6</v>
      </c>
      <c r="D638" t="s">
        <v>129</v>
      </c>
      <c r="E638" t="s">
        <v>331</v>
      </c>
      <c r="F638">
        <v>8.5</v>
      </c>
      <c r="G638">
        <v>2024</v>
      </c>
    </row>
    <row r="639" spans="1:7" hidden="1" x14ac:dyDescent="0.2">
      <c r="A639" t="s">
        <v>26</v>
      </c>
      <c r="B639" t="s">
        <v>28</v>
      </c>
      <c r="C639">
        <v>6</v>
      </c>
      <c r="D639" t="s">
        <v>131</v>
      </c>
      <c r="E639" t="s">
        <v>339</v>
      </c>
      <c r="F639">
        <v>9</v>
      </c>
      <c r="G639">
        <v>2024</v>
      </c>
    </row>
    <row r="640" spans="1:7" hidden="1" x14ac:dyDescent="0.2">
      <c r="A640" t="s">
        <v>26</v>
      </c>
      <c r="B640" t="s">
        <v>28</v>
      </c>
      <c r="C640">
        <v>6</v>
      </c>
      <c r="D640" t="s">
        <v>130</v>
      </c>
      <c r="E640" t="s">
        <v>215</v>
      </c>
      <c r="F640">
        <v>6</v>
      </c>
      <c r="G640">
        <v>2024</v>
      </c>
    </row>
    <row r="641" spans="1:7" hidden="1" x14ac:dyDescent="0.2">
      <c r="A641" t="s">
        <v>26</v>
      </c>
      <c r="B641" t="s">
        <v>28</v>
      </c>
      <c r="C641">
        <v>6</v>
      </c>
      <c r="D641" t="s">
        <v>294</v>
      </c>
      <c r="E641" t="s">
        <v>219</v>
      </c>
      <c r="F641">
        <v>6.3</v>
      </c>
      <c r="G641">
        <v>2024</v>
      </c>
    </row>
    <row r="642" spans="1:7" hidden="1" x14ac:dyDescent="0.2">
      <c r="A642" t="s">
        <v>73</v>
      </c>
      <c r="B642" t="s">
        <v>21</v>
      </c>
      <c r="C642">
        <v>6</v>
      </c>
      <c r="D642" t="s">
        <v>125</v>
      </c>
      <c r="E642" t="s">
        <v>141</v>
      </c>
      <c r="F642">
        <v>3.22</v>
      </c>
      <c r="G642">
        <v>2024</v>
      </c>
    </row>
    <row r="643" spans="1:7" hidden="1" x14ac:dyDescent="0.2">
      <c r="A643" t="s">
        <v>73</v>
      </c>
      <c r="B643" t="s">
        <v>21</v>
      </c>
      <c r="C643">
        <v>6</v>
      </c>
      <c r="D643" t="s">
        <v>128</v>
      </c>
      <c r="E643" t="s">
        <v>146</v>
      </c>
      <c r="F643">
        <v>19.2</v>
      </c>
      <c r="G643">
        <v>2024</v>
      </c>
    </row>
    <row r="644" spans="1:7" hidden="1" x14ac:dyDescent="0.2">
      <c r="A644" t="s">
        <v>73</v>
      </c>
      <c r="B644" t="s">
        <v>21</v>
      </c>
      <c r="C644">
        <v>6</v>
      </c>
      <c r="D644" t="s">
        <v>128</v>
      </c>
      <c r="E644" t="s">
        <v>145</v>
      </c>
      <c r="F644">
        <v>20.6</v>
      </c>
      <c r="G644">
        <v>2024</v>
      </c>
    </row>
    <row r="645" spans="1:7" hidden="1" x14ac:dyDescent="0.2">
      <c r="A645" t="s">
        <v>73</v>
      </c>
      <c r="B645" t="s">
        <v>21</v>
      </c>
      <c r="C645">
        <v>6</v>
      </c>
      <c r="D645" t="s">
        <v>128</v>
      </c>
      <c r="E645" t="s">
        <v>328</v>
      </c>
      <c r="F645">
        <v>5.3</v>
      </c>
      <c r="G645">
        <v>2024</v>
      </c>
    </row>
    <row r="646" spans="1:7" hidden="1" x14ac:dyDescent="0.2">
      <c r="A646" t="s">
        <v>73</v>
      </c>
      <c r="B646" t="s">
        <v>21</v>
      </c>
      <c r="C646">
        <v>6</v>
      </c>
      <c r="D646" t="s">
        <v>127</v>
      </c>
      <c r="E646" t="s">
        <v>149</v>
      </c>
      <c r="F646">
        <v>4.5999999999999996</v>
      </c>
      <c r="G646">
        <v>2024</v>
      </c>
    </row>
    <row r="647" spans="1:7" hidden="1" x14ac:dyDescent="0.2">
      <c r="A647" t="s">
        <v>73</v>
      </c>
      <c r="B647" t="s">
        <v>21</v>
      </c>
      <c r="C647">
        <v>6</v>
      </c>
      <c r="D647" t="s">
        <v>127</v>
      </c>
      <c r="E647" t="s">
        <v>340</v>
      </c>
      <c r="F647">
        <v>0.8</v>
      </c>
      <c r="G647">
        <v>2024</v>
      </c>
    </row>
    <row r="648" spans="1:7" hidden="1" x14ac:dyDescent="0.2">
      <c r="A648" t="s">
        <v>73</v>
      </c>
      <c r="B648" t="s">
        <v>21</v>
      </c>
      <c r="C648">
        <v>6</v>
      </c>
      <c r="D648" t="s">
        <v>129</v>
      </c>
      <c r="E648" t="s">
        <v>327</v>
      </c>
      <c r="F648">
        <v>2.5</v>
      </c>
      <c r="G648">
        <v>2024</v>
      </c>
    </row>
    <row r="649" spans="1:7" hidden="1" x14ac:dyDescent="0.2">
      <c r="A649" t="s">
        <v>73</v>
      </c>
      <c r="B649" t="s">
        <v>21</v>
      </c>
      <c r="C649">
        <v>6</v>
      </c>
      <c r="D649" t="s">
        <v>131</v>
      </c>
      <c r="E649" t="s">
        <v>242</v>
      </c>
      <c r="F649">
        <v>17</v>
      </c>
      <c r="G649">
        <v>2024</v>
      </c>
    </row>
    <row r="650" spans="1:7" hidden="1" x14ac:dyDescent="0.2">
      <c r="A650" t="s">
        <v>73</v>
      </c>
      <c r="B650" t="s">
        <v>21</v>
      </c>
      <c r="C650">
        <v>6</v>
      </c>
      <c r="D650" t="s">
        <v>130</v>
      </c>
      <c r="E650" t="s">
        <v>326</v>
      </c>
      <c r="F650">
        <v>9</v>
      </c>
      <c r="G650">
        <v>2024</v>
      </c>
    </row>
    <row r="651" spans="1:7" hidden="1" x14ac:dyDescent="0.2">
      <c r="A651" t="s">
        <v>73</v>
      </c>
      <c r="B651" t="s">
        <v>21</v>
      </c>
      <c r="C651">
        <v>6</v>
      </c>
      <c r="D651" t="s">
        <v>294</v>
      </c>
      <c r="E651" t="s">
        <v>277</v>
      </c>
      <c r="F651">
        <v>4.2</v>
      </c>
      <c r="G651">
        <v>2024</v>
      </c>
    </row>
    <row r="652" spans="1:7" hidden="1" x14ac:dyDescent="0.2">
      <c r="A652" t="s">
        <v>18</v>
      </c>
      <c r="B652" t="s">
        <v>20</v>
      </c>
      <c r="C652">
        <v>6</v>
      </c>
      <c r="D652" t="s">
        <v>125</v>
      </c>
      <c r="E652" t="s">
        <v>250</v>
      </c>
      <c r="F652">
        <v>20.96</v>
      </c>
      <c r="G652">
        <v>2024</v>
      </c>
    </row>
    <row r="653" spans="1:7" hidden="1" x14ac:dyDescent="0.2">
      <c r="A653" t="s">
        <v>18</v>
      </c>
      <c r="B653" t="s">
        <v>20</v>
      </c>
      <c r="C653">
        <v>6</v>
      </c>
      <c r="D653" t="s">
        <v>128</v>
      </c>
      <c r="E653" t="s">
        <v>295</v>
      </c>
      <c r="F653">
        <v>20.3</v>
      </c>
      <c r="G653">
        <v>2024</v>
      </c>
    </row>
    <row r="654" spans="1:7" hidden="1" x14ac:dyDescent="0.2">
      <c r="A654" t="s">
        <v>18</v>
      </c>
      <c r="B654" t="s">
        <v>20</v>
      </c>
      <c r="C654">
        <v>6</v>
      </c>
      <c r="D654" t="s">
        <v>128</v>
      </c>
      <c r="E654" t="s">
        <v>206</v>
      </c>
      <c r="F654">
        <v>30</v>
      </c>
      <c r="G654">
        <v>2024</v>
      </c>
    </row>
    <row r="655" spans="1:7" hidden="1" x14ac:dyDescent="0.2">
      <c r="A655" t="s">
        <v>18</v>
      </c>
      <c r="B655" t="s">
        <v>20</v>
      </c>
      <c r="C655">
        <v>6</v>
      </c>
      <c r="D655" t="s">
        <v>128</v>
      </c>
      <c r="E655" t="s">
        <v>205</v>
      </c>
      <c r="F655">
        <v>13.9</v>
      </c>
      <c r="G655">
        <v>2024</v>
      </c>
    </row>
    <row r="656" spans="1:7" hidden="1" x14ac:dyDescent="0.2">
      <c r="A656" t="s">
        <v>18</v>
      </c>
      <c r="B656" t="s">
        <v>20</v>
      </c>
      <c r="C656">
        <v>6</v>
      </c>
      <c r="D656" t="s">
        <v>127</v>
      </c>
      <c r="E656" t="s">
        <v>207</v>
      </c>
      <c r="F656">
        <v>10.6</v>
      </c>
      <c r="G656">
        <v>2024</v>
      </c>
    </row>
    <row r="657" spans="1:7" hidden="1" x14ac:dyDescent="0.2">
      <c r="A657" t="s">
        <v>18</v>
      </c>
      <c r="B657" t="s">
        <v>20</v>
      </c>
      <c r="C657">
        <v>6</v>
      </c>
      <c r="D657" t="s">
        <v>127</v>
      </c>
      <c r="E657" t="s">
        <v>341</v>
      </c>
      <c r="F657">
        <v>3.4</v>
      </c>
      <c r="G657">
        <v>2024</v>
      </c>
    </row>
    <row r="658" spans="1:7" hidden="1" x14ac:dyDescent="0.2">
      <c r="A658" t="s">
        <v>18</v>
      </c>
      <c r="B658" t="s">
        <v>20</v>
      </c>
      <c r="C658">
        <v>6</v>
      </c>
      <c r="D658" t="s">
        <v>129</v>
      </c>
      <c r="E658" t="s">
        <v>209</v>
      </c>
      <c r="F658">
        <v>8.1</v>
      </c>
      <c r="G658">
        <v>2024</v>
      </c>
    </row>
    <row r="659" spans="1:7" hidden="1" x14ac:dyDescent="0.2">
      <c r="A659" t="s">
        <v>18</v>
      </c>
      <c r="B659" t="s">
        <v>20</v>
      </c>
      <c r="C659">
        <v>6</v>
      </c>
      <c r="D659" t="s">
        <v>131</v>
      </c>
      <c r="E659" t="s">
        <v>210</v>
      </c>
      <c r="F659">
        <v>12</v>
      </c>
      <c r="G659">
        <v>2024</v>
      </c>
    </row>
    <row r="660" spans="1:7" hidden="1" x14ac:dyDescent="0.2">
      <c r="A660" t="s">
        <v>18</v>
      </c>
      <c r="B660" t="s">
        <v>20</v>
      </c>
      <c r="C660">
        <v>6</v>
      </c>
      <c r="D660" t="s">
        <v>130</v>
      </c>
      <c r="E660" t="s">
        <v>323</v>
      </c>
      <c r="F660">
        <v>2</v>
      </c>
      <c r="G660">
        <v>2024</v>
      </c>
    </row>
    <row r="661" spans="1:7" hidden="1" x14ac:dyDescent="0.2">
      <c r="A661" t="s">
        <v>18</v>
      </c>
      <c r="B661" t="s">
        <v>20</v>
      </c>
      <c r="C661">
        <v>6</v>
      </c>
      <c r="D661" t="s">
        <v>293</v>
      </c>
      <c r="E661" t="s">
        <v>282</v>
      </c>
      <c r="F661">
        <v>0</v>
      </c>
      <c r="G661">
        <v>2024</v>
      </c>
    </row>
    <row r="662" spans="1:7" hidden="1" x14ac:dyDescent="0.2">
      <c r="A662" t="s">
        <v>74</v>
      </c>
      <c r="B662" t="s">
        <v>29</v>
      </c>
      <c r="C662">
        <v>6</v>
      </c>
      <c r="D662" t="s">
        <v>125</v>
      </c>
      <c r="E662" t="s">
        <v>168</v>
      </c>
      <c r="F662">
        <v>21.86</v>
      </c>
      <c r="G662">
        <v>2024</v>
      </c>
    </row>
    <row r="663" spans="1:7" hidden="1" x14ac:dyDescent="0.2">
      <c r="A663" t="s">
        <v>74</v>
      </c>
      <c r="B663" t="s">
        <v>29</v>
      </c>
      <c r="C663">
        <v>6</v>
      </c>
      <c r="D663" t="s">
        <v>128</v>
      </c>
      <c r="E663" t="s">
        <v>300</v>
      </c>
      <c r="F663">
        <v>6.3</v>
      </c>
      <c r="G663">
        <v>2024</v>
      </c>
    </row>
    <row r="664" spans="1:7" hidden="1" x14ac:dyDescent="0.2">
      <c r="A664" t="s">
        <v>74</v>
      </c>
      <c r="B664" t="s">
        <v>29</v>
      </c>
      <c r="C664">
        <v>6</v>
      </c>
      <c r="D664" t="s">
        <v>128</v>
      </c>
      <c r="E664" t="s">
        <v>172</v>
      </c>
      <c r="F664">
        <v>4</v>
      </c>
      <c r="G664">
        <v>2024</v>
      </c>
    </row>
    <row r="665" spans="1:7" hidden="1" x14ac:dyDescent="0.2">
      <c r="A665" t="s">
        <v>74</v>
      </c>
      <c r="B665" t="s">
        <v>29</v>
      </c>
      <c r="C665">
        <v>6</v>
      </c>
      <c r="D665" t="s">
        <v>128</v>
      </c>
      <c r="E665" t="s">
        <v>280</v>
      </c>
      <c r="F665">
        <v>5</v>
      </c>
      <c r="G665">
        <v>2024</v>
      </c>
    </row>
    <row r="666" spans="1:7" hidden="1" x14ac:dyDescent="0.2">
      <c r="A666" t="s">
        <v>74</v>
      </c>
      <c r="B666" t="s">
        <v>29</v>
      </c>
      <c r="C666">
        <v>6</v>
      </c>
      <c r="D666" t="s">
        <v>127</v>
      </c>
      <c r="E666" t="s">
        <v>174</v>
      </c>
      <c r="F666">
        <v>24</v>
      </c>
      <c r="G666">
        <v>2024</v>
      </c>
    </row>
    <row r="667" spans="1:7" hidden="1" x14ac:dyDescent="0.2">
      <c r="A667" t="s">
        <v>74</v>
      </c>
      <c r="B667" t="s">
        <v>29</v>
      </c>
      <c r="C667">
        <v>6</v>
      </c>
      <c r="D667" t="s">
        <v>127</v>
      </c>
      <c r="E667" t="s">
        <v>244</v>
      </c>
      <c r="F667">
        <v>8.6999999999999993</v>
      </c>
      <c r="G667">
        <v>2024</v>
      </c>
    </row>
    <row r="668" spans="1:7" hidden="1" x14ac:dyDescent="0.2">
      <c r="A668" t="s">
        <v>74</v>
      </c>
      <c r="B668" t="s">
        <v>29</v>
      </c>
      <c r="C668">
        <v>6</v>
      </c>
      <c r="D668" t="s">
        <v>129</v>
      </c>
      <c r="E668" t="s">
        <v>191</v>
      </c>
      <c r="F668">
        <v>8.5</v>
      </c>
      <c r="G668">
        <v>2024</v>
      </c>
    </row>
    <row r="669" spans="1:7" hidden="1" x14ac:dyDescent="0.2">
      <c r="A669" t="s">
        <v>74</v>
      </c>
      <c r="B669" t="s">
        <v>29</v>
      </c>
      <c r="C669">
        <v>6</v>
      </c>
      <c r="D669" t="s">
        <v>131</v>
      </c>
      <c r="E669" t="s">
        <v>342</v>
      </c>
      <c r="F669">
        <v>10</v>
      </c>
      <c r="G669">
        <v>2024</v>
      </c>
    </row>
    <row r="670" spans="1:7" hidden="1" x14ac:dyDescent="0.2">
      <c r="A670" t="s">
        <v>74</v>
      </c>
      <c r="B670" t="s">
        <v>29</v>
      </c>
      <c r="C670">
        <v>6</v>
      </c>
      <c r="D670" t="s">
        <v>130</v>
      </c>
      <c r="E670" t="s">
        <v>408</v>
      </c>
      <c r="F670">
        <v>1</v>
      </c>
      <c r="G670">
        <v>2024</v>
      </c>
    </row>
    <row r="671" spans="1:7" hidden="1" x14ac:dyDescent="0.2">
      <c r="A671" t="s">
        <v>74</v>
      </c>
      <c r="B671" t="s">
        <v>29</v>
      </c>
      <c r="C671">
        <v>6</v>
      </c>
      <c r="D671" t="s">
        <v>293</v>
      </c>
      <c r="E671" t="s">
        <v>155</v>
      </c>
      <c r="F671">
        <v>2.7</v>
      </c>
      <c r="G671">
        <v>2024</v>
      </c>
    </row>
    <row r="672" spans="1:7" hidden="1" x14ac:dyDescent="0.2">
      <c r="A672" t="s">
        <v>31</v>
      </c>
      <c r="B672" t="s">
        <v>33</v>
      </c>
      <c r="C672">
        <v>6</v>
      </c>
      <c r="D672" t="s">
        <v>125</v>
      </c>
      <c r="E672" t="s">
        <v>202</v>
      </c>
      <c r="F672">
        <v>18.920000000000002</v>
      </c>
      <c r="G672">
        <v>2024</v>
      </c>
    </row>
    <row r="673" spans="1:7" hidden="1" x14ac:dyDescent="0.2">
      <c r="A673" t="s">
        <v>31</v>
      </c>
      <c r="B673" t="s">
        <v>33</v>
      </c>
      <c r="C673">
        <v>6</v>
      </c>
      <c r="D673" t="s">
        <v>128</v>
      </c>
      <c r="E673" t="s">
        <v>199</v>
      </c>
      <c r="F673">
        <v>16.7</v>
      </c>
      <c r="G673">
        <v>2024</v>
      </c>
    </row>
    <row r="674" spans="1:7" hidden="1" x14ac:dyDescent="0.2">
      <c r="A674" t="s">
        <v>31</v>
      </c>
      <c r="B674" t="s">
        <v>33</v>
      </c>
      <c r="C674">
        <v>6</v>
      </c>
      <c r="D674" t="s">
        <v>128</v>
      </c>
      <c r="E674" t="s">
        <v>201</v>
      </c>
      <c r="F674">
        <v>6.2</v>
      </c>
      <c r="G674">
        <v>2024</v>
      </c>
    </row>
    <row r="675" spans="1:7" hidden="1" x14ac:dyDescent="0.2">
      <c r="A675" t="s">
        <v>31</v>
      </c>
      <c r="B675" t="s">
        <v>33</v>
      </c>
      <c r="C675">
        <v>6</v>
      </c>
      <c r="D675" t="s">
        <v>128</v>
      </c>
      <c r="E675" t="s">
        <v>292</v>
      </c>
      <c r="F675">
        <v>4.2</v>
      </c>
      <c r="G675">
        <v>2024</v>
      </c>
    </row>
    <row r="676" spans="1:7" hidden="1" x14ac:dyDescent="0.2">
      <c r="A676" t="s">
        <v>31</v>
      </c>
      <c r="B676" t="s">
        <v>33</v>
      </c>
      <c r="C676">
        <v>6</v>
      </c>
      <c r="D676" t="s">
        <v>127</v>
      </c>
      <c r="E676" t="s">
        <v>343</v>
      </c>
      <c r="F676">
        <v>16.3</v>
      </c>
      <c r="G676">
        <v>2024</v>
      </c>
    </row>
    <row r="677" spans="1:7" hidden="1" x14ac:dyDescent="0.2">
      <c r="A677" t="s">
        <v>31</v>
      </c>
      <c r="B677" t="s">
        <v>33</v>
      </c>
      <c r="C677">
        <v>6</v>
      </c>
      <c r="D677" t="s">
        <v>127</v>
      </c>
      <c r="E677" t="s">
        <v>197</v>
      </c>
      <c r="F677">
        <v>14.9</v>
      </c>
      <c r="G677">
        <v>2024</v>
      </c>
    </row>
    <row r="678" spans="1:7" hidden="1" x14ac:dyDescent="0.2">
      <c r="A678" t="s">
        <v>31</v>
      </c>
      <c r="B678" t="s">
        <v>33</v>
      </c>
      <c r="C678">
        <v>6</v>
      </c>
      <c r="D678" t="s">
        <v>129</v>
      </c>
      <c r="E678" t="s">
        <v>213</v>
      </c>
      <c r="F678">
        <v>13.2</v>
      </c>
      <c r="G678">
        <v>2024</v>
      </c>
    </row>
    <row r="679" spans="1:7" hidden="1" x14ac:dyDescent="0.2">
      <c r="A679" t="s">
        <v>31</v>
      </c>
      <c r="B679" t="s">
        <v>33</v>
      </c>
      <c r="C679">
        <v>6</v>
      </c>
      <c r="D679" t="s">
        <v>131</v>
      </c>
      <c r="E679" t="s">
        <v>195</v>
      </c>
      <c r="F679">
        <v>11</v>
      </c>
      <c r="G679">
        <v>2024</v>
      </c>
    </row>
    <row r="680" spans="1:7" hidden="1" x14ac:dyDescent="0.2">
      <c r="A680" t="s">
        <v>31</v>
      </c>
      <c r="B680" t="s">
        <v>33</v>
      </c>
      <c r="C680">
        <v>6</v>
      </c>
      <c r="D680" t="s">
        <v>130</v>
      </c>
      <c r="E680" t="s">
        <v>194</v>
      </c>
      <c r="F680">
        <v>6</v>
      </c>
      <c r="G680">
        <v>2024</v>
      </c>
    </row>
    <row r="681" spans="1:7" hidden="1" x14ac:dyDescent="0.2">
      <c r="A681" t="s">
        <v>31</v>
      </c>
      <c r="B681" t="s">
        <v>33</v>
      </c>
      <c r="C681">
        <v>6</v>
      </c>
      <c r="D681" t="s">
        <v>293</v>
      </c>
      <c r="E681" t="s">
        <v>332</v>
      </c>
      <c r="F681">
        <v>2.9</v>
      </c>
      <c r="G681">
        <v>2024</v>
      </c>
    </row>
    <row r="682" spans="1:7" hidden="1" x14ac:dyDescent="0.2">
      <c r="A682" t="s">
        <v>75</v>
      </c>
      <c r="B682" t="s">
        <v>36</v>
      </c>
      <c r="C682">
        <v>6</v>
      </c>
      <c r="D682" t="s">
        <v>125</v>
      </c>
      <c r="E682" t="s">
        <v>247</v>
      </c>
      <c r="F682">
        <v>12.48</v>
      </c>
      <c r="G682">
        <v>2024</v>
      </c>
    </row>
    <row r="683" spans="1:7" hidden="1" x14ac:dyDescent="0.2">
      <c r="A683" t="s">
        <v>75</v>
      </c>
      <c r="B683" t="s">
        <v>36</v>
      </c>
      <c r="C683">
        <v>6</v>
      </c>
      <c r="D683" t="s">
        <v>128</v>
      </c>
      <c r="E683" t="s">
        <v>188</v>
      </c>
      <c r="F683">
        <v>16.399999999999999</v>
      </c>
      <c r="G683">
        <v>2024</v>
      </c>
    </row>
    <row r="684" spans="1:7" hidden="1" x14ac:dyDescent="0.2">
      <c r="A684" t="s">
        <v>75</v>
      </c>
      <c r="B684" t="s">
        <v>36</v>
      </c>
      <c r="C684">
        <v>6</v>
      </c>
      <c r="D684" t="s">
        <v>128</v>
      </c>
      <c r="E684" t="s">
        <v>187</v>
      </c>
      <c r="F684">
        <v>11.7</v>
      </c>
      <c r="G684">
        <v>2024</v>
      </c>
    </row>
    <row r="685" spans="1:7" hidden="1" x14ac:dyDescent="0.2">
      <c r="A685" t="s">
        <v>75</v>
      </c>
      <c r="B685" t="s">
        <v>36</v>
      </c>
      <c r="C685">
        <v>6</v>
      </c>
      <c r="D685" t="s">
        <v>128</v>
      </c>
      <c r="E685" t="s">
        <v>248</v>
      </c>
      <c r="F685">
        <v>7.8</v>
      </c>
      <c r="G685">
        <v>2024</v>
      </c>
    </row>
    <row r="686" spans="1:7" hidden="1" x14ac:dyDescent="0.2">
      <c r="A686" t="s">
        <v>75</v>
      </c>
      <c r="B686" t="s">
        <v>36</v>
      </c>
      <c r="C686">
        <v>6</v>
      </c>
      <c r="D686" t="s">
        <v>127</v>
      </c>
      <c r="E686" t="s">
        <v>322</v>
      </c>
      <c r="F686">
        <v>8.8000000000000007</v>
      </c>
      <c r="G686">
        <v>2024</v>
      </c>
    </row>
    <row r="687" spans="1:7" hidden="1" x14ac:dyDescent="0.2">
      <c r="A687" t="s">
        <v>75</v>
      </c>
      <c r="B687" t="s">
        <v>36</v>
      </c>
      <c r="C687">
        <v>6</v>
      </c>
      <c r="D687" t="s">
        <v>127</v>
      </c>
      <c r="E687" t="s">
        <v>189</v>
      </c>
      <c r="F687">
        <v>-0.1</v>
      </c>
      <c r="G687">
        <v>2024</v>
      </c>
    </row>
    <row r="688" spans="1:7" hidden="1" x14ac:dyDescent="0.2">
      <c r="A688" t="s">
        <v>75</v>
      </c>
      <c r="B688" t="s">
        <v>36</v>
      </c>
      <c r="C688">
        <v>6</v>
      </c>
      <c r="D688" t="s">
        <v>129</v>
      </c>
      <c r="E688" t="s">
        <v>344</v>
      </c>
      <c r="F688">
        <v>3.7</v>
      </c>
      <c r="G688">
        <v>2024</v>
      </c>
    </row>
    <row r="689" spans="1:7" hidden="1" x14ac:dyDescent="0.2">
      <c r="A689" t="s">
        <v>75</v>
      </c>
      <c r="B689" t="s">
        <v>36</v>
      </c>
      <c r="C689">
        <v>6</v>
      </c>
      <c r="D689" t="s">
        <v>131</v>
      </c>
      <c r="E689" t="s">
        <v>192</v>
      </c>
      <c r="F689">
        <v>6</v>
      </c>
      <c r="G689">
        <v>2024</v>
      </c>
    </row>
    <row r="690" spans="1:7" hidden="1" x14ac:dyDescent="0.2">
      <c r="A690" t="s">
        <v>75</v>
      </c>
      <c r="B690" t="s">
        <v>36</v>
      </c>
      <c r="C690">
        <v>6</v>
      </c>
      <c r="D690" t="s">
        <v>130</v>
      </c>
      <c r="E690" t="s">
        <v>193</v>
      </c>
      <c r="F690">
        <v>13</v>
      </c>
      <c r="G690">
        <v>2024</v>
      </c>
    </row>
    <row r="691" spans="1:7" hidden="1" x14ac:dyDescent="0.2">
      <c r="A691" t="s">
        <v>75</v>
      </c>
      <c r="B691" t="s">
        <v>36</v>
      </c>
      <c r="C691">
        <v>6</v>
      </c>
      <c r="D691" t="s">
        <v>294</v>
      </c>
      <c r="E691" t="s">
        <v>186</v>
      </c>
      <c r="F691">
        <v>6.3</v>
      </c>
      <c r="G691">
        <v>2024</v>
      </c>
    </row>
    <row r="692" spans="1:7" hidden="1" x14ac:dyDescent="0.2">
      <c r="A692" t="s">
        <v>35</v>
      </c>
      <c r="B692" t="s">
        <v>49</v>
      </c>
      <c r="C692">
        <v>6</v>
      </c>
      <c r="D692" t="s">
        <v>125</v>
      </c>
      <c r="E692" t="s">
        <v>345</v>
      </c>
      <c r="F692">
        <v>12.5</v>
      </c>
      <c r="G692">
        <v>2024</v>
      </c>
    </row>
    <row r="693" spans="1:7" hidden="1" x14ac:dyDescent="0.2">
      <c r="A693" t="s">
        <v>35</v>
      </c>
      <c r="B693" t="s">
        <v>49</v>
      </c>
      <c r="C693">
        <v>6</v>
      </c>
      <c r="D693" t="s">
        <v>128</v>
      </c>
      <c r="E693" t="s">
        <v>224</v>
      </c>
      <c r="F693">
        <v>20.7</v>
      </c>
      <c r="G693">
        <v>2024</v>
      </c>
    </row>
    <row r="694" spans="1:7" hidden="1" x14ac:dyDescent="0.2">
      <c r="A694" t="s">
        <v>35</v>
      </c>
      <c r="B694" t="s">
        <v>49</v>
      </c>
      <c r="C694">
        <v>6</v>
      </c>
      <c r="D694" t="s">
        <v>128</v>
      </c>
      <c r="E694" t="s">
        <v>222</v>
      </c>
      <c r="F694">
        <v>16.2</v>
      </c>
      <c r="G694">
        <v>2024</v>
      </c>
    </row>
    <row r="695" spans="1:7" hidden="1" x14ac:dyDescent="0.2">
      <c r="A695" t="s">
        <v>35</v>
      </c>
      <c r="B695" t="s">
        <v>49</v>
      </c>
      <c r="C695">
        <v>6</v>
      </c>
      <c r="D695" t="s">
        <v>128</v>
      </c>
      <c r="E695" t="s">
        <v>254</v>
      </c>
      <c r="F695">
        <v>11</v>
      </c>
      <c r="G695">
        <v>2024</v>
      </c>
    </row>
    <row r="696" spans="1:7" hidden="1" x14ac:dyDescent="0.2">
      <c r="A696" t="s">
        <v>35</v>
      </c>
      <c r="B696" t="s">
        <v>49</v>
      </c>
      <c r="C696">
        <v>6</v>
      </c>
      <c r="D696" t="s">
        <v>127</v>
      </c>
      <c r="E696" t="s">
        <v>226</v>
      </c>
      <c r="F696">
        <v>19.399999999999999</v>
      </c>
      <c r="G696">
        <v>2024</v>
      </c>
    </row>
    <row r="697" spans="1:7" hidden="1" x14ac:dyDescent="0.2">
      <c r="A697" t="s">
        <v>35</v>
      </c>
      <c r="B697" t="s">
        <v>49</v>
      </c>
      <c r="C697">
        <v>6</v>
      </c>
      <c r="D697" t="s">
        <v>127</v>
      </c>
      <c r="E697" t="s">
        <v>255</v>
      </c>
      <c r="F697">
        <v>17.5</v>
      </c>
      <c r="G697">
        <v>2024</v>
      </c>
    </row>
    <row r="698" spans="1:7" hidden="1" x14ac:dyDescent="0.2">
      <c r="A698" t="s">
        <v>35</v>
      </c>
      <c r="B698" t="s">
        <v>49</v>
      </c>
      <c r="C698">
        <v>6</v>
      </c>
      <c r="D698" t="s">
        <v>129</v>
      </c>
      <c r="E698" t="s">
        <v>227</v>
      </c>
      <c r="F698">
        <v>0</v>
      </c>
      <c r="G698">
        <v>2024</v>
      </c>
    </row>
    <row r="699" spans="1:7" hidden="1" x14ac:dyDescent="0.2">
      <c r="A699" t="s">
        <v>35</v>
      </c>
      <c r="B699" t="s">
        <v>49</v>
      </c>
      <c r="C699">
        <v>6</v>
      </c>
      <c r="D699" t="s">
        <v>131</v>
      </c>
      <c r="E699" t="s">
        <v>228</v>
      </c>
      <c r="F699">
        <v>4</v>
      </c>
      <c r="G699">
        <v>2024</v>
      </c>
    </row>
    <row r="700" spans="1:7" hidden="1" x14ac:dyDescent="0.2">
      <c r="A700" t="s">
        <v>35</v>
      </c>
      <c r="B700" t="s">
        <v>49</v>
      </c>
      <c r="C700">
        <v>6</v>
      </c>
      <c r="D700" t="s">
        <v>130</v>
      </c>
      <c r="E700" t="s">
        <v>253</v>
      </c>
      <c r="F700">
        <v>4</v>
      </c>
      <c r="G700">
        <v>2024</v>
      </c>
    </row>
    <row r="701" spans="1:7" hidden="1" x14ac:dyDescent="0.2">
      <c r="A701" t="s">
        <v>35</v>
      </c>
      <c r="B701" t="s">
        <v>49</v>
      </c>
      <c r="C701">
        <v>6</v>
      </c>
      <c r="D701" t="s">
        <v>293</v>
      </c>
      <c r="E701" t="s">
        <v>225</v>
      </c>
      <c r="F701">
        <v>16.899999999999999</v>
      </c>
      <c r="G701">
        <v>2024</v>
      </c>
    </row>
    <row r="702" spans="1:7" hidden="1" x14ac:dyDescent="0.2">
      <c r="A702" t="s">
        <v>77</v>
      </c>
      <c r="B702" t="s">
        <v>45</v>
      </c>
      <c r="C702">
        <v>6</v>
      </c>
      <c r="D702" t="s">
        <v>125</v>
      </c>
      <c r="E702" t="s">
        <v>159</v>
      </c>
      <c r="F702">
        <v>18.38</v>
      </c>
      <c r="G702">
        <v>2024</v>
      </c>
    </row>
    <row r="703" spans="1:7" hidden="1" x14ac:dyDescent="0.2">
      <c r="A703" t="s">
        <v>77</v>
      </c>
      <c r="B703" t="s">
        <v>45</v>
      </c>
      <c r="C703">
        <v>6</v>
      </c>
      <c r="D703" t="s">
        <v>128</v>
      </c>
      <c r="E703" t="s">
        <v>346</v>
      </c>
      <c r="F703">
        <v>7.4</v>
      </c>
      <c r="G703">
        <v>2024</v>
      </c>
    </row>
    <row r="704" spans="1:7" hidden="1" x14ac:dyDescent="0.2">
      <c r="A704" t="s">
        <v>77</v>
      </c>
      <c r="B704" t="s">
        <v>45</v>
      </c>
      <c r="C704">
        <v>6</v>
      </c>
      <c r="D704" t="s">
        <v>128</v>
      </c>
      <c r="E704" t="s">
        <v>160</v>
      </c>
      <c r="F704">
        <v>6.8</v>
      </c>
      <c r="G704">
        <v>2024</v>
      </c>
    </row>
    <row r="705" spans="1:7" hidden="1" x14ac:dyDescent="0.2">
      <c r="A705" t="s">
        <v>77</v>
      </c>
      <c r="B705" t="s">
        <v>45</v>
      </c>
      <c r="C705">
        <v>6</v>
      </c>
      <c r="D705" t="s">
        <v>128</v>
      </c>
      <c r="E705" t="s">
        <v>162</v>
      </c>
      <c r="F705">
        <v>0</v>
      </c>
      <c r="G705">
        <v>2024</v>
      </c>
    </row>
    <row r="706" spans="1:7" hidden="1" x14ac:dyDescent="0.2">
      <c r="A706" t="s">
        <v>77</v>
      </c>
      <c r="B706" t="s">
        <v>45</v>
      </c>
      <c r="C706">
        <v>6</v>
      </c>
      <c r="D706" t="s">
        <v>127</v>
      </c>
      <c r="E706" t="s">
        <v>252</v>
      </c>
      <c r="F706">
        <v>19.2</v>
      </c>
      <c r="G706">
        <v>2024</v>
      </c>
    </row>
    <row r="707" spans="1:7" hidden="1" x14ac:dyDescent="0.2">
      <c r="A707" t="s">
        <v>77</v>
      </c>
      <c r="B707" t="s">
        <v>45</v>
      </c>
      <c r="C707">
        <v>6</v>
      </c>
      <c r="D707" t="s">
        <v>127</v>
      </c>
      <c r="E707" t="s">
        <v>306</v>
      </c>
      <c r="F707">
        <v>12.8</v>
      </c>
      <c r="G707">
        <v>2024</v>
      </c>
    </row>
    <row r="708" spans="1:7" hidden="1" x14ac:dyDescent="0.2">
      <c r="A708" t="s">
        <v>77</v>
      </c>
      <c r="B708" t="s">
        <v>45</v>
      </c>
      <c r="C708">
        <v>6</v>
      </c>
      <c r="D708" t="s">
        <v>129</v>
      </c>
      <c r="E708" t="s">
        <v>165</v>
      </c>
      <c r="F708">
        <v>11.6</v>
      </c>
      <c r="G708">
        <v>2024</v>
      </c>
    </row>
    <row r="709" spans="1:7" hidden="1" x14ac:dyDescent="0.2">
      <c r="A709" t="s">
        <v>77</v>
      </c>
      <c r="B709" t="s">
        <v>45</v>
      </c>
      <c r="C709">
        <v>6</v>
      </c>
      <c r="D709" t="s">
        <v>131</v>
      </c>
      <c r="E709" t="s">
        <v>166</v>
      </c>
      <c r="F709">
        <v>13</v>
      </c>
      <c r="G709">
        <v>2024</v>
      </c>
    </row>
    <row r="710" spans="1:7" hidden="1" x14ac:dyDescent="0.2">
      <c r="A710" t="s">
        <v>77</v>
      </c>
      <c r="B710" t="s">
        <v>45</v>
      </c>
      <c r="C710">
        <v>6</v>
      </c>
      <c r="D710" t="s">
        <v>130</v>
      </c>
      <c r="E710" t="s">
        <v>273</v>
      </c>
      <c r="F710">
        <v>16</v>
      </c>
      <c r="G710">
        <v>2024</v>
      </c>
    </row>
    <row r="711" spans="1:7" hidden="1" x14ac:dyDescent="0.2">
      <c r="A711" t="s">
        <v>77</v>
      </c>
      <c r="B711" t="s">
        <v>45</v>
      </c>
      <c r="C711">
        <v>6</v>
      </c>
      <c r="D711" t="s">
        <v>294</v>
      </c>
      <c r="E711" t="s">
        <v>161</v>
      </c>
      <c r="F711">
        <v>-1</v>
      </c>
      <c r="G711">
        <v>2024</v>
      </c>
    </row>
    <row r="712" spans="1:7" hidden="1" x14ac:dyDescent="0.2">
      <c r="A712" t="s">
        <v>46</v>
      </c>
      <c r="B712" t="s">
        <v>47</v>
      </c>
      <c r="C712">
        <v>6</v>
      </c>
      <c r="D712" t="s">
        <v>125</v>
      </c>
      <c r="E712" t="s">
        <v>176</v>
      </c>
      <c r="F712">
        <v>24.1</v>
      </c>
      <c r="G712">
        <v>2024</v>
      </c>
    </row>
    <row r="713" spans="1:7" hidden="1" x14ac:dyDescent="0.2">
      <c r="A713" t="s">
        <v>46</v>
      </c>
      <c r="B713" t="s">
        <v>47</v>
      </c>
      <c r="C713">
        <v>6</v>
      </c>
      <c r="D713" t="s">
        <v>128</v>
      </c>
      <c r="E713" t="s">
        <v>177</v>
      </c>
      <c r="F713">
        <v>12.6</v>
      </c>
      <c r="G713">
        <v>2024</v>
      </c>
    </row>
    <row r="714" spans="1:7" hidden="1" x14ac:dyDescent="0.2">
      <c r="A714" t="s">
        <v>46</v>
      </c>
      <c r="B714" t="s">
        <v>47</v>
      </c>
      <c r="C714">
        <v>6</v>
      </c>
      <c r="D714" t="s">
        <v>128</v>
      </c>
      <c r="E714" t="s">
        <v>262</v>
      </c>
      <c r="F714">
        <v>7.8</v>
      </c>
      <c r="G714">
        <v>2024</v>
      </c>
    </row>
    <row r="715" spans="1:7" hidden="1" x14ac:dyDescent="0.2">
      <c r="A715" t="s">
        <v>46</v>
      </c>
      <c r="B715" t="s">
        <v>47</v>
      </c>
      <c r="C715">
        <v>6</v>
      </c>
      <c r="D715" t="s">
        <v>128</v>
      </c>
      <c r="E715" t="s">
        <v>347</v>
      </c>
      <c r="F715">
        <v>0</v>
      </c>
      <c r="G715">
        <v>2024</v>
      </c>
    </row>
    <row r="716" spans="1:7" hidden="1" x14ac:dyDescent="0.2">
      <c r="A716" t="s">
        <v>46</v>
      </c>
      <c r="B716" t="s">
        <v>47</v>
      </c>
      <c r="C716">
        <v>6</v>
      </c>
      <c r="D716" t="s">
        <v>127</v>
      </c>
      <c r="E716" t="s">
        <v>180</v>
      </c>
      <c r="F716">
        <v>10.5</v>
      </c>
      <c r="G716">
        <v>2024</v>
      </c>
    </row>
    <row r="717" spans="1:7" hidden="1" x14ac:dyDescent="0.2">
      <c r="A717" t="s">
        <v>46</v>
      </c>
      <c r="B717" t="s">
        <v>47</v>
      </c>
      <c r="C717">
        <v>6</v>
      </c>
      <c r="D717" t="s">
        <v>127</v>
      </c>
      <c r="E717" t="s">
        <v>181</v>
      </c>
      <c r="F717">
        <v>20.5</v>
      </c>
      <c r="G717">
        <v>2024</v>
      </c>
    </row>
    <row r="718" spans="1:7" hidden="1" x14ac:dyDescent="0.2">
      <c r="A718" t="s">
        <v>46</v>
      </c>
      <c r="B718" t="s">
        <v>47</v>
      </c>
      <c r="C718">
        <v>6</v>
      </c>
      <c r="D718" t="s">
        <v>129</v>
      </c>
      <c r="E718" t="s">
        <v>182</v>
      </c>
      <c r="F718">
        <v>11.6</v>
      </c>
      <c r="G718">
        <v>2024</v>
      </c>
    </row>
    <row r="719" spans="1:7" hidden="1" x14ac:dyDescent="0.2">
      <c r="A719" t="s">
        <v>46</v>
      </c>
      <c r="B719" t="s">
        <v>47</v>
      </c>
      <c r="C719">
        <v>6</v>
      </c>
      <c r="D719" t="s">
        <v>131</v>
      </c>
      <c r="E719" t="s">
        <v>319</v>
      </c>
      <c r="F719">
        <v>15</v>
      </c>
      <c r="G719">
        <v>2024</v>
      </c>
    </row>
    <row r="720" spans="1:7" hidden="1" x14ac:dyDescent="0.2">
      <c r="A720" t="s">
        <v>46</v>
      </c>
      <c r="B720" t="s">
        <v>47</v>
      </c>
      <c r="C720">
        <v>6</v>
      </c>
      <c r="D720" t="s">
        <v>130</v>
      </c>
      <c r="E720" t="s">
        <v>184</v>
      </c>
      <c r="F720">
        <v>14</v>
      </c>
      <c r="G720">
        <v>2024</v>
      </c>
    </row>
    <row r="721" spans="1:7" hidden="1" x14ac:dyDescent="0.2">
      <c r="A721" t="s">
        <v>46</v>
      </c>
      <c r="B721" t="s">
        <v>47</v>
      </c>
      <c r="C721">
        <v>6</v>
      </c>
      <c r="D721" t="s">
        <v>293</v>
      </c>
      <c r="E721" t="s">
        <v>318</v>
      </c>
      <c r="F721">
        <v>8</v>
      </c>
      <c r="G721">
        <v>2024</v>
      </c>
    </row>
    <row r="722" spans="1:7" hidden="1" x14ac:dyDescent="0.2">
      <c r="A722" t="s">
        <v>14</v>
      </c>
      <c r="B722" t="s">
        <v>16</v>
      </c>
      <c r="C722">
        <v>7</v>
      </c>
      <c r="D722" t="s">
        <v>127</v>
      </c>
      <c r="E722" t="s">
        <v>348</v>
      </c>
      <c r="F722">
        <v>4.7</v>
      </c>
      <c r="G722">
        <v>2024</v>
      </c>
    </row>
    <row r="723" spans="1:7" hidden="1" x14ac:dyDescent="0.2">
      <c r="A723" t="s">
        <v>14</v>
      </c>
      <c r="B723" t="s">
        <v>16</v>
      </c>
      <c r="C723">
        <v>7</v>
      </c>
      <c r="D723" t="s">
        <v>127</v>
      </c>
      <c r="E723" t="s">
        <v>335</v>
      </c>
      <c r="F723">
        <v>23.8</v>
      </c>
      <c r="G723">
        <v>2024</v>
      </c>
    </row>
    <row r="724" spans="1:7" hidden="1" x14ac:dyDescent="0.2">
      <c r="A724" t="s">
        <v>14</v>
      </c>
      <c r="B724" t="s">
        <v>16</v>
      </c>
      <c r="C724">
        <v>7</v>
      </c>
      <c r="D724" t="s">
        <v>125</v>
      </c>
      <c r="E724" t="s">
        <v>241</v>
      </c>
      <c r="F724">
        <v>27</v>
      </c>
      <c r="G724">
        <v>2024</v>
      </c>
    </row>
    <row r="725" spans="1:7" hidden="1" x14ac:dyDescent="0.2">
      <c r="A725" t="s">
        <v>14</v>
      </c>
      <c r="B725" t="s">
        <v>16</v>
      </c>
      <c r="C725">
        <v>7</v>
      </c>
      <c r="D725" t="s">
        <v>128</v>
      </c>
      <c r="E725" t="s">
        <v>173</v>
      </c>
      <c r="F725">
        <v>2.4</v>
      </c>
      <c r="G725">
        <v>2024</v>
      </c>
    </row>
    <row r="726" spans="1:7" hidden="1" x14ac:dyDescent="0.2">
      <c r="A726" t="s">
        <v>14</v>
      </c>
      <c r="B726" t="s">
        <v>16</v>
      </c>
      <c r="C726">
        <v>7</v>
      </c>
      <c r="D726" t="s">
        <v>128</v>
      </c>
      <c r="E726" t="s">
        <v>132</v>
      </c>
      <c r="F726">
        <v>2</v>
      </c>
      <c r="G726">
        <v>2024</v>
      </c>
    </row>
    <row r="727" spans="1:7" hidden="1" x14ac:dyDescent="0.2">
      <c r="A727" t="s">
        <v>14</v>
      </c>
      <c r="B727" t="s">
        <v>16</v>
      </c>
      <c r="C727">
        <v>7</v>
      </c>
      <c r="D727" t="s">
        <v>294</v>
      </c>
      <c r="E727" t="s">
        <v>133</v>
      </c>
      <c r="F727">
        <v>1.8</v>
      </c>
      <c r="G727">
        <v>2024</v>
      </c>
    </row>
    <row r="728" spans="1:7" hidden="1" x14ac:dyDescent="0.2">
      <c r="A728" t="s">
        <v>14</v>
      </c>
      <c r="B728" t="s">
        <v>16</v>
      </c>
      <c r="C728">
        <v>7</v>
      </c>
      <c r="D728" t="s">
        <v>129</v>
      </c>
      <c r="E728" t="s">
        <v>137</v>
      </c>
      <c r="F728">
        <v>7.6</v>
      </c>
      <c r="G728">
        <v>2024</v>
      </c>
    </row>
    <row r="729" spans="1:7" hidden="1" x14ac:dyDescent="0.2">
      <c r="A729" t="s">
        <v>14</v>
      </c>
      <c r="B729" t="s">
        <v>16</v>
      </c>
      <c r="C729">
        <v>7</v>
      </c>
      <c r="D729" t="s">
        <v>131</v>
      </c>
      <c r="E729" t="s">
        <v>183</v>
      </c>
      <c r="F729">
        <v>4</v>
      </c>
      <c r="G729">
        <v>2024</v>
      </c>
    </row>
    <row r="730" spans="1:7" hidden="1" x14ac:dyDescent="0.2">
      <c r="A730" t="s">
        <v>14</v>
      </c>
      <c r="B730" t="s">
        <v>16</v>
      </c>
      <c r="C730">
        <v>7</v>
      </c>
      <c r="D730" t="s">
        <v>130</v>
      </c>
      <c r="E730" t="s">
        <v>138</v>
      </c>
      <c r="F730">
        <v>14</v>
      </c>
      <c r="G730">
        <v>2024</v>
      </c>
    </row>
    <row r="731" spans="1:7" hidden="1" x14ac:dyDescent="0.2">
      <c r="A731" t="s">
        <v>14</v>
      </c>
      <c r="B731" t="s">
        <v>16</v>
      </c>
      <c r="C731">
        <v>7</v>
      </c>
      <c r="D731" t="s">
        <v>128</v>
      </c>
      <c r="E731" t="s">
        <v>134</v>
      </c>
      <c r="F731">
        <v>3.5</v>
      </c>
      <c r="G731">
        <v>2024</v>
      </c>
    </row>
    <row r="732" spans="1:7" hidden="1" x14ac:dyDescent="0.2">
      <c r="A732" t="s">
        <v>26</v>
      </c>
      <c r="B732" t="s">
        <v>28</v>
      </c>
      <c r="C732">
        <v>7</v>
      </c>
      <c r="D732" t="s">
        <v>125</v>
      </c>
      <c r="E732" t="s">
        <v>212</v>
      </c>
      <c r="F732">
        <v>21.02</v>
      </c>
      <c r="G732">
        <v>2024</v>
      </c>
    </row>
    <row r="733" spans="1:7" hidden="1" x14ac:dyDescent="0.2">
      <c r="A733" t="s">
        <v>26</v>
      </c>
      <c r="B733" t="s">
        <v>28</v>
      </c>
      <c r="C733">
        <v>7</v>
      </c>
      <c r="D733" t="s">
        <v>128</v>
      </c>
      <c r="E733" t="s">
        <v>219</v>
      </c>
      <c r="F733">
        <v>17.899999999999999</v>
      </c>
      <c r="G733">
        <v>2024</v>
      </c>
    </row>
    <row r="734" spans="1:7" hidden="1" x14ac:dyDescent="0.2">
      <c r="A734" t="s">
        <v>26</v>
      </c>
      <c r="B734" t="s">
        <v>28</v>
      </c>
      <c r="C734">
        <v>7</v>
      </c>
      <c r="D734" t="s">
        <v>128</v>
      </c>
      <c r="E734" t="s">
        <v>330</v>
      </c>
      <c r="F734">
        <v>7.8</v>
      </c>
      <c r="G734">
        <v>2024</v>
      </c>
    </row>
    <row r="735" spans="1:7" hidden="1" x14ac:dyDescent="0.2">
      <c r="A735" t="s">
        <v>26</v>
      </c>
      <c r="B735" t="s">
        <v>28</v>
      </c>
      <c r="C735">
        <v>7</v>
      </c>
      <c r="D735" t="s">
        <v>128</v>
      </c>
      <c r="E735" t="s">
        <v>218</v>
      </c>
      <c r="F735">
        <v>6.1</v>
      </c>
      <c r="G735">
        <v>2024</v>
      </c>
    </row>
    <row r="736" spans="1:7" hidden="1" x14ac:dyDescent="0.2">
      <c r="A736" t="s">
        <v>26</v>
      </c>
      <c r="B736" t="s">
        <v>28</v>
      </c>
      <c r="C736">
        <v>7</v>
      </c>
      <c r="D736" t="s">
        <v>127</v>
      </c>
      <c r="E736" t="s">
        <v>216</v>
      </c>
      <c r="F736">
        <v>25.7</v>
      </c>
      <c r="G736">
        <v>2024</v>
      </c>
    </row>
    <row r="737" spans="1:7" hidden="1" x14ac:dyDescent="0.2">
      <c r="A737" t="s">
        <v>26</v>
      </c>
      <c r="B737" t="s">
        <v>28</v>
      </c>
      <c r="C737">
        <v>7</v>
      </c>
      <c r="D737" t="s">
        <v>127</v>
      </c>
      <c r="E737" t="s">
        <v>256</v>
      </c>
      <c r="F737">
        <v>19.600000000000001</v>
      </c>
      <c r="G737">
        <v>2024</v>
      </c>
    </row>
    <row r="738" spans="1:7" hidden="1" x14ac:dyDescent="0.2">
      <c r="A738" t="s">
        <v>26</v>
      </c>
      <c r="B738" t="s">
        <v>28</v>
      </c>
      <c r="C738">
        <v>7</v>
      </c>
      <c r="D738" t="s">
        <v>129</v>
      </c>
      <c r="E738" t="s">
        <v>196</v>
      </c>
      <c r="F738">
        <v>18.100000000000001</v>
      </c>
      <c r="G738">
        <v>2024</v>
      </c>
    </row>
    <row r="739" spans="1:7" hidden="1" x14ac:dyDescent="0.2">
      <c r="A739" t="s">
        <v>26</v>
      </c>
      <c r="B739" t="s">
        <v>28</v>
      </c>
      <c r="C739">
        <v>7</v>
      </c>
      <c r="D739" t="s">
        <v>131</v>
      </c>
      <c r="E739" t="s">
        <v>214</v>
      </c>
      <c r="F739">
        <v>4</v>
      </c>
      <c r="G739">
        <v>2024</v>
      </c>
    </row>
    <row r="740" spans="1:7" hidden="1" x14ac:dyDescent="0.2">
      <c r="A740" t="s">
        <v>26</v>
      </c>
      <c r="B740" t="s">
        <v>28</v>
      </c>
      <c r="C740">
        <v>7</v>
      </c>
      <c r="D740" t="s">
        <v>130</v>
      </c>
      <c r="E740" t="s">
        <v>167</v>
      </c>
      <c r="F740">
        <v>10</v>
      </c>
      <c r="G740">
        <v>2024</v>
      </c>
    </row>
    <row r="741" spans="1:7" hidden="1" x14ac:dyDescent="0.2">
      <c r="A741" t="s">
        <v>26</v>
      </c>
      <c r="B741" t="s">
        <v>28</v>
      </c>
      <c r="C741">
        <v>7</v>
      </c>
      <c r="D741" t="s">
        <v>294</v>
      </c>
      <c r="E741" t="s">
        <v>257</v>
      </c>
      <c r="F741">
        <v>3.9</v>
      </c>
      <c r="G741">
        <v>2024</v>
      </c>
    </row>
    <row r="742" spans="1:7" hidden="1" x14ac:dyDescent="0.2">
      <c r="A742" t="s">
        <v>42</v>
      </c>
      <c r="B742" t="s">
        <v>17</v>
      </c>
      <c r="C742">
        <v>7</v>
      </c>
      <c r="D742" t="s">
        <v>125</v>
      </c>
      <c r="E742" t="s">
        <v>150</v>
      </c>
      <c r="F742">
        <v>12.06</v>
      </c>
      <c r="G742">
        <v>2024</v>
      </c>
    </row>
    <row r="743" spans="1:7" hidden="1" x14ac:dyDescent="0.2">
      <c r="A743" t="s">
        <v>42</v>
      </c>
      <c r="B743" t="s">
        <v>17</v>
      </c>
      <c r="C743">
        <v>7</v>
      </c>
      <c r="D743" t="s">
        <v>128</v>
      </c>
      <c r="E743" t="s">
        <v>152</v>
      </c>
      <c r="F743">
        <v>9</v>
      </c>
      <c r="G743">
        <v>2024</v>
      </c>
    </row>
    <row r="744" spans="1:7" hidden="1" x14ac:dyDescent="0.2">
      <c r="A744" t="s">
        <v>42</v>
      </c>
      <c r="B744" t="s">
        <v>17</v>
      </c>
      <c r="C744">
        <v>7</v>
      </c>
      <c r="D744" t="s">
        <v>128</v>
      </c>
      <c r="E744" t="s">
        <v>153</v>
      </c>
      <c r="F744">
        <v>10</v>
      </c>
      <c r="G744">
        <v>2024</v>
      </c>
    </row>
    <row r="745" spans="1:7" hidden="1" x14ac:dyDescent="0.2">
      <c r="A745" t="s">
        <v>42</v>
      </c>
      <c r="B745" t="s">
        <v>17</v>
      </c>
      <c r="C745">
        <v>7</v>
      </c>
      <c r="D745" t="s">
        <v>128</v>
      </c>
      <c r="E745" t="s">
        <v>151</v>
      </c>
      <c r="F745">
        <v>4.5</v>
      </c>
      <c r="G745">
        <v>2024</v>
      </c>
    </row>
    <row r="746" spans="1:7" hidden="1" x14ac:dyDescent="0.2">
      <c r="A746" t="s">
        <v>42</v>
      </c>
      <c r="B746" t="s">
        <v>17</v>
      </c>
      <c r="C746">
        <v>7</v>
      </c>
      <c r="D746" t="s">
        <v>127</v>
      </c>
      <c r="E746" t="s">
        <v>154</v>
      </c>
      <c r="F746">
        <v>24.7</v>
      </c>
      <c r="G746">
        <v>2024</v>
      </c>
    </row>
    <row r="747" spans="1:7" hidden="1" x14ac:dyDescent="0.2">
      <c r="A747" t="s">
        <v>42</v>
      </c>
      <c r="B747" t="s">
        <v>17</v>
      </c>
      <c r="C747">
        <v>7</v>
      </c>
      <c r="D747" t="s">
        <v>127</v>
      </c>
      <c r="E747" t="s">
        <v>313</v>
      </c>
      <c r="F747">
        <v>21.3</v>
      </c>
      <c r="G747">
        <v>2024</v>
      </c>
    </row>
    <row r="748" spans="1:7" hidden="1" x14ac:dyDescent="0.2">
      <c r="A748" t="s">
        <v>42</v>
      </c>
      <c r="B748" t="s">
        <v>17</v>
      </c>
      <c r="C748">
        <v>7</v>
      </c>
      <c r="D748" t="s">
        <v>129</v>
      </c>
      <c r="E748" t="s">
        <v>156</v>
      </c>
      <c r="F748">
        <v>3</v>
      </c>
      <c r="G748">
        <v>2024</v>
      </c>
    </row>
    <row r="749" spans="1:7" hidden="1" x14ac:dyDescent="0.2">
      <c r="A749" t="s">
        <v>42</v>
      </c>
      <c r="B749" t="s">
        <v>17</v>
      </c>
      <c r="C749">
        <v>7</v>
      </c>
      <c r="D749" t="s">
        <v>131</v>
      </c>
      <c r="E749" t="s">
        <v>143</v>
      </c>
      <c r="F749">
        <v>2</v>
      </c>
      <c r="G749">
        <v>2024</v>
      </c>
    </row>
    <row r="750" spans="1:7" hidden="1" x14ac:dyDescent="0.2">
      <c r="A750" t="s">
        <v>42</v>
      </c>
      <c r="B750" t="s">
        <v>17</v>
      </c>
      <c r="C750">
        <v>7</v>
      </c>
      <c r="D750" t="s">
        <v>130</v>
      </c>
      <c r="E750" t="s">
        <v>157</v>
      </c>
      <c r="F750">
        <v>12</v>
      </c>
      <c r="G750">
        <v>2024</v>
      </c>
    </row>
    <row r="751" spans="1:7" hidden="1" x14ac:dyDescent="0.2">
      <c r="A751" t="s">
        <v>42</v>
      </c>
      <c r="B751" t="s">
        <v>17</v>
      </c>
      <c r="C751">
        <v>7</v>
      </c>
      <c r="D751" t="s">
        <v>294</v>
      </c>
      <c r="E751" t="s">
        <v>274</v>
      </c>
      <c r="F751">
        <v>0</v>
      </c>
      <c r="G751">
        <v>2024</v>
      </c>
    </row>
    <row r="752" spans="1:7" hidden="1" x14ac:dyDescent="0.2">
      <c r="A752" t="s">
        <v>18</v>
      </c>
      <c r="B752" t="s">
        <v>20</v>
      </c>
      <c r="C752">
        <v>7</v>
      </c>
      <c r="D752" t="s">
        <v>125</v>
      </c>
      <c r="E752" t="s">
        <v>250</v>
      </c>
      <c r="F752">
        <v>5.24</v>
      </c>
      <c r="G752">
        <v>2024</v>
      </c>
    </row>
    <row r="753" spans="1:7" hidden="1" x14ac:dyDescent="0.2">
      <c r="A753" t="s">
        <v>18</v>
      </c>
      <c r="B753" t="s">
        <v>20</v>
      </c>
      <c r="C753">
        <v>7</v>
      </c>
      <c r="D753" t="s">
        <v>128</v>
      </c>
      <c r="E753" t="s">
        <v>295</v>
      </c>
      <c r="F753">
        <v>12.8</v>
      </c>
      <c r="G753">
        <v>2024</v>
      </c>
    </row>
    <row r="754" spans="1:7" hidden="1" x14ac:dyDescent="0.2">
      <c r="A754" t="s">
        <v>18</v>
      </c>
      <c r="B754" t="s">
        <v>20</v>
      </c>
      <c r="C754">
        <v>7</v>
      </c>
      <c r="D754" t="s">
        <v>128</v>
      </c>
      <c r="E754" t="s">
        <v>206</v>
      </c>
      <c r="F754">
        <v>10</v>
      </c>
      <c r="G754">
        <v>2024</v>
      </c>
    </row>
    <row r="755" spans="1:7" hidden="1" x14ac:dyDescent="0.2">
      <c r="A755" t="s">
        <v>18</v>
      </c>
      <c r="B755" t="s">
        <v>20</v>
      </c>
      <c r="C755">
        <v>7</v>
      </c>
      <c r="D755" t="s">
        <v>128</v>
      </c>
      <c r="E755" t="s">
        <v>324</v>
      </c>
      <c r="F755">
        <v>6.5</v>
      </c>
      <c r="G755">
        <v>2024</v>
      </c>
    </row>
    <row r="756" spans="1:7" hidden="1" x14ac:dyDescent="0.2">
      <c r="A756" t="s">
        <v>18</v>
      </c>
      <c r="B756" t="s">
        <v>20</v>
      </c>
      <c r="C756">
        <v>7</v>
      </c>
      <c r="D756" t="s">
        <v>127</v>
      </c>
      <c r="E756" t="s">
        <v>207</v>
      </c>
      <c r="F756">
        <v>30</v>
      </c>
      <c r="G756">
        <v>2024</v>
      </c>
    </row>
    <row r="757" spans="1:7" hidden="1" x14ac:dyDescent="0.2">
      <c r="A757" t="s">
        <v>18</v>
      </c>
      <c r="B757" t="s">
        <v>20</v>
      </c>
      <c r="C757">
        <v>7</v>
      </c>
      <c r="D757" t="s">
        <v>127</v>
      </c>
      <c r="E757" t="s">
        <v>208</v>
      </c>
      <c r="F757">
        <v>9.1999999999999993</v>
      </c>
      <c r="G757">
        <v>2024</v>
      </c>
    </row>
    <row r="758" spans="1:7" hidden="1" x14ac:dyDescent="0.2">
      <c r="A758" t="s">
        <v>18</v>
      </c>
      <c r="B758" t="s">
        <v>20</v>
      </c>
      <c r="C758">
        <v>7</v>
      </c>
      <c r="D758" t="s">
        <v>129</v>
      </c>
      <c r="E758" t="s">
        <v>209</v>
      </c>
      <c r="F758">
        <v>6.7</v>
      </c>
      <c r="G758">
        <v>2024</v>
      </c>
    </row>
    <row r="759" spans="1:7" hidden="1" x14ac:dyDescent="0.2">
      <c r="A759" t="s">
        <v>18</v>
      </c>
      <c r="B759" t="s">
        <v>20</v>
      </c>
      <c r="C759">
        <v>7</v>
      </c>
      <c r="D759" t="s">
        <v>131</v>
      </c>
      <c r="E759" t="s">
        <v>349</v>
      </c>
      <c r="F759">
        <v>7</v>
      </c>
      <c r="G759">
        <v>2024</v>
      </c>
    </row>
    <row r="760" spans="1:7" hidden="1" x14ac:dyDescent="0.2">
      <c r="A760" t="s">
        <v>18</v>
      </c>
      <c r="B760" t="s">
        <v>20</v>
      </c>
      <c r="C760">
        <v>7</v>
      </c>
      <c r="D760" t="s">
        <v>130</v>
      </c>
      <c r="E760" t="s">
        <v>323</v>
      </c>
      <c r="F760">
        <v>21</v>
      </c>
      <c r="G760">
        <v>2024</v>
      </c>
    </row>
    <row r="761" spans="1:7" hidden="1" x14ac:dyDescent="0.2">
      <c r="A761" t="s">
        <v>18</v>
      </c>
      <c r="B761" t="s">
        <v>20</v>
      </c>
      <c r="C761">
        <v>7</v>
      </c>
      <c r="D761" t="s">
        <v>294</v>
      </c>
      <c r="E761" t="s">
        <v>205</v>
      </c>
      <c r="F761">
        <v>0.3</v>
      </c>
      <c r="G761">
        <v>2024</v>
      </c>
    </row>
    <row r="762" spans="1:7" hidden="1" x14ac:dyDescent="0.2">
      <c r="A762" t="s">
        <v>73</v>
      </c>
      <c r="B762" t="s">
        <v>21</v>
      </c>
      <c r="C762">
        <v>7</v>
      </c>
      <c r="D762" t="s">
        <v>125</v>
      </c>
      <c r="E762" t="s">
        <v>325</v>
      </c>
      <c r="F762">
        <v>16.260000000000002</v>
      </c>
      <c r="G762">
        <v>2024</v>
      </c>
    </row>
    <row r="763" spans="1:7" hidden="1" x14ac:dyDescent="0.2">
      <c r="A763" t="s">
        <v>73</v>
      </c>
      <c r="B763" t="s">
        <v>21</v>
      </c>
      <c r="C763">
        <v>7</v>
      </c>
      <c r="D763" t="s">
        <v>128</v>
      </c>
      <c r="E763" t="s">
        <v>145</v>
      </c>
      <c r="F763">
        <v>17.399999999999999</v>
      </c>
      <c r="G763">
        <v>2024</v>
      </c>
    </row>
    <row r="764" spans="1:7" hidden="1" x14ac:dyDescent="0.2">
      <c r="A764" t="s">
        <v>73</v>
      </c>
      <c r="B764" t="s">
        <v>21</v>
      </c>
      <c r="C764">
        <v>7</v>
      </c>
      <c r="D764" t="s">
        <v>128</v>
      </c>
      <c r="E764" t="s">
        <v>277</v>
      </c>
      <c r="F764">
        <v>19.600000000000001</v>
      </c>
      <c r="G764">
        <v>2024</v>
      </c>
    </row>
    <row r="765" spans="1:7" hidden="1" x14ac:dyDescent="0.2">
      <c r="A765" t="s">
        <v>73</v>
      </c>
      <c r="B765" t="s">
        <v>21</v>
      </c>
      <c r="C765">
        <v>7</v>
      </c>
      <c r="D765" t="s">
        <v>128</v>
      </c>
      <c r="E765" t="s">
        <v>301</v>
      </c>
      <c r="F765">
        <v>2.2000000000000002</v>
      </c>
      <c r="G765">
        <v>2024</v>
      </c>
    </row>
    <row r="766" spans="1:7" hidden="1" x14ac:dyDescent="0.2">
      <c r="A766" t="s">
        <v>73</v>
      </c>
      <c r="B766" t="s">
        <v>21</v>
      </c>
      <c r="C766">
        <v>7</v>
      </c>
      <c r="D766" t="s">
        <v>127</v>
      </c>
      <c r="E766" t="s">
        <v>149</v>
      </c>
      <c r="F766">
        <v>16.2</v>
      </c>
      <c r="G766">
        <v>2024</v>
      </c>
    </row>
    <row r="767" spans="1:7" hidden="1" x14ac:dyDescent="0.2">
      <c r="A767" t="s">
        <v>73</v>
      </c>
      <c r="B767" t="s">
        <v>21</v>
      </c>
      <c r="C767">
        <v>7</v>
      </c>
      <c r="D767" t="s">
        <v>127</v>
      </c>
      <c r="E767" t="s">
        <v>148</v>
      </c>
      <c r="F767">
        <v>9.5</v>
      </c>
      <c r="G767">
        <v>2024</v>
      </c>
    </row>
    <row r="768" spans="1:7" hidden="1" x14ac:dyDescent="0.2">
      <c r="A768" t="s">
        <v>73</v>
      </c>
      <c r="B768" t="s">
        <v>21</v>
      </c>
      <c r="C768">
        <v>7</v>
      </c>
      <c r="D768" t="s">
        <v>129</v>
      </c>
      <c r="E768" t="s">
        <v>327</v>
      </c>
      <c r="F768">
        <v>10.8</v>
      </c>
      <c r="G768">
        <v>2024</v>
      </c>
    </row>
    <row r="769" spans="1:7" hidden="1" x14ac:dyDescent="0.2">
      <c r="A769" t="s">
        <v>73</v>
      </c>
      <c r="B769" t="s">
        <v>21</v>
      </c>
      <c r="C769">
        <v>7</v>
      </c>
      <c r="D769" t="s">
        <v>131</v>
      </c>
      <c r="E769" t="s">
        <v>242</v>
      </c>
      <c r="F769">
        <v>14</v>
      </c>
      <c r="G769">
        <v>2024</v>
      </c>
    </row>
    <row r="770" spans="1:7" hidden="1" x14ac:dyDescent="0.2">
      <c r="A770" t="s">
        <v>73</v>
      </c>
      <c r="B770" t="s">
        <v>21</v>
      </c>
      <c r="C770">
        <v>7</v>
      </c>
      <c r="D770" t="s">
        <v>130</v>
      </c>
      <c r="E770" t="s">
        <v>194</v>
      </c>
      <c r="F770">
        <v>2</v>
      </c>
      <c r="G770">
        <v>2024</v>
      </c>
    </row>
    <row r="771" spans="1:7" hidden="1" x14ac:dyDescent="0.2">
      <c r="A771" t="s">
        <v>73</v>
      </c>
      <c r="B771" t="s">
        <v>21</v>
      </c>
      <c r="C771">
        <v>7</v>
      </c>
      <c r="D771" t="s">
        <v>294</v>
      </c>
      <c r="E771" t="s">
        <v>146</v>
      </c>
      <c r="F771">
        <v>0</v>
      </c>
      <c r="G771">
        <v>2024</v>
      </c>
    </row>
    <row r="772" spans="1:7" hidden="1" x14ac:dyDescent="0.2">
      <c r="A772" t="s">
        <v>35</v>
      </c>
      <c r="B772" t="s">
        <v>49</v>
      </c>
      <c r="C772">
        <v>7</v>
      </c>
      <c r="D772" t="s">
        <v>125</v>
      </c>
      <c r="E772" t="s">
        <v>221</v>
      </c>
      <c r="F772">
        <v>8.76</v>
      </c>
      <c r="G772">
        <v>2024</v>
      </c>
    </row>
    <row r="773" spans="1:7" hidden="1" x14ac:dyDescent="0.2">
      <c r="A773" t="s">
        <v>35</v>
      </c>
      <c r="B773" t="s">
        <v>49</v>
      </c>
      <c r="C773">
        <v>7</v>
      </c>
      <c r="D773" t="s">
        <v>128</v>
      </c>
      <c r="E773" t="s">
        <v>224</v>
      </c>
      <c r="F773">
        <v>10.6</v>
      </c>
      <c r="G773">
        <v>2024</v>
      </c>
    </row>
    <row r="774" spans="1:7" hidden="1" x14ac:dyDescent="0.2">
      <c r="A774" t="s">
        <v>35</v>
      </c>
      <c r="B774" t="s">
        <v>49</v>
      </c>
      <c r="C774">
        <v>7</v>
      </c>
      <c r="D774" t="s">
        <v>128</v>
      </c>
      <c r="E774" t="s">
        <v>254</v>
      </c>
      <c r="F774">
        <v>7.8</v>
      </c>
      <c r="G774">
        <v>2024</v>
      </c>
    </row>
    <row r="775" spans="1:7" hidden="1" x14ac:dyDescent="0.2">
      <c r="A775" t="s">
        <v>35</v>
      </c>
      <c r="B775" t="s">
        <v>49</v>
      </c>
      <c r="C775">
        <v>7</v>
      </c>
      <c r="D775" t="s">
        <v>128</v>
      </c>
      <c r="E775" t="s">
        <v>222</v>
      </c>
      <c r="F775">
        <v>0.1</v>
      </c>
      <c r="G775">
        <v>2024</v>
      </c>
    </row>
    <row r="776" spans="1:7" hidden="1" x14ac:dyDescent="0.2">
      <c r="A776" t="s">
        <v>35</v>
      </c>
      <c r="B776" t="s">
        <v>49</v>
      </c>
      <c r="C776">
        <v>7</v>
      </c>
      <c r="D776" t="s">
        <v>127</v>
      </c>
      <c r="E776" t="s">
        <v>226</v>
      </c>
      <c r="F776">
        <v>23.1</v>
      </c>
      <c r="G776">
        <v>2024</v>
      </c>
    </row>
    <row r="777" spans="1:7" hidden="1" x14ac:dyDescent="0.2">
      <c r="A777" t="s">
        <v>35</v>
      </c>
      <c r="B777" t="s">
        <v>49</v>
      </c>
      <c r="C777">
        <v>7</v>
      </c>
      <c r="D777" t="s">
        <v>127</v>
      </c>
      <c r="E777" t="s">
        <v>225</v>
      </c>
      <c r="F777">
        <v>22.3</v>
      </c>
      <c r="G777">
        <v>2024</v>
      </c>
    </row>
    <row r="778" spans="1:7" hidden="1" x14ac:dyDescent="0.2">
      <c r="A778" t="s">
        <v>35</v>
      </c>
      <c r="B778" t="s">
        <v>49</v>
      </c>
      <c r="C778">
        <v>7</v>
      </c>
      <c r="D778" t="s">
        <v>129</v>
      </c>
      <c r="E778" t="s">
        <v>286</v>
      </c>
      <c r="F778">
        <v>4.2</v>
      </c>
      <c r="G778">
        <v>2024</v>
      </c>
    </row>
    <row r="779" spans="1:7" hidden="1" x14ac:dyDescent="0.2">
      <c r="A779" t="s">
        <v>35</v>
      </c>
      <c r="B779" t="s">
        <v>49</v>
      </c>
      <c r="C779">
        <v>7</v>
      </c>
      <c r="D779" t="s">
        <v>131</v>
      </c>
      <c r="E779" t="s">
        <v>350</v>
      </c>
      <c r="F779">
        <v>21</v>
      </c>
      <c r="G779">
        <v>2024</v>
      </c>
    </row>
    <row r="780" spans="1:7" hidden="1" x14ac:dyDescent="0.2">
      <c r="A780" t="s">
        <v>35</v>
      </c>
      <c r="B780" t="s">
        <v>49</v>
      </c>
      <c r="C780">
        <v>7</v>
      </c>
      <c r="D780" t="s">
        <v>130</v>
      </c>
      <c r="E780" t="s">
        <v>253</v>
      </c>
      <c r="F780">
        <v>9</v>
      </c>
      <c r="G780">
        <v>2024</v>
      </c>
    </row>
    <row r="781" spans="1:7" hidden="1" x14ac:dyDescent="0.2">
      <c r="A781" t="s">
        <v>35</v>
      </c>
      <c r="B781" t="s">
        <v>49</v>
      </c>
      <c r="C781">
        <v>7</v>
      </c>
      <c r="D781" t="s">
        <v>293</v>
      </c>
      <c r="E781" t="s">
        <v>255</v>
      </c>
      <c r="F781">
        <v>15.2</v>
      </c>
      <c r="G781">
        <v>2024</v>
      </c>
    </row>
    <row r="782" spans="1:7" hidden="1" x14ac:dyDescent="0.2">
      <c r="A782" t="s">
        <v>74</v>
      </c>
      <c r="B782" t="s">
        <v>29</v>
      </c>
      <c r="C782">
        <v>7</v>
      </c>
      <c r="D782" t="s">
        <v>125</v>
      </c>
      <c r="E782" t="s">
        <v>168</v>
      </c>
      <c r="F782">
        <v>22.76</v>
      </c>
      <c r="G782">
        <v>2024</v>
      </c>
    </row>
    <row r="783" spans="1:7" hidden="1" x14ac:dyDescent="0.2">
      <c r="A783" t="s">
        <v>74</v>
      </c>
      <c r="B783" t="s">
        <v>29</v>
      </c>
      <c r="C783">
        <v>7</v>
      </c>
      <c r="D783" t="s">
        <v>128</v>
      </c>
      <c r="E783" t="s">
        <v>171</v>
      </c>
      <c r="F783">
        <v>17.899999999999999</v>
      </c>
      <c r="G783">
        <v>2024</v>
      </c>
    </row>
    <row r="784" spans="1:7" hidden="1" x14ac:dyDescent="0.2">
      <c r="A784" t="s">
        <v>74</v>
      </c>
      <c r="B784" t="s">
        <v>29</v>
      </c>
      <c r="C784">
        <v>7</v>
      </c>
      <c r="D784" t="s">
        <v>128</v>
      </c>
      <c r="E784" t="s">
        <v>351</v>
      </c>
      <c r="F784">
        <v>6.2</v>
      </c>
      <c r="G784">
        <v>2024</v>
      </c>
    </row>
    <row r="785" spans="1:7" hidden="1" x14ac:dyDescent="0.2">
      <c r="A785" t="s">
        <v>74</v>
      </c>
      <c r="B785" t="s">
        <v>29</v>
      </c>
      <c r="C785">
        <v>7</v>
      </c>
      <c r="D785" t="s">
        <v>128</v>
      </c>
      <c r="E785" t="s">
        <v>310</v>
      </c>
      <c r="F785">
        <v>1.9</v>
      </c>
      <c r="G785">
        <v>2024</v>
      </c>
    </row>
    <row r="786" spans="1:7" hidden="1" x14ac:dyDescent="0.2">
      <c r="A786" t="s">
        <v>74</v>
      </c>
      <c r="B786" t="s">
        <v>29</v>
      </c>
      <c r="C786">
        <v>7</v>
      </c>
      <c r="D786" t="s">
        <v>127</v>
      </c>
      <c r="E786" t="s">
        <v>174</v>
      </c>
      <c r="F786">
        <v>21.8</v>
      </c>
      <c r="G786">
        <v>2024</v>
      </c>
    </row>
    <row r="787" spans="1:7" hidden="1" x14ac:dyDescent="0.2">
      <c r="A787" t="s">
        <v>74</v>
      </c>
      <c r="B787" t="s">
        <v>29</v>
      </c>
      <c r="C787">
        <v>7</v>
      </c>
      <c r="D787" t="s">
        <v>127</v>
      </c>
      <c r="E787" t="s">
        <v>244</v>
      </c>
      <c r="F787">
        <v>7.9</v>
      </c>
      <c r="G787">
        <v>2024</v>
      </c>
    </row>
    <row r="788" spans="1:7" hidden="1" x14ac:dyDescent="0.2">
      <c r="A788" t="s">
        <v>74</v>
      </c>
      <c r="B788" t="s">
        <v>29</v>
      </c>
      <c r="C788">
        <v>7</v>
      </c>
      <c r="D788" t="s">
        <v>129</v>
      </c>
      <c r="E788" t="s">
        <v>170</v>
      </c>
      <c r="F788">
        <v>18.600000000000001</v>
      </c>
      <c r="G788">
        <v>2024</v>
      </c>
    </row>
    <row r="789" spans="1:7" hidden="1" x14ac:dyDescent="0.2">
      <c r="A789" t="s">
        <v>74</v>
      </c>
      <c r="B789" t="s">
        <v>29</v>
      </c>
      <c r="C789">
        <v>7</v>
      </c>
      <c r="D789" t="s">
        <v>131</v>
      </c>
      <c r="E789" t="s">
        <v>139</v>
      </c>
      <c r="F789">
        <v>10</v>
      </c>
      <c r="G789">
        <v>2024</v>
      </c>
    </row>
    <row r="790" spans="1:7" hidden="1" x14ac:dyDescent="0.2">
      <c r="A790" t="s">
        <v>74</v>
      </c>
      <c r="B790" t="s">
        <v>29</v>
      </c>
      <c r="C790">
        <v>7</v>
      </c>
      <c r="D790" t="s">
        <v>130</v>
      </c>
      <c r="E790" t="s">
        <v>408</v>
      </c>
      <c r="F790">
        <v>-7</v>
      </c>
      <c r="G790">
        <v>2024</v>
      </c>
    </row>
    <row r="791" spans="1:7" hidden="1" x14ac:dyDescent="0.2">
      <c r="A791" t="s">
        <v>74</v>
      </c>
      <c r="B791" t="s">
        <v>29</v>
      </c>
      <c r="C791">
        <v>7</v>
      </c>
      <c r="D791" t="s">
        <v>297</v>
      </c>
      <c r="E791" t="s">
        <v>191</v>
      </c>
      <c r="F791">
        <v>10</v>
      </c>
      <c r="G791">
        <v>2024</v>
      </c>
    </row>
    <row r="792" spans="1:7" hidden="1" x14ac:dyDescent="0.2">
      <c r="A792" t="s">
        <v>77</v>
      </c>
      <c r="B792" t="s">
        <v>45</v>
      </c>
      <c r="C792">
        <v>7</v>
      </c>
      <c r="D792" t="s">
        <v>125</v>
      </c>
      <c r="E792" t="s">
        <v>159</v>
      </c>
      <c r="F792">
        <v>5.34</v>
      </c>
      <c r="G792">
        <v>2024</v>
      </c>
    </row>
    <row r="793" spans="1:7" hidden="1" x14ac:dyDescent="0.2">
      <c r="A793" t="s">
        <v>77</v>
      </c>
      <c r="B793" t="s">
        <v>45</v>
      </c>
      <c r="C793">
        <v>7</v>
      </c>
      <c r="D793" t="s">
        <v>128</v>
      </c>
      <c r="E793" t="s">
        <v>160</v>
      </c>
      <c r="F793">
        <v>19.600000000000001</v>
      </c>
      <c r="G793">
        <v>2024</v>
      </c>
    </row>
    <row r="794" spans="1:7" hidden="1" x14ac:dyDescent="0.2">
      <c r="A794" t="s">
        <v>77</v>
      </c>
      <c r="B794" t="s">
        <v>45</v>
      </c>
      <c r="C794">
        <v>7</v>
      </c>
      <c r="D794" t="s">
        <v>128</v>
      </c>
      <c r="E794" t="s">
        <v>305</v>
      </c>
      <c r="F794">
        <v>8.1</v>
      </c>
      <c r="G794">
        <v>2024</v>
      </c>
    </row>
    <row r="795" spans="1:7" hidden="1" x14ac:dyDescent="0.2">
      <c r="A795" t="s">
        <v>77</v>
      </c>
      <c r="B795" t="s">
        <v>45</v>
      </c>
      <c r="C795">
        <v>7</v>
      </c>
      <c r="D795" t="s">
        <v>128</v>
      </c>
      <c r="E795" t="s">
        <v>162</v>
      </c>
      <c r="F795">
        <v>3.6</v>
      </c>
      <c r="G795">
        <v>2024</v>
      </c>
    </row>
    <row r="796" spans="1:7" hidden="1" x14ac:dyDescent="0.2">
      <c r="A796" t="s">
        <v>77</v>
      </c>
      <c r="B796" t="s">
        <v>45</v>
      </c>
      <c r="C796">
        <v>7</v>
      </c>
      <c r="D796" t="s">
        <v>127</v>
      </c>
      <c r="E796" t="s">
        <v>163</v>
      </c>
      <c r="F796">
        <v>25.4</v>
      </c>
      <c r="G796">
        <v>2024</v>
      </c>
    </row>
    <row r="797" spans="1:7" hidden="1" x14ac:dyDescent="0.2">
      <c r="A797" t="s">
        <v>77</v>
      </c>
      <c r="B797" t="s">
        <v>45</v>
      </c>
      <c r="C797">
        <v>7</v>
      </c>
      <c r="D797" t="s">
        <v>127</v>
      </c>
      <c r="E797" t="s">
        <v>252</v>
      </c>
      <c r="F797">
        <v>16.2</v>
      </c>
      <c r="G797">
        <v>2024</v>
      </c>
    </row>
    <row r="798" spans="1:7" hidden="1" x14ac:dyDescent="0.2">
      <c r="A798" t="s">
        <v>77</v>
      </c>
      <c r="B798" t="s">
        <v>45</v>
      </c>
      <c r="C798">
        <v>7</v>
      </c>
      <c r="D798" t="s">
        <v>129</v>
      </c>
      <c r="E798" t="s">
        <v>165</v>
      </c>
      <c r="F798">
        <v>13.2</v>
      </c>
      <c r="G798">
        <v>2024</v>
      </c>
    </row>
    <row r="799" spans="1:7" hidden="1" x14ac:dyDescent="0.2">
      <c r="A799" t="s">
        <v>77</v>
      </c>
      <c r="B799" t="s">
        <v>45</v>
      </c>
      <c r="C799">
        <v>7</v>
      </c>
      <c r="D799" t="s">
        <v>131</v>
      </c>
      <c r="E799" t="s">
        <v>166</v>
      </c>
      <c r="F799">
        <v>13</v>
      </c>
      <c r="G799">
        <v>2024</v>
      </c>
    </row>
    <row r="800" spans="1:7" hidden="1" x14ac:dyDescent="0.2">
      <c r="A800" t="s">
        <v>77</v>
      </c>
      <c r="B800" t="s">
        <v>45</v>
      </c>
      <c r="C800">
        <v>7</v>
      </c>
      <c r="D800" t="s">
        <v>130</v>
      </c>
      <c r="E800" t="s">
        <v>352</v>
      </c>
      <c r="F800">
        <v>16</v>
      </c>
      <c r="G800">
        <v>2024</v>
      </c>
    </row>
    <row r="801" spans="1:7" hidden="1" x14ac:dyDescent="0.2">
      <c r="A801" t="s">
        <v>77</v>
      </c>
      <c r="B801" t="s">
        <v>45</v>
      </c>
      <c r="C801">
        <v>7</v>
      </c>
      <c r="D801" t="s">
        <v>293</v>
      </c>
      <c r="E801" t="s">
        <v>306</v>
      </c>
      <c r="F801">
        <v>11.2</v>
      </c>
      <c r="G801">
        <v>2024</v>
      </c>
    </row>
    <row r="802" spans="1:7" hidden="1" x14ac:dyDescent="0.2">
      <c r="A802" t="s">
        <v>75</v>
      </c>
      <c r="B802" t="s">
        <v>36</v>
      </c>
      <c r="C802">
        <v>7</v>
      </c>
      <c r="D802" t="s">
        <v>125</v>
      </c>
      <c r="E802" t="s">
        <v>247</v>
      </c>
      <c r="F802">
        <v>17.78</v>
      </c>
      <c r="G802">
        <v>2024</v>
      </c>
    </row>
    <row r="803" spans="1:7" hidden="1" x14ac:dyDescent="0.2">
      <c r="A803" t="s">
        <v>75</v>
      </c>
      <c r="B803" t="s">
        <v>36</v>
      </c>
      <c r="C803">
        <v>7</v>
      </c>
      <c r="D803" t="s">
        <v>128</v>
      </c>
      <c r="E803" t="s">
        <v>188</v>
      </c>
      <c r="F803">
        <v>15.3</v>
      </c>
      <c r="G803">
        <v>2024</v>
      </c>
    </row>
    <row r="804" spans="1:7" hidden="1" x14ac:dyDescent="0.2">
      <c r="A804" t="s">
        <v>75</v>
      </c>
      <c r="B804" t="s">
        <v>36</v>
      </c>
      <c r="C804">
        <v>7</v>
      </c>
      <c r="D804" t="s">
        <v>128</v>
      </c>
      <c r="E804" t="s">
        <v>187</v>
      </c>
      <c r="F804">
        <v>21.2</v>
      </c>
      <c r="G804">
        <v>2024</v>
      </c>
    </row>
    <row r="805" spans="1:7" hidden="1" x14ac:dyDescent="0.2">
      <c r="A805" t="s">
        <v>75</v>
      </c>
      <c r="B805" t="s">
        <v>36</v>
      </c>
      <c r="C805">
        <v>7</v>
      </c>
      <c r="D805" t="s">
        <v>128</v>
      </c>
      <c r="E805" t="s">
        <v>186</v>
      </c>
      <c r="F805">
        <v>7.1</v>
      </c>
      <c r="G805">
        <v>2024</v>
      </c>
    </row>
    <row r="806" spans="1:7" hidden="1" x14ac:dyDescent="0.2">
      <c r="A806" t="s">
        <v>75</v>
      </c>
      <c r="B806" t="s">
        <v>36</v>
      </c>
      <c r="C806">
        <v>7</v>
      </c>
      <c r="D806" t="s">
        <v>127</v>
      </c>
      <c r="E806" t="s">
        <v>322</v>
      </c>
      <c r="F806">
        <v>3</v>
      </c>
      <c r="G806">
        <v>2024</v>
      </c>
    </row>
    <row r="807" spans="1:7" hidden="1" x14ac:dyDescent="0.2">
      <c r="A807" t="s">
        <v>75</v>
      </c>
      <c r="B807" t="s">
        <v>36</v>
      </c>
      <c r="C807">
        <v>7</v>
      </c>
      <c r="D807" t="s">
        <v>127</v>
      </c>
      <c r="E807" t="s">
        <v>403</v>
      </c>
      <c r="F807">
        <v>1.4</v>
      </c>
      <c r="G807">
        <v>2024</v>
      </c>
    </row>
    <row r="808" spans="1:7" hidden="1" x14ac:dyDescent="0.2">
      <c r="A808" t="s">
        <v>75</v>
      </c>
      <c r="B808" t="s">
        <v>36</v>
      </c>
      <c r="C808">
        <v>7</v>
      </c>
      <c r="D808" t="s">
        <v>129</v>
      </c>
      <c r="E808" t="s">
        <v>249</v>
      </c>
      <c r="F808">
        <v>3.7</v>
      </c>
      <c r="G808">
        <v>2024</v>
      </c>
    </row>
    <row r="809" spans="1:7" hidden="1" x14ac:dyDescent="0.2">
      <c r="A809" t="s">
        <v>75</v>
      </c>
      <c r="B809" t="s">
        <v>36</v>
      </c>
      <c r="C809">
        <v>7</v>
      </c>
      <c r="D809" t="s">
        <v>131</v>
      </c>
      <c r="E809" t="s">
        <v>192</v>
      </c>
      <c r="F809">
        <v>12</v>
      </c>
      <c r="G809">
        <v>2024</v>
      </c>
    </row>
    <row r="810" spans="1:7" hidden="1" x14ac:dyDescent="0.2">
      <c r="A810" t="s">
        <v>75</v>
      </c>
      <c r="B810" t="s">
        <v>36</v>
      </c>
      <c r="C810">
        <v>7</v>
      </c>
      <c r="D810" t="s">
        <v>130</v>
      </c>
      <c r="E810" t="s">
        <v>193</v>
      </c>
      <c r="F810">
        <v>10</v>
      </c>
      <c r="G810">
        <v>2024</v>
      </c>
    </row>
    <row r="811" spans="1:7" hidden="1" x14ac:dyDescent="0.2">
      <c r="A811" t="s">
        <v>75</v>
      </c>
      <c r="B811" t="s">
        <v>36</v>
      </c>
      <c r="C811">
        <v>7</v>
      </c>
      <c r="D811" t="s">
        <v>294</v>
      </c>
      <c r="E811" t="s">
        <v>248</v>
      </c>
      <c r="F811">
        <v>3.8</v>
      </c>
      <c r="G811">
        <v>2024</v>
      </c>
    </row>
    <row r="812" spans="1:7" hidden="1" x14ac:dyDescent="0.2">
      <c r="A812" t="s">
        <v>46</v>
      </c>
      <c r="B812" t="s">
        <v>47</v>
      </c>
      <c r="C812">
        <v>7</v>
      </c>
      <c r="D812" t="s">
        <v>125</v>
      </c>
      <c r="E812" t="s">
        <v>176</v>
      </c>
      <c r="F812">
        <v>17.18</v>
      </c>
      <c r="G812">
        <v>2024</v>
      </c>
    </row>
    <row r="813" spans="1:7" hidden="1" x14ac:dyDescent="0.2">
      <c r="A813" t="s">
        <v>46</v>
      </c>
      <c r="B813" t="s">
        <v>47</v>
      </c>
      <c r="C813">
        <v>7</v>
      </c>
      <c r="D813" t="s">
        <v>128</v>
      </c>
      <c r="E813" t="s">
        <v>353</v>
      </c>
      <c r="F813">
        <v>5.2</v>
      </c>
      <c r="G813">
        <v>2024</v>
      </c>
    </row>
    <row r="814" spans="1:7" hidden="1" x14ac:dyDescent="0.2">
      <c r="A814" t="s">
        <v>46</v>
      </c>
      <c r="B814" t="s">
        <v>47</v>
      </c>
      <c r="C814">
        <v>7</v>
      </c>
      <c r="D814" t="s">
        <v>128</v>
      </c>
      <c r="E814" t="s">
        <v>347</v>
      </c>
      <c r="F814">
        <v>2.5</v>
      </c>
      <c r="G814">
        <v>2024</v>
      </c>
    </row>
    <row r="815" spans="1:7" hidden="1" x14ac:dyDescent="0.2">
      <c r="A815" t="s">
        <v>46</v>
      </c>
      <c r="B815" t="s">
        <v>47</v>
      </c>
      <c r="C815">
        <v>7</v>
      </c>
      <c r="D815" t="s">
        <v>128</v>
      </c>
      <c r="E815" t="s">
        <v>178</v>
      </c>
      <c r="F815">
        <v>1.6</v>
      </c>
      <c r="G815">
        <v>2024</v>
      </c>
    </row>
    <row r="816" spans="1:7" hidden="1" x14ac:dyDescent="0.2">
      <c r="A816" t="s">
        <v>46</v>
      </c>
      <c r="B816" t="s">
        <v>47</v>
      </c>
      <c r="C816">
        <v>7</v>
      </c>
      <c r="D816" t="s">
        <v>127</v>
      </c>
      <c r="E816" t="s">
        <v>180</v>
      </c>
      <c r="F816">
        <v>17.7</v>
      </c>
      <c r="G816">
        <v>2024</v>
      </c>
    </row>
    <row r="817" spans="1:7" hidden="1" x14ac:dyDescent="0.2">
      <c r="A817" t="s">
        <v>46</v>
      </c>
      <c r="B817" t="s">
        <v>47</v>
      </c>
      <c r="C817">
        <v>7</v>
      </c>
      <c r="D817" t="s">
        <v>127</v>
      </c>
      <c r="E817" t="s">
        <v>181</v>
      </c>
      <c r="F817">
        <v>6.5</v>
      </c>
      <c r="G817">
        <v>2024</v>
      </c>
    </row>
    <row r="818" spans="1:7" hidden="1" x14ac:dyDescent="0.2">
      <c r="A818" t="s">
        <v>46</v>
      </c>
      <c r="B818" t="s">
        <v>47</v>
      </c>
      <c r="C818">
        <v>7</v>
      </c>
      <c r="D818" t="s">
        <v>129</v>
      </c>
      <c r="E818" t="s">
        <v>182</v>
      </c>
      <c r="F818">
        <v>14.3</v>
      </c>
      <c r="G818">
        <v>2024</v>
      </c>
    </row>
    <row r="819" spans="1:7" hidden="1" x14ac:dyDescent="0.2">
      <c r="A819" t="s">
        <v>46</v>
      </c>
      <c r="B819" t="s">
        <v>47</v>
      </c>
      <c r="C819">
        <v>7</v>
      </c>
      <c r="D819" t="s">
        <v>131</v>
      </c>
      <c r="E819" t="s">
        <v>319</v>
      </c>
      <c r="F819">
        <v>17</v>
      </c>
      <c r="G819">
        <v>2024</v>
      </c>
    </row>
    <row r="820" spans="1:7" hidden="1" x14ac:dyDescent="0.2">
      <c r="A820" t="s">
        <v>46</v>
      </c>
      <c r="B820" t="s">
        <v>47</v>
      </c>
      <c r="C820">
        <v>7</v>
      </c>
      <c r="D820" t="s">
        <v>130</v>
      </c>
      <c r="E820" t="s">
        <v>354</v>
      </c>
      <c r="F820">
        <v>18</v>
      </c>
      <c r="G820">
        <v>2024</v>
      </c>
    </row>
    <row r="821" spans="1:7" hidden="1" x14ac:dyDescent="0.2">
      <c r="A821" t="s">
        <v>46</v>
      </c>
      <c r="B821" t="s">
        <v>47</v>
      </c>
      <c r="C821">
        <v>7</v>
      </c>
      <c r="D821" t="s">
        <v>294</v>
      </c>
      <c r="E821" t="s">
        <v>320</v>
      </c>
      <c r="F821">
        <v>0</v>
      </c>
      <c r="G821">
        <v>2024</v>
      </c>
    </row>
    <row r="822" spans="1:7" hidden="1" x14ac:dyDescent="0.2">
      <c r="A822" t="s">
        <v>31</v>
      </c>
      <c r="B822" t="s">
        <v>33</v>
      </c>
      <c r="C822">
        <v>7</v>
      </c>
      <c r="D822" t="s">
        <v>125</v>
      </c>
      <c r="E822" t="s">
        <v>202</v>
      </c>
      <c r="F822">
        <v>34.44</v>
      </c>
      <c r="G822">
        <v>2024</v>
      </c>
    </row>
    <row r="823" spans="1:7" hidden="1" x14ac:dyDescent="0.2">
      <c r="A823" t="s">
        <v>31</v>
      </c>
      <c r="B823" t="s">
        <v>33</v>
      </c>
      <c r="C823">
        <v>7</v>
      </c>
      <c r="D823" t="s">
        <v>128</v>
      </c>
      <c r="E823" t="s">
        <v>276</v>
      </c>
      <c r="F823">
        <v>16.2</v>
      </c>
      <c r="G823">
        <v>2024</v>
      </c>
    </row>
    <row r="824" spans="1:7" hidden="1" x14ac:dyDescent="0.2">
      <c r="A824" t="s">
        <v>31</v>
      </c>
      <c r="B824" t="s">
        <v>33</v>
      </c>
      <c r="C824">
        <v>7</v>
      </c>
      <c r="D824" t="s">
        <v>128</v>
      </c>
      <c r="E824" t="s">
        <v>201</v>
      </c>
      <c r="F824">
        <v>14.6</v>
      </c>
      <c r="G824">
        <v>2024</v>
      </c>
    </row>
    <row r="825" spans="1:7" hidden="1" x14ac:dyDescent="0.2">
      <c r="A825" t="s">
        <v>31</v>
      </c>
      <c r="B825" t="s">
        <v>33</v>
      </c>
      <c r="C825">
        <v>7</v>
      </c>
      <c r="D825" t="s">
        <v>128</v>
      </c>
      <c r="E825" t="s">
        <v>199</v>
      </c>
      <c r="F825">
        <v>4.8</v>
      </c>
      <c r="G825">
        <v>2024</v>
      </c>
    </row>
    <row r="826" spans="1:7" hidden="1" x14ac:dyDescent="0.2">
      <c r="A826" t="s">
        <v>31</v>
      </c>
      <c r="B826" t="s">
        <v>33</v>
      </c>
      <c r="C826">
        <v>7</v>
      </c>
      <c r="D826" t="s">
        <v>127</v>
      </c>
      <c r="E826" t="s">
        <v>343</v>
      </c>
      <c r="F826">
        <v>7.5</v>
      </c>
      <c r="G826">
        <v>2024</v>
      </c>
    </row>
    <row r="827" spans="1:7" hidden="1" x14ac:dyDescent="0.2">
      <c r="A827" t="s">
        <v>31</v>
      </c>
      <c r="B827" t="s">
        <v>33</v>
      </c>
      <c r="C827">
        <v>7</v>
      </c>
      <c r="D827" t="s">
        <v>127</v>
      </c>
      <c r="E827" t="s">
        <v>197</v>
      </c>
      <c r="F827">
        <v>5.4</v>
      </c>
      <c r="G827">
        <v>2024</v>
      </c>
    </row>
    <row r="828" spans="1:7" hidden="1" x14ac:dyDescent="0.2">
      <c r="A828" t="s">
        <v>31</v>
      </c>
      <c r="B828" t="s">
        <v>33</v>
      </c>
      <c r="C828">
        <v>7</v>
      </c>
      <c r="D828" t="s">
        <v>129</v>
      </c>
      <c r="E828" t="s">
        <v>213</v>
      </c>
      <c r="F828">
        <v>6</v>
      </c>
      <c r="G828">
        <v>2024</v>
      </c>
    </row>
    <row r="829" spans="1:7" hidden="1" x14ac:dyDescent="0.2">
      <c r="A829" t="s">
        <v>31</v>
      </c>
      <c r="B829" t="s">
        <v>33</v>
      </c>
      <c r="C829">
        <v>7</v>
      </c>
      <c r="D829" t="s">
        <v>131</v>
      </c>
      <c r="E829" t="s">
        <v>195</v>
      </c>
      <c r="F829">
        <v>12</v>
      </c>
      <c r="G829">
        <v>2024</v>
      </c>
    </row>
    <row r="830" spans="1:7" hidden="1" x14ac:dyDescent="0.2">
      <c r="A830" t="s">
        <v>31</v>
      </c>
      <c r="B830" t="s">
        <v>33</v>
      </c>
      <c r="C830">
        <v>7</v>
      </c>
      <c r="D830" t="s">
        <v>130</v>
      </c>
      <c r="E830" t="s">
        <v>239</v>
      </c>
      <c r="F830">
        <v>10</v>
      </c>
      <c r="G830">
        <v>2024</v>
      </c>
    </row>
    <row r="831" spans="1:7" hidden="1" x14ac:dyDescent="0.2">
      <c r="A831" t="s">
        <v>31</v>
      </c>
      <c r="B831" t="s">
        <v>33</v>
      </c>
      <c r="C831">
        <v>7</v>
      </c>
      <c r="D831" t="s">
        <v>293</v>
      </c>
      <c r="E831" t="s">
        <v>332</v>
      </c>
      <c r="F831">
        <v>5.4</v>
      </c>
      <c r="G831">
        <v>2024</v>
      </c>
    </row>
    <row r="832" spans="1:7" hidden="1" x14ac:dyDescent="0.2">
      <c r="A832" t="s">
        <v>76</v>
      </c>
      <c r="B832" t="s">
        <v>32</v>
      </c>
      <c r="C832">
        <v>7</v>
      </c>
      <c r="D832" t="s">
        <v>125</v>
      </c>
      <c r="E832" t="s">
        <v>230</v>
      </c>
      <c r="F832">
        <v>14.94</v>
      </c>
      <c r="G832">
        <v>2024</v>
      </c>
    </row>
    <row r="833" spans="1:7" hidden="1" x14ac:dyDescent="0.2">
      <c r="A833" t="s">
        <v>76</v>
      </c>
      <c r="B833" t="s">
        <v>32</v>
      </c>
      <c r="C833">
        <v>7</v>
      </c>
      <c r="D833" t="s">
        <v>128</v>
      </c>
      <c r="E833" t="s">
        <v>231</v>
      </c>
      <c r="F833">
        <v>15.1</v>
      </c>
      <c r="G833">
        <v>2024</v>
      </c>
    </row>
    <row r="834" spans="1:7" hidden="1" x14ac:dyDescent="0.2">
      <c r="A834" t="s">
        <v>76</v>
      </c>
      <c r="B834" t="s">
        <v>32</v>
      </c>
      <c r="C834">
        <v>7</v>
      </c>
      <c r="D834" t="s">
        <v>128</v>
      </c>
      <c r="E834" t="s">
        <v>315</v>
      </c>
      <c r="F834">
        <v>5.3</v>
      </c>
      <c r="G834">
        <v>2024</v>
      </c>
    </row>
    <row r="835" spans="1:7" hidden="1" x14ac:dyDescent="0.2">
      <c r="A835" t="s">
        <v>76</v>
      </c>
      <c r="B835" t="s">
        <v>32</v>
      </c>
      <c r="C835">
        <v>7</v>
      </c>
      <c r="D835" t="s">
        <v>128</v>
      </c>
      <c r="E835" t="s">
        <v>261</v>
      </c>
      <c r="F835">
        <v>3.3</v>
      </c>
      <c r="G835">
        <v>2024</v>
      </c>
    </row>
    <row r="836" spans="1:7" hidden="1" x14ac:dyDescent="0.2">
      <c r="A836" t="s">
        <v>76</v>
      </c>
      <c r="B836" t="s">
        <v>32</v>
      </c>
      <c r="C836">
        <v>7</v>
      </c>
      <c r="D836" t="s">
        <v>127</v>
      </c>
      <c r="E836" t="s">
        <v>235</v>
      </c>
      <c r="F836">
        <v>19.100000000000001</v>
      </c>
      <c r="G836">
        <v>2024</v>
      </c>
    </row>
    <row r="837" spans="1:7" hidden="1" x14ac:dyDescent="0.2">
      <c r="A837" t="s">
        <v>76</v>
      </c>
      <c r="B837" t="s">
        <v>32</v>
      </c>
      <c r="C837">
        <v>7</v>
      </c>
      <c r="D837" t="s">
        <v>127</v>
      </c>
      <c r="E837" t="s">
        <v>259</v>
      </c>
      <c r="F837">
        <v>8.1</v>
      </c>
      <c r="G837">
        <v>2024</v>
      </c>
    </row>
    <row r="838" spans="1:7" hidden="1" x14ac:dyDescent="0.2">
      <c r="A838" t="s">
        <v>76</v>
      </c>
      <c r="B838" t="s">
        <v>32</v>
      </c>
      <c r="C838">
        <v>7</v>
      </c>
      <c r="D838" t="s">
        <v>129</v>
      </c>
      <c r="E838" t="s">
        <v>236</v>
      </c>
      <c r="F838">
        <v>12.2</v>
      </c>
      <c r="G838">
        <v>2024</v>
      </c>
    </row>
    <row r="839" spans="1:7" hidden="1" x14ac:dyDescent="0.2">
      <c r="A839" t="s">
        <v>76</v>
      </c>
      <c r="B839" t="s">
        <v>32</v>
      </c>
      <c r="C839">
        <v>7</v>
      </c>
      <c r="D839" t="s">
        <v>131</v>
      </c>
      <c r="E839" t="s">
        <v>237</v>
      </c>
      <c r="F839">
        <v>3</v>
      </c>
      <c r="G839">
        <v>2024</v>
      </c>
    </row>
    <row r="840" spans="1:7" hidden="1" x14ac:dyDescent="0.2">
      <c r="A840" t="s">
        <v>76</v>
      </c>
      <c r="B840" t="s">
        <v>32</v>
      </c>
      <c r="C840">
        <v>7</v>
      </c>
      <c r="D840" t="s">
        <v>130</v>
      </c>
      <c r="E840" t="s">
        <v>229</v>
      </c>
      <c r="F840">
        <v>1</v>
      </c>
      <c r="G840">
        <v>2024</v>
      </c>
    </row>
    <row r="841" spans="1:7" hidden="1" x14ac:dyDescent="0.2">
      <c r="A841" t="s">
        <v>76</v>
      </c>
      <c r="B841" t="s">
        <v>32</v>
      </c>
      <c r="C841">
        <v>7</v>
      </c>
      <c r="D841" t="s">
        <v>293</v>
      </c>
      <c r="E841" t="s">
        <v>234</v>
      </c>
      <c r="F841">
        <v>3.5</v>
      </c>
      <c r="G841">
        <v>2024</v>
      </c>
    </row>
    <row r="842" spans="1:7" hidden="1" x14ac:dyDescent="0.2">
      <c r="A842" t="s">
        <v>14</v>
      </c>
      <c r="B842" t="s">
        <v>16</v>
      </c>
      <c r="C842">
        <v>8</v>
      </c>
      <c r="D842" t="s">
        <v>127</v>
      </c>
      <c r="E842" t="s">
        <v>335</v>
      </c>
      <c r="F842">
        <v>9.6</v>
      </c>
      <c r="G842">
        <v>2024</v>
      </c>
    </row>
    <row r="843" spans="1:7" hidden="1" x14ac:dyDescent="0.2">
      <c r="A843" t="s">
        <v>14</v>
      </c>
      <c r="B843" t="s">
        <v>16</v>
      </c>
      <c r="C843">
        <v>8</v>
      </c>
      <c r="D843" t="s">
        <v>125</v>
      </c>
      <c r="E843" t="s">
        <v>241</v>
      </c>
      <c r="F843">
        <v>22.3</v>
      </c>
      <c r="G843">
        <v>2024</v>
      </c>
    </row>
    <row r="844" spans="1:7" hidden="1" x14ac:dyDescent="0.2">
      <c r="A844" t="s">
        <v>14</v>
      </c>
      <c r="B844" t="s">
        <v>16</v>
      </c>
      <c r="C844">
        <v>8</v>
      </c>
      <c r="D844" t="s">
        <v>128</v>
      </c>
      <c r="E844" t="s">
        <v>288</v>
      </c>
      <c r="F844">
        <v>13.12</v>
      </c>
      <c r="G844">
        <v>2024</v>
      </c>
    </row>
    <row r="845" spans="1:7" hidden="1" x14ac:dyDescent="0.2">
      <c r="A845" t="s">
        <v>14</v>
      </c>
      <c r="B845" t="s">
        <v>16</v>
      </c>
      <c r="C845">
        <v>8</v>
      </c>
      <c r="D845" t="s">
        <v>294</v>
      </c>
      <c r="E845" t="s">
        <v>132</v>
      </c>
      <c r="F845">
        <v>6.5</v>
      </c>
      <c r="G845">
        <v>2024</v>
      </c>
    </row>
    <row r="846" spans="1:7" hidden="1" x14ac:dyDescent="0.2">
      <c r="A846" t="s">
        <v>14</v>
      </c>
      <c r="B846" t="s">
        <v>16</v>
      </c>
      <c r="C846">
        <v>8</v>
      </c>
      <c r="D846" t="s">
        <v>128</v>
      </c>
      <c r="E846" t="s">
        <v>133</v>
      </c>
      <c r="F846">
        <v>10.199999999999999</v>
      </c>
      <c r="G846">
        <v>2024</v>
      </c>
    </row>
    <row r="847" spans="1:7" hidden="1" x14ac:dyDescent="0.2">
      <c r="A847" t="s">
        <v>14</v>
      </c>
      <c r="B847" t="s">
        <v>16</v>
      </c>
      <c r="C847">
        <v>8</v>
      </c>
      <c r="D847" t="s">
        <v>129</v>
      </c>
      <c r="E847" t="s">
        <v>137</v>
      </c>
      <c r="F847">
        <v>16.899999999999999</v>
      </c>
      <c r="G847">
        <v>2024</v>
      </c>
    </row>
    <row r="848" spans="1:7" hidden="1" x14ac:dyDescent="0.2">
      <c r="A848" t="s">
        <v>14</v>
      </c>
      <c r="B848" t="s">
        <v>16</v>
      </c>
      <c r="C848">
        <v>8</v>
      </c>
      <c r="D848" t="s">
        <v>131</v>
      </c>
      <c r="E848" t="s">
        <v>357</v>
      </c>
      <c r="F848">
        <v>8</v>
      </c>
      <c r="G848">
        <v>2024</v>
      </c>
    </row>
    <row r="849" spans="1:7" hidden="1" x14ac:dyDescent="0.2">
      <c r="A849" t="s">
        <v>14</v>
      </c>
      <c r="B849" t="s">
        <v>16</v>
      </c>
      <c r="C849">
        <v>8</v>
      </c>
      <c r="D849" t="s">
        <v>130</v>
      </c>
      <c r="E849" t="s">
        <v>358</v>
      </c>
      <c r="F849">
        <v>12</v>
      </c>
      <c r="G849">
        <v>2024</v>
      </c>
    </row>
    <row r="850" spans="1:7" hidden="1" x14ac:dyDescent="0.2">
      <c r="A850" t="s">
        <v>14</v>
      </c>
      <c r="B850" t="s">
        <v>16</v>
      </c>
      <c r="C850">
        <v>8</v>
      </c>
      <c r="D850" t="s">
        <v>128</v>
      </c>
      <c r="E850" t="s">
        <v>134</v>
      </c>
      <c r="F850">
        <v>15</v>
      </c>
      <c r="G850">
        <v>2024</v>
      </c>
    </row>
    <row r="851" spans="1:7" hidden="1" x14ac:dyDescent="0.2">
      <c r="A851" t="s">
        <v>14</v>
      </c>
      <c r="B851" t="s">
        <v>16</v>
      </c>
      <c r="C851">
        <v>8</v>
      </c>
      <c r="D851" t="s">
        <v>127</v>
      </c>
      <c r="E851" t="s">
        <v>136</v>
      </c>
      <c r="F851">
        <v>7.2</v>
      </c>
      <c r="G851">
        <v>2024</v>
      </c>
    </row>
    <row r="852" spans="1:7" hidden="1" x14ac:dyDescent="0.2">
      <c r="A852" t="s">
        <v>18</v>
      </c>
      <c r="B852" t="s">
        <v>20</v>
      </c>
      <c r="C852">
        <v>8</v>
      </c>
      <c r="D852" t="s">
        <v>125</v>
      </c>
      <c r="E852" t="s">
        <v>203</v>
      </c>
      <c r="F852">
        <v>5.74</v>
      </c>
      <c r="G852">
        <v>2024</v>
      </c>
    </row>
    <row r="853" spans="1:7" hidden="1" x14ac:dyDescent="0.2">
      <c r="A853" t="s">
        <v>18</v>
      </c>
      <c r="B853" t="s">
        <v>20</v>
      </c>
      <c r="C853">
        <v>8</v>
      </c>
      <c r="D853" t="s">
        <v>128</v>
      </c>
      <c r="E853" t="s">
        <v>295</v>
      </c>
      <c r="F853">
        <v>15</v>
      </c>
      <c r="G853">
        <v>2024</v>
      </c>
    </row>
    <row r="854" spans="1:7" hidden="1" x14ac:dyDescent="0.2">
      <c r="A854" t="s">
        <v>18</v>
      </c>
      <c r="B854" t="s">
        <v>20</v>
      </c>
      <c r="C854">
        <v>8</v>
      </c>
      <c r="D854" t="s">
        <v>128</v>
      </c>
      <c r="E854" t="s">
        <v>359</v>
      </c>
      <c r="F854">
        <v>17.5</v>
      </c>
      <c r="G854">
        <v>2024</v>
      </c>
    </row>
    <row r="855" spans="1:7" hidden="1" x14ac:dyDescent="0.2">
      <c r="A855" t="s">
        <v>18</v>
      </c>
      <c r="B855" t="s">
        <v>20</v>
      </c>
      <c r="C855">
        <v>8</v>
      </c>
      <c r="D855" t="s">
        <v>128</v>
      </c>
      <c r="E855" t="s">
        <v>204</v>
      </c>
      <c r="F855">
        <v>13.6</v>
      </c>
      <c r="G855">
        <v>2024</v>
      </c>
    </row>
    <row r="856" spans="1:7" hidden="1" x14ac:dyDescent="0.2">
      <c r="A856" t="s">
        <v>18</v>
      </c>
      <c r="B856" t="s">
        <v>20</v>
      </c>
      <c r="C856">
        <v>8</v>
      </c>
      <c r="D856" t="s">
        <v>127</v>
      </c>
      <c r="E856" t="s">
        <v>207</v>
      </c>
      <c r="F856">
        <v>19.8</v>
      </c>
      <c r="G856">
        <v>2024</v>
      </c>
    </row>
    <row r="857" spans="1:7" hidden="1" x14ac:dyDescent="0.2">
      <c r="A857" t="s">
        <v>18</v>
      </c>
      <c r="B857" t="s">
        <v>20</v>
      </c>
      <c r="C857">
        <v>8</v>
      </c>
      <c r="D857" t="s">
        <v>127</v>
      </c>
      <c r="E857" t="s">
        <v>208</v>
      </c>
      <c r="F857">
        <v>26.8</v>
      </c>
      <c r="G857">
        <v>2024</v>
      </c>
    </row>
    <row r="858" spans="1:7" hidden="1" x14ac:dyDescent="0.2">
      <c r="A858" t="s">
        <v>18</v>
      </c>
      <c r="B858" t="s">
        <v>20</v>
      </c>
      <c r="C858">
        <v>8</v>
      </c>
      <c r="D858" t="s">
        <v>129</v>
      </c>
      <c r="E858" t="s">
        <v>209</v>
      </c>
      <c r="F858">
        <v>11.1</v>
      </c>
      <c r="G858">
        <v>2024</v>
      </c>
    </row>
    <row r="859" spans="1:7" hidden="1" x14ac:dyDescent="0.2">
      <c r="A859" t="s">
        <v>18</v>
      </c>
      <c r="B859" t="s">
        <v>20</v>
      </c>
      <c r="C859">
        <v>8</v>
      </c>
      <c r="D859" t="s">
        <v>131</v>
      </c>
      <c r="E859" t="s">
        <v>210</v>
      </c>
      <c r="F859">
        <v>6</v>
      </c>
      <c r="G859">
        <v>2024</v>
      </c>
    </row>
    <row r="860" spans="1:7" hidden="1" x14ac:dyDescent="0.2">
      <c r="A860" t="s">
        <v>18</v>
      </c>
      <c r="B860" t="s">
        <v>20</v>
      </c>
      <c r="C860">
        <v>8</v>
      </c>
      <c r="D860" t="s">
        <v>130</v>
      </c>
      <c r="E860" t="s">
        <v>323</v>
      </c>
      <c r="F860">
        <v>8</v>
      </c>
      <c r="G860">
        <v>2024</v>
      </c>
    </row>
    <row r="861" spans="1:7" hidden="1" x14ac:dyDescent="0.2">
      <c r="A861" t="s">
        <v>18</v>
      </c>
      <c r="B861" t="s">
        <v>20</v>
      </c>
      <c r="C861">
        <v>8</v>
      </c>
      <c r="D861" t="s">
        <v>294</v>
      </c>
      <c r="E861" t="s">
        <v>324</v>
      </c>
      <c r="F861">
        <v>1.4</v>
      </c>
      <c r="G861">
        <v>2024</v>
      </c>
    </row>
    <row r="862" spans="1:7" hidden="1" x14ac:dyDescent="0.2">
      <c r="A862" t="s">
        <v>42</v>
      </c>
      <c r="B862" t="s">
        <v>17</v>
      </c>
      <c r="C862">
        <v>8</v>
      </c>
      <c r="D862" t="s">
        <v>125</v>
      </c>
      <c r="E862" t="s">
        <v>360</v>
      </c>
      <c r="F862">
        <v>14.66</v>
      </c>
      <c r="G862">
        <v>2024</v>
      </c>
    </row>
    <row r="863" spans="1:7" hidden="1" x14ac:dyDescent="0.2">
      <c r="A863" t="s">
        <v>42</v>
      </c>
      <c r="B863" t="s">
        <v>17</v>
      </c>
      <c r="C863">
        <v>8</v>
      </c>
      <c r="D863" t="s">
        <v>128</v>
      </c>
      <c r="E863" t="s">
        <v>153</v>
      </c>
      <c r="F863">
        <v>15.4</v>
      </c>
      <c r="G863">
        <v>2024</v>
      </c>
    </row>
    <row r="864" spans="1:7" hidden="1" x14ac:dyDescent="0.2">
      <c r="A864" t="s">
        <v>42</v>
      </c>
      <c r="B864" t="s">
        <v>17</v>
      </c>
      <c r="C864">
        <v>8</v>
      </c>
      <c r="D864" t="s">
        <v>128</v>
      </c>
      <c r="E864" t="s">
        <v>274</v>
      </c>
      <c r="F864">
        <v>11.5</v>
      </c>
      <c r="G864">
        <v>2024</v>
      </c>
    </row>
    <row r="865" spans="1:7" hidden="1" x14ac:dyDescent="0.2">
      <c r="A865" t="s">
        <v>42</v>
      </c>
      <c r="B865" t="s">
        <v>17</v>
      </c>
      <c r="C865">
        <v>8</v>
      </c>
      <c r="D865" t="s">
        <v>128</v>
      </c>
      <c r="E865" t="s">
        <v>151</v>
      </c>
      <c r="F865">
        <v>7.4</v>
      </c>
      <c r="G865">
        <v>2024</v>
      </c>
    </row>
    <row r="866" spans="1:7" hidden="1" x14ac:dyDescent="0.2">
      <c r="A866" t="s">
        <v>42</v>
      </c>
      <c r="B866" t="s">
        <v>17</v>
      </c>
      <c r="C866">
        <v>8</v>
      </c>
      <c r="D866" t="s">
        <v>127</v>
      </c>
      <c r="E866" t="s">
        <v>154</v>
      </c>
      <c r="F866">
        <v>14.2</v>
      </c>
      <c r="G866">
        <v>2024</v>
      </c>
    </row>
    <row r="867" spans="1:7" hidden="1" x14ac:dyDescent="0.2">
      <c r="A867" t="s">
        <v>42</v>
      </c>
      <c r="B867" t="s">
        <v>17</v>
      </c>
      <c r="C867">
        <v>8</v>
      </c>
      <c r="D867" t="s">
        <v>127</v>
      </c>
      <c r="E867" t="s">
        <v>313</v>
      </c>
      <c r="F867">
        <v>12.8</v>
      </c>
      <c r="G867">
        <v>2024</v>
      </c>
    </row>
    <row r="868" spans="1:7" hidden="1" x14ac:dyDescent="0.2">
      <c r="A868" t="s">
        <v>42</v>
      </c>
      <c r="B868" t="s">
        <v>17</v>
      </c>
      <c r="C868">
        <v>8</v>
      </c>
      <c r="D868" t="s">
        <v>129</v>
      </c>
      <c r="E868" t="s">
        <v>299</v>
      </c>
      <c r="F868">
        <v>5.3</v>
      </c>
      <c r="G868">
        <v>2024</v>
      </c>
    </row>
    <row r="869" spans="1:7" hidden="1" x14ac:dyDescent="0.2">
      <c r="A869" t="s">
        <v>42</v>
      </c>
      <c r="B869" t="s">
        <v>17</v>
      </c>
      <c r="C869">
        <v>8</v>
      </c>
      <c r="D869" t="s">
        <v>131</v>
      </c>
      <c r="E869" t="s">
        <v>143</v>
      </c>
      <c r="F869">
        <v>6</v>
      </c>
      <c r="G869">
        <v>2024</v>
      </c>
    </row>
    <row r="870" spans="1:7" hidden="1" x14ac:dyDescent="0.2">
      <c r="A870" t="s">
        <v>42</v>
      </c>
      <c r="B870" t="s">
        <v>17</v>
      </c>
      <c r="C870">
        <v>8</v>
      </c>
      <c r="D870" t="s">
        <v>130</v>
      </c>
      <c r="E870" t="s">
        <v>157</v>
      </c>
      <c r="F870">
        <v>10</v>
      </c>
      <c r="G870">
        <v>2024</v>
      </c>
    </row>
    <row r="871" spans="1:7" hidden="1" x14ac:dyDescent="0.2">
      <c r="A871" t="s">
        <v>42</v>
      </c>
      <c r="B871" t="s">
        <v>17</v>
      </c>
      <c r="C871">
        <v>8</v>
      </c>
      <c r="D871" t="s">
        <v>293</v>
      </c>
      <c r="E871" t="s">
        <v>361</v>
      </c>
      <c r="F871">
        <v>5.2</v>
      </c>
      <c r="G871">
        <v>2024</v>
      </c>
    </row>
    <row r="872" spans="1:7" hidden="1" x14ac:dyDescent="0.2">
      <c r="A872" t="s">
        <v>35</v>
      </c>
      <c r="B872" t="s">
        <v>49</v>
      </c>
      <c r="C872">
        <v>8</v>
      </c>
      <c r="D872" t="s">
        <v>125</v>
      </c>
      <c r="E872" t="s">
        <v>221</v>
      </c>
      <c r="F872">
        <v>11.5</v>
      </c>
      <c r="G872">
        <v>2024</v>
      </c>
    </row>
    <row r="873" spans="1:7" hidden="1" x14ac:dyDescent="0.2">
      <c r="A873" t="s">
        <v>35</v>
      </c>
      <c r="B873" t="s">
        <v>49</v>
      </c>
      <c r="C873">
        <v>8</v>
      </c>
      <c r="D873" t="s">
        <v>128</v>
      </c>
      <c r="E873" t="s">
        <v>224</v>
      </c>
      <c r="F873">
        <v>13.8</v>
      </c>
      <c r="G873">
        <v>2024</v>
      </c>
    </row>
    <row r="874" spans="1:7" hidden="1" x14ac:dyDescent="0.2">
      <c r="A874" t="s">
        <v>35</v>
      </c>
      <c r="B874" t="s">
        <v>49</v>
      </c>
      <c r="C874">
        <v>8</v>
      </c>
      <c r="D874" t="s">
        <v>128</v>
      </c>
      <c r="E874" t="s">
        <v>304</v>
      </c>
      <c r="F874">
        <v>4.9000000000000004</v>
      </c>
      <c r="G874">
        <v>2024</v>
      </c>
    </row>
    <row r="875" spans="1:7" hidden="1" x14ac:dyDescent="0.2">
      <c r="A875" t="s">
        <v>35</v>
      </c>
      <c r="B875" t="s">
        <v>49</v>
      </c>
      <c r="C875">
        <v>8</v>
      </c>
      <c r="D875" t="s">
        <v>128</v>
      </c>
      <c r="E875" t="s">
        <v>254</v>
      </c>
      <c r="F875">
        <v>2.1</v>
      </c>
      <c r="G875">
        <v>2024</v>
      </c>
    </row>
    <row r="876" spans="1:7" hidden="1" x14ac:dyDescent="0.2">
      <c r="A876" t="s">
        <v>35</v>
      </c>
      <c r="B876" t="s">
        <v>49</v>
      </c>
      <c r="C876">
        <v>8</v>
      </c>
      <c r="D876" t="s">
        <v>127</v>
      </c>
      <c r="E876" t="s">
        <v>255</v>
      </c>
      <c r="F876">
        <v>11.9</v>
      </c>
      <c r="G876">
        <v>2024</v>
      </c>
    </row>
    <row r="877" spans="1:7" hidden="1" x14ac:dyDescent="0.2">
      <c r="A877" t="s">
        <v>35</v>
      </c>
      <c r="B877" t="s">
        <v>49</v>
      </c>
      <c r="C877">
        <v>8</v>
      </c>
      <c r="D877" t="s">
        <v>127</v>
      </c>
      <c r="E877" t="s">
        <v>226</v>
      </c>
      <c r="F877">
        <v>9.4</v>
      </c>
      <c r="G877">
        <v>2024</v>
      </c>
    </row>
    <row r="878" spans="1:7" hidden="1" x14ac:dyDescent="0.2">
      <c r="A878" t="s">
        <v>35</v>
      </c>
      <c r="B878" t="s">
        <v>49</v>
      </c>
      <c r="C878">
        <v>8</v>
      </c>
      <c r="D878" t="s">
        <v>129</v>
      </c>
      <c r="E878" t="s">
        <v>362</v>
      </c>
      <c r="F878">
        <v>5.22</v>
      </c>
      <c r="G878">
        <v>2024</v>
      </c>
    </row>
    <row r="879" spans="1:7" hidden="1" x14ac:dyDescent="0.2">
      <c r="A879" t="s">
        <v>35</v>
      </c>
      <c r="B879" t="s">
        <v>49</v>
      </c>
      <c r="C879">
        <v>8</v>
      </c>
      <c r="D879" t="s">
        <v>131</v>
      </c>
      <c r="E879" t="s">
        <v>350</v>
      </c>
      <c r="F879">
        <v>8</v>
      </c>
      <c r="G879">
        <v>2024</v>
      </c>
    </row>
    <row r="880" spans="1:7" hidden="1" x14ac:dyDescent="0.2">
      <c r="A880" t="s">
        <v>35</v>
      </c>
      <c r="B880" t="s">
        <v>49</v>
      </c>
      <c r="C880">
        <v>8</v>
      </c>
      <c r="D880" t="s">
        <v>130</v>
      </c>
      <c r="E880" t="s">
        <v>215</v>
      </c>
      <c r="F880">
        <v>7</v>
      </c>
      <c r="G880">
        <v>2024</v>
      </c>
    </row>
    <row r="881" spans="1:7" hidden="1" x14ac:dyDescent="0.2">
      <c r="A881" t="s">
        <v>35</v>
      </c>
      <c r="B881" t="s">
        <v>49</v>
      </c>
      <c r="C881">
        <v>8</v>
      </c>
      <c r="D881" t="s">
        <v>293</v>
      </c>
      <c r="E881" t="s">
        <v>225</v>
      </c>
      <c r="F881">
        <v>6.5</v>
      </c>
      <c r="G881">
        <v>2024</v>
      </c>
    </row>
    <row r="882" spans="1:7" hidden="1" x14ac:dyDescent="0.2">
      <c r="A882" t="s">
        <v>73</v>
      </c>
      <c r="B882" t="s">
        <v>21</v>
      </c>
      <c r="C882">
        <v>8</v>
      </c>
      <c r="D882" t="s">
        <v>125</v>
      </c>
      <c r="E882" t="s">
        <v>325</v>
      </c>
      <c r="F882">
        <v>18.2</v>
      </c>
      <c r="G882">
        <v>2024</v>
      </c>
    </row>
    <row r="883" spans="1:7" hidden="1" x14ac:dyDescent="0.2">
      <c r="A883" t="s">
        <v>73</v>
      </c>
      <c r="B883" t="s">
        <v>21</v>
      </c>
      <c r="C883">
        <v>8</v>
      </c>
      <c r="D883" t="s">
        <v>128</v>
      </c>
      <c r="E883" t="s">
        <v>328</v>
      </c>
      <c r="F883">
        <v>16.600000000000001</v>
      </c>
      <c r="G883">
        <v>2024</v>
      </c>
    </row>
    <row r="884" spans="1:7" hidden="1" x14ac:dyDescent="0.2">
      <c r="A884" t="s">
        <v>73</v>
      </c>
      <c r="B884" t="s">
        <v>21</v>
      </c>
      <c r="C884">
        <v>8</v>
      </c>
      <c r="D884" t="s">
        <v>128</v>
      </c>
      <c r="E884" t="s">
        <v>277</v>
      </c>
      <c r="F884">
        <v>13.5</v>
      </c>
      <c r="G884">
        <v>2024</v>
      </c>
    </row>
    <row r="885" spans="1:7" hidden="1" x14ac:dyDescent="0.2">
      <c r="A885" t="s">
        <v>73</v>
      </c>
      <c r="B885" t="s">
        <v>21</v>
      </c>
      <c r="C885">
        <v>8</v>
      </c>
      <c r="D885" t="s">
        <v>128</v>
      </c>
      <c r="E885" t="s">
        <v>145</v>
      </c>
      <c r="F885">
        <v>10.9</v>
      </c>
      <c r="G885">
        <v>2024</v>
      </c>
    </row>
    <row r="886" spans="1:7" hidden="1" x14ac:dyDescent="0.2">
      <c r="A886" t="s">
        <v>73</v>
      </c>
      <c r="B886" t="s">
        <v>21</v>
      </c>
      <c r="C886">
        <v>8</v>
      </c>
      <c r="D886" t="s">
        <v>127</v>
      </c>
      <c r="E886" t="s">
        <v>148</v>
      </c>
      <c r="F886">
        <v>23.7</v>
      </c>
      <c r="G886">
        <v>2024</v>
      </c>
    </row>
    <row r="887" spans="1:7" hidden="1" x14ac:dyDescent="0.2">
      <c r="A887" t="s">
        <v>73</v>
      </c>
      <c r="B887" t="s">
        <v>21</v>
      </c>
      <c r="C887">
        <v>8</v>
      </c>
      <c r="D887" t="s">
        <v>127</v>
      </c>
      <c r="E887" t="s">
        <v>149</v>
      </c>
      <c r="F887">
        <v>13.9</v>
      </c>
      <c r="G887">
        <v>2024</v>
      </c>
    </row>
    <row r="888" spans="1:7" hidden="1" x14ac:dyDescent="0.2">
      <c r="A888" t="s">
        <v>73</v>
      </c>
      <c r="B888" t="s">
        <v>21</v>
      </c>
      <c r="C888">
        <v>8</v>
      </c>
      <c r="D888" t="s">
        <v>129</v>
      </c>
      <c r="E888" t="s">
        <v>327</v>
      </c>
      <c r="F888">
        <v>15.3</v>
      </c>
      <c r="G888">
        <v>2024</v>
      </c>
    </row>
    <row r="889" spans="1:7" hidden="1" x14ac:dyDescent="0.2">
      <c r="A889" t="s">
        <v>73</v>
      </c>
      <c r="B889" t="s">
        <v>21</v>
      </c>
      <c r="C889">
        <v>8</v>
      </c>
      <c r="D889" t="s">
        <v>131</v>
      </c>
      <c r="E889" t="s">
        <v>242</v>
      </c>
      <c r="F889">
        <v>14</v>
      </c>
      <c r="G889">
        <v>2024</v>
      </c>
    </row>
    <row r="890" spans="1:7" hidden="1" x14ac:dyDescent="0.2">
      <c r="A890" t="s">
        <v>73</v>
      </c>
      <c r="B890" t="s">
        <v>21</v>
      </c>
      <c r="C890">
        <v>8</v>
      </c>
      <c r="D890" t="s">
        <v>130</v>
      </c>
      <c r="E890" t="s">
        <v>194</v>
      </c>
      <c r="F890">
        <v>11</v>
      </c>
      <c r="G890">
        <v>2024</v>
      </c>
    </row>
    <row r="891" spans="1:7" hidden="1" x14ac:dyDescent="0.2">
      <c r="A891" t="s">
        <v>73</v>
      </c>
      <c r="B891" t="s">
        <v>21</v>
      </c>
      <c r="C891">
        <v>8</v>
      </c>
      <c r="D891" t="s">
        <v>294</v>
      </c>
      <c r="E891" t="s">
        <v>146</v>
      </c>
      <c r="F891">
        <v>10.6</v>
      </c>
      <c r="G891">
        <v>2024</v>
      </c>
    </row>
    <row r="892" spans="1:7" hidden="1" x14ac:dyDescent="0.2">
      <c r="A892" t="s">
        <v>46</v>
      </c>
      <c r="B892" t="s">
        <v>47</v>
      </c>
      <c r="C892">
        <v>8</v>
      </c>
      <c r="D892" t="s">
        <v>125</v>
      </c>
      <c r="E892" t="s">
        <v>176</v>
      </c>
      <c r="F892">
        <v>26</v>
      </c>
      <c r="G892">
        <v>2024</v>
      </c>
    </row>
    <row r="893" spans="1:7" hidden="1" x14ac:dyDescent="0.2">
      <c r="A893" t="s">
        <v>46</v>
      </c>
      <c r="B893" t="s">
        <v>47</v>
      </c>
      <c r="C893">
        <v>8</v>
      </c>
      <c r="D893" t="s">
        <v>128</v>
      </c>
      <c r="E893" t="s">
        <v>177</v>
      </c>
      <c r="F893">
        <v>33.1</v>
      </c>
      <c r="G893">
        <v>2024</v>
      </c>
    </row>
    <row r="894" spans="1:7" hidden="1" x14ac:dyDescent="0.2">
      <c r="A894" t="s">
        <v>46</v>
      </c>
      <c r="B894" t="s">
        <v>47</v>
      </c>
      <c r="C894">
        <v>8</v>
      </c>
      <c r="D894" t="s">
        <v>128</v>
      </c>
      <c r="E894" t="s">
        <v>283</v>
      </c>
      <c r="F894">
        <v>10.4</v>
      </c>
      <c r="G894">
        <v>2024</v>
      </c>
    </row>
    <row r="895" spans="1:7" hidden="1" x14ac:dyDescent="0.2">
      <c r="A895" t="s">
        <v>46</v>
      </c>
      <c r="B895" t="s">
        <v>47</v>
      </c>
      <c r="C895">
        <v>8</v>
      </c>
      <c r="D895" t="s">
        <v>128</v>
      </c>
      <c r="E895" t="s">
        <v>363</v>
      </c>
      <c r="F895">
        <v>9.6999999999999993</v>
      </c>
      <c r="G895">
        <v>2024</v>
      </c>
    </row>
    <row r="896" spans="1:7" hidden="1" x14ac:dyDescent="0.2">
      <c r="A896" t="s">
        <v>46</v>
      </c>
      <c r="B896" t="s">
        <v>47</v>
      </c>
      <c r="C896">
        <v>8</v>
      </c>
      <c r="D896" t="s">
        <v>127</v>
      </c>
      <c r="E896" t="s">
        <v>180</v>
      </c>
      <c r="F896">
        <v>25</v>
      </c>
      <c r="G896">
        <v>2024</v>
      </c>
    </row>
    <row r="897" spans="1:7" hidden="1" x14ac:dyDescent="0.2">
      <c r="A897" t="s">
        <v>46</v>
      </c>
      <c r="B897" t="s">
        <v>47</v>
      </c>
      <c r="C897">
        <v>8</v>
      </c>
      <c r="D897" t="s">
        <v>127</v>
      </c>
      <c r="E897" t="s">
        <v>181</v>
      </c>
      <c r="F897">
        <v>14.42</v>
      </c>
      <c r="G897">
        <v>2024</v>
      </c>
    </row>
    <row r="898" spans="1:7" hidden="1" x14ac:dyDescent="0.2">
      <c r="A898" t="s">
        <v>46</v>
      </c>
      <c r="B898" t="s">
        <v>47</v>
      </c>
      <c r="C898">
        <v>8</v>
      </c>
      <c r="D898" t="s">
        <v>129</v>
      </c>
      <c r="E898" t="s">
        <v>182</v>
      </c>
      <c r="F898">
        <v>8.3000000000000007</v>
      </c>
      <c r="G898">
        <v>2024</v>
      </c>
    </row>
    <row r="899" spans="1:7" hidden="1" x14ac:dyDescent="0.2">
      <c r="A899" t="s">
        <v>46</v>
      </c>
      <c r="B899" t="s">
        <v>47</v>
      </c>
      <c r="C899">
        <v>8</v>
      </c>
      <c r="D899" t="s">
        <v>131</v>
      </c>
      <c r="E899" t="s">
        <v>319</v>
      </c>
      <c r="F899">
        <v>13</v>
      </c>
      <c r="G899">
        <v>2024</v>
      </c>
    </row>
    <row r="900" spans="1:7" hidden="1" x14ac:dyDescent="0.2">
      <c r="A900" t="s">
        <v>46</v>
      </c>
      <c r="B900" t="s">
        <v>47</v>
      </c>
      <c r="C900">
        <v>8</v>
      </c>
      <c r="D900" t="s">
        <v>130</v>
      </c>
      <c r="E900" t="s">
        <v>287</v>
      </c>
      <c r="F900">
        <v>9</v>
      </c>
      <c r="G900">
        <v>2024</v>
      </c>
    </row>
    <row r="901" spans="1:7" hidden="1" x14ac:dyDescent="0.2">
      <c r="A901" t="s">
        <v>46</v>
      </c>
      <c r="B901" t="s">
        <v>47</v>
      </c>
      <c r="C901">
        <v>8</v>
      </c>
      <c r="D901" t="s">
        <v>294</v>
      </c>
      <c r="E901" t="s">
        <v>178</v>
      </c>
      <c r="F901">
        <v>6.5</v>
      </c>
      <c r="G901">
        <v>2024</v>
      </c>
    </row>
    <row r="902" spans="1:7" hidden="1" x14ac:dyDescent="0.2">
      <c r="A902" t="s">
        <v>74</v>
      </c>
      <c r="B902" t="s">
        <v>29</v>
      </c>
      <c r="C902">
        <v>8</v>
      </c>
      <c r="D902" t="s">
        <v>125</v>
      </c>
      <c r="E902" t="s">
        <v>168</v>
      </c>
      <c r="F902">
        <v>35.14</v>
      </c>
      <c r="G902">
        <v>2024</v>
      </c>
    </row>
    <row r="903" spans="1:7" hidden="1" x14ac:dyDescent="0.2">
      <c r="A903" t="s">
        <v>74</v>
      </c>
      <c r="B903" t="s">
        <v>29</v>
      </c>
      <c r="C903">
        <v>8</v>
      </c>
      <c r="D903" t="s">
        <v>128</v>
      </c>
      <c r="E903" t="s">
        <v>171</v>
      </c>
      <c r="F903">
        <v>15.5</v>
      </c>
      <c r="G903">
        <v>2024</v>
      </c>
    </row>
    <row r="904" spans="1:7" hidden="1" x14ac:dyDescent="0.2">
      <c r="A904" t="s">
        <v>74</v>
      </c>
      <c r="B904" t="s">
        <v>29</v>
      </c>
      <c r="C904">
        <v>8</v>
      </c>
      <c r="D904" t="s">
        <v>128</v>
      </c>
      <c r="E904" t="s">
        <v>364</v>
      </c>
      <c r="F904">
        <v>7.2</v>
      </c>
      <c r="G904">
        <v>2024</v>
      </c>
    </row>
    <row r="905" spans="1:7" hidden="1" x14ac:dyDescent="0.2">
      <c r="A905" t="s">
        <v>74</v>
      </c>
      <c r="B905" t="s">
        <v>29</v>
      </c>
      <c r="C905">
        <v>8</v>
      </c>
      <c r="D905" t="s">
        <v>128</v>
      </c>
      <c r="E905" t="s">
        <v>172</v>
      </c>
      <c r="F905">
        <v>4.4000000000000004</v>
      </c>
      <c r="G905">
        <v>2024</v>
      </c>
    </row>
    <row r="906" spans="1:7" hidden="1" x14ac:dyDescent="0.2">
      <c r="A906" t="s">
        <v>74</v>
      </c>
      <c r="B906" t="s">
        <v>29</v>
      </c>
      <c r="C906">
        <v>8</v>
      </c>
      <c r="D906" t="s">
        <v>127</v>
      </c>
      <c r="E906" t="s">
        <v>174</v>
      </c>
      <c r="F906">
        <v>20.100000000000001</v>
      </c>
      <c r="G906">
        <v>2024</v>
      </c>
    </row>
    <row r="907" spans="1:7" hidden="1" x14ac:dyDescent="0.2">
      <c r="A907" t="s">
        <v>74</v>
      </c>
      <c r="B907" t="s">
        <v>29</v>
      </c>
      <c r="C907">
        <v>8</v>
      </c>
      <c r="D907" t="s">
        <v>127</v>
      </c>
      <c r="E907" t="s">
        <v>244</v>
      </c>
      <c r="F907">
        <v>1.8</v>
      </c>
      <c r="G907">
        <v>2024</v>
      </c>
    </row>
    <row r="908" spans="1:7" hidden="1" x14ac:dyDescent="0.2">
      <c r="A908" t="s">
        <v>74</v>
      </c>
      <c r="B908" t="s">
        <v>29</v>
      </c>
      <c r="C908">
        <v>8</v>
      </c>
      <c r="D908" t="s">
        <v>129</v>
      </c>
      <c r="E908" t="s">
        <v>191</v>
      </c>
      <c r="F908">
        <v>23.1</v>
      </c>
      <c r="G908">
        <v>2024</v>
      </c>
    </row>
    <row r="909" spans="1:7" hidden="1" x14ac:dyDescent="0.2">
      <c r="A909" t="s">
        <v>74</v>
      </c>
      <c r="B909" t="s">
        <v>29</v>
      </c>
      <c r="C909">
        <v>8</v>
      </c>
      <c r="D909" t="s">
        <v>131</v>
      </c>
      <c r="E909" t="s">
        <v>139</v>
      </c>
      <c r="F909">
        <v>7</v>
      </c>
      <c r="G909">
        <v>2024</v>
      </c>
    </row>
    <row r="910" spans="1:7" hidden="1" x14ac:dyDescent="0.2">
      <c r="A910" t="s">
        <v>74</v>
      </c>
      <c r="B910" t="s">
        <v>29</v>
      </c>
      <c r="C910">
        <v>8</v>
      </c>
      <c r="D910" t="s">
        <v>130</v>
      </c>
      <c r="E910" t="s">
        <v>408</v>
      </c>
      <c r="F910">
        <v>3</v>
      </c>
      <c r="G910">
        <v>2024</v>
      </c>
    </row>
    <row r="911" spans="1:7" hidden="1" x14ac:dyDescent="0.2">
      <c r="A911" t="s">
        <v>74</v>
      </c>
      <c r="B911" t="s">
        <v>29</v>
      </c>
      <c r="C911">
        <v>8</v>
      </c>
      <c r="D911" t="s">
        <v>297</v>
      </c>
      <c r="E911" t="s">
        <v>170</v>
      </c>
      <c r="F911">
        <v>14.6</v>
      </c>
      <c r="G911">
        <v>2024</v>
      </c>
    </row>
    <row r="912" spans="1:7" hidden="1" x14ac:dyDescent="0.2">
      <c r="A912" t="s">
        <v>76</v>
      </c>
      <c r="B912" t="s">
        <v>32</v>
      </c>
      <c r="C912">
        <v>8</v>
      </c>
      <c r="D912" t="s">
        <v>125</v>
      </c>
      <c r="E912" t="s">
        <v>230</v>
      </c>
      <c r="F912">
        <v>12.86</v>
      </c>
      <c r="G912">
        <v>2024</v>
      </c>
    </row>
    <row r="913" spans="1:7" hidden="1" x14ac:dyDescent="0.2">
      <c r="A913" t="s">
        <v>76</v>
      </c>
      <c r="B913" t="s">
        <v>32</v>
      </c>
      <c r="C913">
        <v>8</v>
      </c>
      <c r="D913" t="s">
        <v>128</v>
      </c>
      <c r="E913" t="s">
        <v>231</v>
      </c>
      <c r="F913">
        <v>15.9</v>
      </c>
      <c r="G913">
        <v>2024</v>
      </c>
    </row>
    <row r="914" spans="1:7" hidden="1" x14ac:dyDescent="0.2">
      <c r="A914" t="s">
        <v>76</v>
      </c>
      <c r="B914" t="s">
        <v>32</v>
      </c>
      <c r="C914">
        <v>8</v>
      </c>
      <c r="D914" t="s">
        <v>128</v>
      </c>
      <c r="E914" t="s">
        <v>303</v>
      </c>
      <c r="F914">
        <v>14.2</v>
      </c>
      <c r="G914">
        <v>2024</v>
      </c>
    </row>
    <row r="915" spans="1:7" hidden="1" x14ac:dyDescent="0.2">
      <c r="A915" t="s">
        <v>76</v>
      </c>
      <c r="B915" t="s">
        <v>32</v>
      </c>
      <c r="C915">
        <v>8</v>
      </c>
      <c r="D915" t="s">
        <v>128</v>
      </c>
      <c r="E915" t="s">
        <v>315</v>
      </c>
      <c r="F915">
        <v>5.5</v>
      </c>
      <c r="G915">
        <v>2024</v>
      </c>
    </row>
    <row r="916" spans="1:7" hidden="1" x14ac:dyDescent="0.2">
      <c r="A916" t="s">
        <v>76</v>
      </c>
      <c r="B916" t="s">
        <v>32</v>
      </c>
      <c r="C916">
        <v>8</v>
      </c>
      <c r="D916" t="s">
        <v>127</v>
      </c>
      <c r="E916" t="s">
        <v>278</v>
      </c>
      <c r="F916">
        <v>18.899999999999999</v>
      </c>
      <c r="G916">
        <v>2024</v>
      </c>
    </row>
    <row r="917" spans="1:7" hidden="1" x14ac:dyDescent="0.2">
      <c r="A917" t="s">
        <v>76</v>
      </c>
      <c r="B917" t="s">
        <v>32</v>
      </c>
      <c r="C917">
        <v>8</v>
      </c>
      <c r="D917" t="s">
        <v>127</v>
      </c>
      <c r="E917" t="s">
        <v>259</v>
      </c>
      <c r="F917">
        <v>14.8</v>
      </c>
      <c r="G917">
        <v>2024</v>
      </c>
    </row>
    <row r="918" spans="1:7" hidden="1" x14ac:dyDescent="0.2">
      <c r="A918" t="s">
        <v>76</v>
      </c>
      <c r="B918" t="s">
        <v>32</v>
      </c>
      <c r="C918">
        <v>8</v>
      </c>
      <c r="D918" t="s">
        <v>129</v>
      </c>
      <c r="E918" t="s">
        <v>236</v>
      </c>
      <c r="F918">
        <v>21.8</v>
      </c>
      <c r="G918">
        <v>2024</v>
      </c>
    </row>
    <row r="919" spans="1:7" hidden="1" x14ac:dyDescent="0.2">
      <c r="A919" t="s">
        <v>76</v>
      </c>
      <c r="B919" t="s">
        <v>32</v>
      </c>
      <c r="C919">
        <v>8</v>
      </c>
      <c r="D919" t="s">
        <v>131</v>
      </c>
      <c r="E919" t="s">
        <v>237</v>
      </c>
      <c r="F919">
        <v>5</v>
      </c>
      <c r="G919">
        <v>2024</v>
      </c>
    </row>
    <row r="920" spans="1:7" hidden="1" x14ac:dyDescent="0.2">
      <c r="A920" t="s">
        <v>76</v>
      </c>
      <c r="B920" t="s">
        <v>32</v>
      </c>
      <c r="C920">
        <v>8</v>
      </c>
      <c r="D920" t="s">
        <v>130</v>
      </c>
      <c r="E920" t="s">
        <v>326</v>
      </c>
      <c r="F920">
        <v>4</v>
      </c>
      <c r="G920">
        <v>2024</v>
      </c>
    </row>
    <row r="921" spans="1:7" hidden="1" x14ac:dyDescent="0.2">
      <c r="A921" t="s">
        <v>76</v>
      </c>
      <c r="B921" t="s">
        <v>32</v>
      </c>
      <c r="C921">
        <v>8</v>
      </c>
      <c r="D921" t="s">
        <v>293</v>
      </c>
      <c r="E921" t="s">
        <v>235</v>
      </c>
      <c r="F921">
        <v>10.5</v>
      </c>
      <c r="G921">
        <v>2024</v>
      </c>
    </row>
    <row r="922" spans="1:7" hidden="1" x14ac:dyDescent="0.2">
      <c r="A922" t="s">
        <v>75</v>
      </c>
      <c r="B922" t="s">
        <v>36</v>
      </c>
      <c r="C922">
        <v>8</v>
      </c>
      <c r="D922" t="s">
        <v>125</v>
      </c>
      <c r="E922" t="s">
        <v>185</v>
      </c>
      <c r="F922">
        <v>9.94</v>
      </c>
      <c r="G922">
        <v>2024</v>
      </c>
    </row>
    <row r="923" spans="1:7" hidden="1" x14ac:dyDescent="0.2">
      <c r="A923" t="s">
        <v>75</v>
      </c>
      <c r="B923" t="s">
        <v>36</v>
      </c>
      <c r="C923">
        <v>8</v>
      </c>
      <c r="D923" t="s">
        <v>128</v>
      </c>
      <c r="E923" t="s">
        <v>186</v>
      </c>
      <c r="F923">
        <v>26.1</v>
      </c>
      <c r="G923">
        <v>2024</v>
      </c>
    </row>
    <row r="924" spans="1:7" hidden="1" x14ac:dyDescent="0.2">
      <c r="A924" t="s">
        <v>75</v>
      </c>
      <c r="B924" t="s">
        <v>36</v>
      </c>
      <c r="C924">
        <v>8</v>
      </c>
      <c r="D924" t="s">
        <v>128</v>
      </c>
      <c r="E924" t="s">
        <v>248</v>
      </c>
      <c r="F924">
        <v>9.9</v>
      </c>
      <c r="G924">
        <v>2024</v>
      </c>
    </row>
    <row r="925" spans="1:7" hidden="1" x14ac:dyDescent="0.2">
      <c r="A925" t="s">
        <v>75</v>
      </c>
      <c r="B925" t="s">
        <v>36</v>
      </c>
      <c r="C925">
        <v>8</v>
      </c>
      <c r="D925" t="s">
        <v>128</v>
      </c>
      <c r="E925" t="s">
        <v>187</v>
      </c>
      <c r="F925">
        <v>7.7</v>
      </c>
      <c r="G925">
        <v>2024</v>
      </c>
    </row>
    <row r="926" spans="1:7" hidden="1" x14ac:dyDescent="0.2">
      <c r="A926" t="s">
        <v>75</v>
      </c>
      <c r="B926" t="s">
        <v>36</v>
      </c>
      <c r="C926">
        <v>8</v>
      </c>
      <c r="D926" t="s">
        <v>127</v>
      </c>
      <c r="E926" t="s">
        <v>322</v>
      </c>
      <c r="F926">
        <v>6.8</v>
      </c>
      <c r="G926">
        <v>2024</v>
      </c>
    </row>
    <row r="927" spans="1:7" hidden="1" x14ac:dyDescent="0.2">
      <c r="A927" t="s">
        <v>75</v>
      </c>
      <c r="B927" t="s">
        <v>36</v>
      </c>
      <c r="C927">
        <v>8</v>
      </c>
      <c r="D927" t="s">
        <v>127</v>
      </c>
      <c r="E927" t="s">
        <v>365</v>
      </c>
      <c r="F927">
        <v>2.8</v>
      </c>
      <c r="G927">
        <v>2024</v>
      </c>
    </row>
    <row r="928" spans="1:7" hidden="1" x14ac:dyDescent="0.2">
      <c r="A928" t="s">
        <v>75</v>
      </c>
      <c r="B928" t="s">
        <v>36</v>
      </c>
      <c r="C928">
        <v>8</v>
      </c>
      <c r="D928" t="s">
        <v>129</v>
      </c>
      <c r="E928" t="s">
        <v>249</v>
      </c>
      <c r="F928">
        <v>20</v>
      </c>
      <c r="G928">
        <v>2024</v>
      </c>
    </row>
    <row r="929" spans="1:7" hidden="1" x14ac:dyDescent="0.2">
      <c r="A929" t="s">
        <v>75</v>
      </c>
      <c r="B929" t="s">
        <v>36</v>
      </c>
      <c r="C929">
        <v>8</v>
      </c>
      <c r="D929" t="s">
        <v>131</v>
      </c>
      <c r="E929" t="s">
        <v>192</v>
      </c>
      <c r="F929">
        <v>4</v>
      </c>
      <c r="G929">
        <v>2024</v>
      </c>
    </row>
    <row r="930" spans="1:7" hidden="1" x14ac:dyDescent="0.2">
      <c r="A930" t="s">
        <v>75</v>
      </c>
      <c r="B930" t="s">
        <v>36</v>
      </c>
      <c r="C930">
        <v>8</v>
      </c>
      <c r="D930" t="s">
        <v>130</v>
      </c>
      <c r="E930" t="s">
        <v>193</v>
      </c>
      <c r="F930">
        <v>9</v>
      </c>
      <c r="G930">
        <v>2024</v>
      </c>
    </row>
    <row r="931" spans="1:7" hidden="1" x14ac:dyDescent="0.2">
      <c r="A931" t="s">
        <v>75</v>
      </c>
      <c r="B931" t="s">
        <v>36</v>
      </c>
      <c r="C931">
        <v>8</v>
      </c>
      <c r="D931" t="s">
        <v>294</v>
      </c>
      <c r="E931" t="s">
        <v>188</v>
      </c>
      <c r="F931">
        <v>5.4</v>
      </c>
      <c r="G931">
        <v>2024</v>
      </c>
    </row>
    <row r="932" spans="1:7" hidden="1" x14ac:dyDescent="0.2">
      <c r="A932" t="s">
        <v>77</v>
      </c>
      <c r="B932" t="s">
        <v>45</v>
      </c>
      <c r="C932">
        <v>8</v>
      </c>
      <c r="D932" t="s">
        <v>125</v>
      </c>
      <c r="E932" t="s">
        <v>159</v>
      </c>
      <c r="F932">
        <v>12.4</v>
      </c>
      <c r="G932">
        <v>2024</v>
      </c>
    </row>
    <row r="933" spans="1:7" hidden="1" x14ac:dyDescent="0.2">
      <c r="A933" t="s">
        <v>77</v>
      </c>
      <c r="B933" t="s">
        <v>45</v>
      </c>
      <c r="C933">
        <v>8</v>
      </c>
      <c r="D933" t="s">
        <v>128</v>
      </c>
      <c r="E933" t="s">
        <v>162</v>
      </c>
      <c r="F933">
        <v>20.100000000000001</v>
      </c>
      <c r="G933">
        <v>2024</v>
      </c>
    </row>
    <row r="934" spans="1:7" hidden="1" x14ac:dyDescent="0.2">
      <c r="A934" t="s">
        <v>77</v>
      </c>
      <c r="B934" t="s">
        <v>45</v>
      </c>
      <c r="C934">
        <v>8</v>
      </c>
      <c r="D934" t="s">
        <v>128</v>
      </c>
      <c r="E934" t="s">
        <v>160</v>
      </c>
      <c r="F934">
        <v>9.4</v>
      </c>
      <c r="G934">
        <v>2024</v>
      </c>
    </row>
    <row r="935" spans="1:7" hidden="1" x14ac:dyDescent="0.2">
      <c r="A935" t="s">
        <v>77</v>
      </c>
      <c r="B935" t="s">
        <v>45</v>
      </c>
      <c r="C935">
        <v>8</v>
      </c>
      <c r="D935" t="s">
        <v>128</v>
      </c>
      <c r="E935" t="s">
        <v>305</v>
      </c>
      <c r="F935">
        <v>3.2</v>
      </c>
      <c r="G935">
        <v>2024</v>
      </c>
    </row>
    <row r="936" spans="1:7" hidden="1" x14ac:dyDescent="0.2">
      <c r="A936" t="s">
        <v>77</v>
      </c>
      <c r="B936" t="s">
        <v>45</v>
      </c>
      <c r="C936">
        <v>8</v>
      </c>
      <c r="D936" t="s">
        <v>127</v>
      </c>
      <c r="E936" t="s">
        <v>163</v>
      </c>
      <c r="F936">
        <v>21.4</v>
      </c>
      <c r="G936">
        <v>2024</v>
      </c>
    </row>
    <row r="937" spans="1:7" hidden="1" x14ac:dyDescent="0.2">
      <c r="A937" t="s">
        <v>77</v>
      </c>
      <c r="B937" t="s">
        <v>45</v>
      </c>
      <c r="C937">
        <v>8</v>
      </c>
      <c r="D937" t="s">
        <v>127</v>
      </c>
      <c r="E937" t="s">
        <v>252</v>
      </c>
      <c r="F937">
        <v>14.6</v>
      </c>
      <c r="G937">
        <v>2024</v>
      </c>
    </row>
    <row r="938" spans="1:7" hidden="1" x14ac:dyDescent="0.2">
      <c r="A938" t="s">
        <v>77</v>
      </c>
      <c r="B938" t="s">
        <v>45</v>
      </c>
      <c r="C938">
        <v>8</v>
      </c>
      <c r="D938" t="s">
        <v>129</v>
      </c>
      <c r="E938" t="s">
        <v>165</v>
      </c>
      <c r="F938">
        <v>7</v>
      </c>
      <c r="G938">
        <v>2024</v>
      </c>
    </row>
    <row r="939" spans="1:7" hidden="1" x14ac:dyDescent="0.2">
      <c r="A939" t="s">
        <v>77</v>
      </c>
      <c r="B939" t="s">
        <v>45</v>
      </c>
      <c r="C939">
        <v>8</v>
      </c>
      <c r="D939" t="s">
        <v>131</v>
      </c>
      <c r="E939" t="s">
        <v>166</v>
      </c>
      <c r="F939">
        <v>7</v>
      </c>
      <c r="G939">
        <v>2024</v>
      </c>
    </row>
    <row r="940" spans="1:7" hidden="1" x14ac:dyDescent="0.2">
      <c r="A940" t="s">
        <v>77</v>
      </c>
      <c r="B940" t="s">
        <v>45</v>
      </c>
      <c r="C940">
        <v>8</v>
      </c>
      <c r="D940" t="s">
        <v>130</v>
      </c>
      <c r="E940" t="s">
        <v>366</v>
      </c>
      <c r="F940">
        <v>2</v>
      </c>
      <c r="G940">
        <v>2024</v>
      </c>
    </row>
    <row r="941" spans="1:7" hidden="1" x14ac:dyDescent="0.2">
      <c r="A941" t="s">
        <v>77</v>
      </c>
      <c r="B941" t="s">
        <v>45</v>
      </c>
      <c r="C941">
        <v>8</v>
      </c>
      <c r="D941" t="s">
        <v>293</v>
      </c>
      <c r="E941" t="s">
        <v>306</v>
      </c>
      <c r="F941">
        <v>8.1</v>
      </c>
      <c r="G941">
        <v>2024</v>
      </c>
    </row>
    <row r="942" spans="1:7" hidden="1" x14ac:dyDescent="0.2">
      <c r="A942" t="s">
        <v>31</v>
      </c>
      <c r="B942" t="s">
        <v>33</v>
      </c>
      <c r="C942">
        <v>8</v>
      </c>
      <c r="D942" t="s">
        <v>125</v>
      </c>
      <c r="E942" t="s">
        <v>202</v>
      </c>
      <c r="F942">
        <v>24.16</v>
      </c>
      <c r="G942">
        <v>2024</v>
      </c>
    </row>
    <row r="943" spans="1:7" hidden="1" x14ac:dyDescent="0.2">
      <c r="A943" t="s">
        <v>31</v>
      </c>
      <c r="B943" t="s">
        <v>33</v>
      </c>
      <c r="C943">
        <v>8</v>
      </c>
      <c r="D943" t="s">
        <v>128</v>
      </c>
      <c r="E943" t="s">
        <v>199</v>
      </c>
      <c r="F943">
        <v>10.199999999999999</v>
      </c>
      <c r="G943">
        <v>2024</v>
      </c>
    </row>
    <row r="944" spans="1:7" hidden="1" x14ac:dyDescent="0.2">
      <c r="A944" t="s">
        <v>31</v>
      </c>
      <c r="B944" t="s">
        <v>33</v>
      </c>
      <c r="C944">
        <v>8</v>
      </c>
      <c r="D944" t="s">
        <v>128</v>
      </c>
      <c r="E944" t="s">
        <v>200</v>
      </c>
      <c r="F944">
        <v>6.9</v>
      </c>
      <c r="G944">
        <v>2024</v>
      </c>
    </row>
    <row r="945" spans="1:7" hidden="1" x14ac:dyDescent="0.2">
      <c r="A945" t="s">
        <v>31</v>
      </c>
      <c r="B945" t="s">
        <v>33</v>
      </c>
      <c r="C945">
        <v>8</v>
      </c>
      <c r="D945" t="s">
        <v>128</v>
      </c>
      <c r="E945" t="s">
        <v>201</v>
      </c>
      <c r="F945">
        <v>0.8</v>
      </c>
      <c r="G945">
        <v>2024</v>
      </c>
    </row>
    <row r="946" spans="1:7" hidden="1" x14ac:dyDescent="0.2">
      <c r="A946" t="s">
        <v>31</v>
      </c>
      <c r="B946" t="s">
        <v>33</v>
      </c>
      <c r="C946">
        <v>8</v>
      </c>
      <c r="D946" t="s">
        <v>127</v>
      </c>
      <c r="E946" t="s">
        <v>198</v>
      </c>
      <c r="F946">
        <v>18.2</v>
      </c>
      <c r="G946">
        <v>2024</v>
      </c>
    </row>
    <row r="947" spans="1:7" hidden="1" x14ac:dyDescent="0.2">
      <c r="A947" t="s">
        <v>31</v>
      </c>
      <c r="B947" t="s">
        <v>33</v>
      </c>
      <c r="C947">
        <v>8</v>
      </c>
      <c r="D947" t="s">
        <v>127</v>
      </c>
      <c r="E947" t="s">
        <v>197</v>
      </c>
      <c r="F947">
        <v>15.2</v>
      </c>
      <c r="G947">
        <v>2024</v>
      </c>
    </row>
    <row r="948" spans="1:7" hidden="1" x14ac:dyDescent="0.2">
      <c r="A948" t="s">
        <v>31</v>
      </c>
      <c r="B948" t="s">
        <v>33</v>
      </c>
      <c r="C948">
        <v>8</v>
      </c>
      <c r="D948" t="s">
        <v>129</v>
      </c>
      <c r="E948" t="s">
        <v>213</v>
      </c>
      <c r="F948">
        <v>11.6</v>
      </c>
      <c r="G948">
        <v>2024</v>
      </c>
    </row>
    <row r="949" spans="1:7" hidden="1" x14ac:dyDescent="0.2">
      <c r="A949" t="s">
        <v>31</v>
      </c>
      <c r="B949" t="s">
        <v>33</v>
      </c>
      <c r="C949">
        <v>8</v>
      </c>
      <c r="D949" t="s">
        <v>131</v>
      </c>
      <c r="E949" t="s">
        <v>195</v>
      </c>
      <c r="F949">
        <v>11</v>
      </c>
      <c r="G949">
        <v>2024</v>
      </c>
    </row>
    <row r="950" spans="1:7" hidden="1" x14ac:dyDescent="0.2">
      <c r="A950" t="s">
        <v>31</v>
      </c>
      <c r="B950" t="s">
        <v>33</v>
      </c>
      <c r="C950">
        <v>8</v>
      </c>
      <c r="D950" t="s">
        <v>130</v>
      </c>
      <c r="E950" t="s">
        <v>289</v>
      </c>
      <c r="F950">
        <v>-1</v>
      </c>
      <c r="G950">
        <v>2024</v>
      </c>
    </row>
    <row r="951" spans="1:7" hidden="1" x14ac:dyDescent="0.2">
      <c r="A951" t="s">
        <v>31</v>
      </c>
      <c r="B951" t="s">
        <v>33</v>
      </c>
      <c r="C951">
        <v>8</v>
      </c>
      <c r="D951" t="s">
        <v>293</v>
      </c>
      <c r="E951" t="s">
        <v>291</v>
      </c>
      <c r="F951">
        <v>8.1</v>
      </c>
      <c r="G951">
        <v>2024</v>
      </c>
    </row>
    <row r="952" spans="1:7" hidden="1" x14ac:dyDescent="0.2">
      <c r="A952" t="s">
        <v>26</v>
      </c>
      <c r="B952" t="s">
        <v>28</v>
      </c>
      <c r="C952">
        <v>8</v>
      </c>
      <c r="D952" t="s">
        <v>125</v>
      </c>
      <c r="E952" t="s">
        <v>212</v>
      </c>
      <c r="F952">
        <v>19.82</v>
      </c>
      <c r="G952">
        <v>2024</v>
      </c>
    </row>
    <row r="953" spans="1:7" hidden="1" x14ac:dyDescent="0.2">
      <c r="A953" t="s">
        <v>26</v>
      </c>
      <c r="B953" t="s">
        <v>28</v>
      </c>
      <c r="C953">
        <v>8</v>
      </c>
      <c r="D953" t="s">
        <v>128</v>
      </c>
      <c r="E953" t="s">
        <v>218</v>
      </c>
      <c r="F953">
        <v>10.6</v>
      </c>
      <c r="G953">
        <v>2024</v>
      </c>
    </row>
    <row r="954" spans="1:7" hidden="1" x14ac:dyDescent="0.2">
      <c r="A954" t="s">
        <v>26</v>
      </c>
      <c r="B954" t="s">
        <v>28</v>
      </c>
      <c r="C954">
        <v>8</v>
      </c>
      <c r="D954" t="s">
        <v>128</v>
      </c>
      <c r="E954" t="s">
        <v>257</v>
      </c>
      <c r="F954">
        <v>11.7</v>
      </c>
      <c r="G954">
        <v>2024</v>
      </c>
    </row>
    <row r="955" spans="1:7" hidden="1" x14ac:dyDescent="0.2">
      <c r="A955" t="s">
        <v>26</v>
      </c>
      <c r="B955" t="s">
        <v>28</v>
      </c>
      <c r="C955">
        <v>8</v>
      </c>
      <c r="D955" t="s">
        <v>128</v>
      </c>
      <c r="E955" t="s">
        <v>220</v>
      </c>
      <c r="F955">
        <v>8.6999999999999993</v>
      </c>
      <c r="G955">
        <v>2024</v>
      </c>
    </row>
    <row r="956" spans="1:7" hidden="1" x14ac:dyDescent="0.2">
      <c r="A956" t="s">
        <v>26</v>
      </c>
      <c r="B956" t="s">
        <v>28</v>
      </c>
      <c r="C956">
        <v>8</v>
      </c>
      <c r="D956" t="s">
        <v>127</v>
      </c>
      <c r="E956" t="s">
        <v>256</v>
      </c>
      <c r="F956">
        <v>20.100000000000001</v>
      </c>
      <c r="G956">
        <v>2024</v>
      </c>
    </row>
    <row r="957" spans="1:7" hidden="1" x14ac:dyDescent="0.2">
      <c r="A957" t="s">
        <v>26</v>
      </c>
      <c r="B957" t="s">
        <v>28</v>
      </c>
      <c r="C957">
        <v>8</v>
      </c>
      <c r="D957" t="s">
        <v>127</v>
      </c>
      <c r="E957" t="s">
        <v>217</v>
      </c>
      <c r="F957">
        <v>13.2</v>
      </c>
      <c r="G957">
        <v>2024</v>
      </c>
    </row>
    <row r="958" spans="1:7" hidden="1" x14ac:dyDescent="0.2">
      <c r="A958" t="s">
        <v>26</v>
      </c>
      <c r="B958" t="s">
        <v>28</v>
      </c>
      <c r="C958">
        <v>8</v>
      </c>
      <c r="D958" t="s">
        <v>129</v>
      </c>
      <c r="E958" t="s">
        <v>196</v>
      </c>
      <c r="F958">
        <v>12.1</v>
      </c>
      <c r="G958">
        <v>2024</v>
      </c>
    </row>
    <row r="959" spans="1:7" hidden="1" x14ac:dyDescent="0.2">
      <c r="A959" t="s">
        <v>26</v>
      </c>
      <c r="B959" t="s">
        <v>28</v>
      </c>
      <c r="C959">
        <v>8</v>
      </c>
      <c r="D959" t="s">
        <v>131</v>
      </c>
      <c r="E959" t="s">
        <v>214</v>
      </c>
      <c r="F959">
        <v>10</v>
      </c>
      <c r="G959">
        <v>2024</v>
      </c>
    </row>
    <row r="960" spans="1:7" hidden="1" x14ac:dyDescent="0.2">
      <c r="A960" t="s">
        <v>26</v>
      </c>
      <c r="B960" t="s">
        <v>28</v>
      </c>
      <c r="C960">
        <v>8</v>
      </c>
      <c r="D960" t="s">
        <v>130</v>
      </c>
      <c r="E960" t="s">
        <v>167</v>
      </c>
      <c r="F960">
        <v>0</v>
      </c>
      <c r="G960">
        <v>2024</v>
      </c>
    </row>
    <row r="961" spans="1:7" hidden="1" x14ac:dyDescent="0.2">
      <c r="A961" t="s">
        <v>26</v>
      </c>
      <c r="B961" t="s">
        <v>28</v>
      </c>
      <c r="C961">
        <v>8</v>
      </c>
      <c r="D961" t="s">
        <v>293</v>
      </c>
      <c r="E961" t="s">
        <v>216</v>
      </c>
      <c r="F961">
        <v>11.6</v>
      </c>
      <c r="G961">
        <v>2024</v>
      </c>
    </row>
    <row r="962" spans="1:7" hidden="1" x14ac:dyDescent="0.2">
      <c r="A962" t="s">
        <v>14</v>
      </c>
      <c r="B962" t="s">
        <v>16</v>
      </c>
      <c r="C962">
        <v>9</v>
      </c>
      <c r="D962" t="s">
        <v>127</v>
      </c>
      <c r="E962" t="s">
        <v>348</v>
      </c>
      <c r="F962">
        <v>7.4</v>
      </c>
      <c r="G962">
        <v>2024</v>
      </c>
    </row>
    <row r="963" spans="1:7" hidden="1" x14ac:dyDescent="0.2">
      <c r="A963" t="s">
        <v>14</v>
      </c>
      <c r="B963" t="s">
        <v>16</v>
      </c>
      <c r="C963">
        <v>9</v>
      </c>
      <c r="D963" t="s">
        <v>125</v>
      </c>
      <c r="E963" t="s">
        <v>241</v>
      </c>
      <c r="F963">
        <v>18</v>
      </c>
      <c r="G963">
        <v>2024</v>
      </c>
    </row>
    <row r="964" spans="1:7" hidden="1" x14ac:dyDescent="0.2">
      <c r="A964" t="s">
        <v>14</v>
      </c>
      <c r="B964" t="s">
        <v>16</v>
      </c>
      <c r="C964">
        <v>9</v>
      </c>
      <c r="D964" t="s">
        <v>128</v>
      </c>
      <c r="E964" t="s">
        <v>367</v>
      </c>
      <c r="F964">
        <v>16.5</v>
      </c>
      <c r="G964">
        <v>2024</v>
      </c>
    </row>
    <row r="965" spans="1:7" hidden="1" x14ac:dyDescent="0.2">
      <c r="A965" t="s">
        <v>14</v>
      </c>
      <c r="B965" t="s">
        <v>16</v>
      </c>
      <c r="C965">
        <v>9</v>
      </c>
      <c r="D965" t="s">
        <v>128</v>
      </c>
      <c r="E965" t="s">
        <v>288</v>
      </c>
      <c r="F965">
        <v>19.78</v>
      </c>
      <c r="G965">
        <v>2024</v>
      </c>
    </row>
    <row r="966" spans="1:7" hidden="1" x14ac:dyDescent="0.2">
      <c r="A966" t="s">
        <v>14</v>
      </c>
      <c r="B966" t="s">
        <v>16</v>
      </c>
      <c r="C966">
        <v>9</v>
      </c>
      <c r="D966" t="s">
        <v>128</v>
      </c>
      <c r="E966" t="s">
        <v>132</v>
      </c>
      <c r="F966">
        <v>13.8</v>
      </c>
      <c r="G966">
        <v>2024</v>
      </c>
    </row>
    <row r="967" spans="1:7" hidden="1" x14ac:dyDescent="0.2">
      <c r="A967" t="s">
        <v>14</v>
      </c>
      <c r="B967" t="s">
        <v>16</v>
      </c>
      <c r="C967">
        <v>9</v>
      </c>
      <c r="D967" t="s">
        <v>129</v>
      </c>
      <c r="E967" t="s">
        <v>137</v>
      </c>
      <c r="F967">
        <v>11.2</v>
      </c>
      <c r="G967">
        <v>2024</v>
      </c>
    </row>
    <row r="968" spans="1:7" hidden="1" x14ac:dyDescent="0.2">
      <c r="A968" t="s">
        <v>14</v>
      </c>
      <c r="B968" t="s">
        <v>16</v>
      </c>
      <c r="C968">
        <v>9</v>
      </c>
      <c r="D968" t="s">
        <v>131</v>
      </c>
      <c r="E968" t="s">
        <v>357</v>
      </c>
      <c r="F968">
        <v>2</v>
      </c>
      <c r="G968">
        <v>2024</v>
      </c>
    </row>
    <row r="969" spans="1:7" hidden="1" x14ac:dyDescent="0.2">
      <c r="A969" t="s">
        <v>14</v>
      </c>
      <c r="B969" t="s">
        <v>16</v>
      </c>
      <c r="C969">
        <v>9</v>
      </c>
      <c r="D969" t="s">
        <v>130</v>
      </c>
      <c r="E969" t="s">
        <v>260</v>
      </c>
      <c r="F969">
        <v>9</v>
      </c>
      <c r="G969">
        <v>2024</v>
      </c>
    </row>
    <row r="970" spans="1:7" hidden="1" x14ac:dyDescent="0.2">
      <c r="A970" t="s">
        <v>14</v>
      </c>
      <c r="B970" t="s">
        <v>16</v>
      </c>
      <c r="C970">
        <v>9</v>
      </c>
      <c r="D970" t="s">
        <v>294</v>
      </c>
      <c r="E970" t="s">
        <v>133</v>
      </c>
      <c r="F970">
        <v>10</v>
      </c>
      <c r="G970">
        <v>2024</v>
      </c>
    </row>
    <row r="971" spans="1:7" hidden="1" x14ac:dyDescent="0.2">
      <c r="A971" t="s">
        <v>14</v>
      </c>
      <c r="B971" t="s">
        <v>16</v>
      </c>
      <c r="C971">
        <v>9</v>
      </c>
      <c r="D971" t="s">
        <v>127</v>
      </c>
      <c r="E971" t="s">
        <v>136</v>
      </c>
      <c r="F971">
        <v>9.4</v>
      </c>
      <c r="G971">
        <v>2024</v>
      </c>
    </row>
    <row r="972" spans="1:7" hidden="1" x14ac:dyDescent="0.2">
      <c r="A972" t="s">
        <v>35</v>
      </c>
      <c r="B972" t="s">
        <v>49</v>
      </c>
      <c r="C972">
        <v>9</v>
      </c>
      <c r="D972" t="s">
        <v>125</v>
      </c>
      <c r="E972" t="s">
        <v>345</v>
      </c>
      <c r="F972">
        <v>17.78</v>
      </c>
      <c r="G972">
        <v>2024</v>
      </c>
    </row>
    <row r="973" spans="1:7" hidden="1" x14ac:dyDescent="0.2">
      <c r="A973" t="s">
        <v>35</v>
      </c>
      <c r="B973" t="s">
        <v>49</v>
      </c>
      <c r="C973">
        <v>9</v>
      </c>
      <c r="D973" t="s">
        <v>128</v>
      </c>
      <c r="E973" t="s">
        <v>224</v>
      </c>
      <c r="F973">
        <v>25.5</v>
      </c>
      <c r="G973">
        <v>2024</v>
      </c>
    </row>
    <row r="974" spans="1:7" hidden="1" x14ac:dyDescent="0.2">
      <c r="A974" t="s">
        <v>35</v>
      </c>
      <c r="B974" t="s">
        <v>49</v>
      </c>
      <c r="C974">
        <v>9</v>
      </c>
      <c r="D974" t="s">
        <v>128</v>
      </c>
      <c r="E974" t="s">
        <v>304</v>
      </c>
      <c r="F974">
        <v>5.6</v>
      </c>
      <c r="G974">
        <v>2024</v>
      </c>
    </row>
    <row r="975" spans="1:7" hidden="1" x14ac:dyDescent="0.2">
      <c r="A975" t="s">
        <v>35</v>
      </c>
      <c r="B975" t="s">
        <v>49</v>
      </c>
      <c r="C975">
        <v>9</v>
      </c>
      <c r="D975" t="s">
        <v>128</v>
      </c>
      <c r="E975" t="s">
        <v>254</v>
      </c>
      <c r="F975">
        <v>1.9</v>
      </c>
      <c r="G975">
        <v>2024</v>
      </c>
    </row>
    <row r="976" spans="1:7" hidden="1" x14ac:dyDescent="0.2">
      <c r="A976" t="s">
        <v>35</v>
      </c>
      <c r="B976" t="s">
        <v>49</v>
      </c>
      <c r="C976">
        <v>9</v>
      </c>
      <c r="D976" t="s">
        <v>127</v>
      </c>
      <c r="E976" t="s">
        <v>225</v>
      </c>
      <c r="F976">
        <v>12.2</v>
      </c>
      <c r="G976">
        <v>2024</v>
      </c>
    </row>
    <row r="977" spans="1:7" hidden="1" x14ac:dyDescent="0.2">
      <c r="A977" t="s">
        <v>35</v>
      </c>
      <c r="B977" t="s">
        <v>49</v>
      </c>
      <c r="C977">
        <v>9</v>
      </c>
      <c r="D977" t="s">
        <v>127</v>
      </c>
      <c r="E977" t="s">
        <v>226</v>
      </c>
      <c r="F977">
        <v>9.5</v>
      </c>
      <c r="G977">
        <v>2024</v>
      </c>
    </row>
    <row r="978" spans="1:7" hidden="1" x14ac:dyDescent="0.2">
      <c r="A978" t="s">
        <v>35</v>
      </c>
      <c r="B978" t="s">
        <v>49</v>
      </c>
      <c r="C978">
        <v>9</v>
      </c>
      <c r="D978" t="s">
        <v>129</v>
      </c>
      <c r="E978" t="s">
        <v>362</v>
      </c>
      <c r="F978">
        <v>14</v>
      </c>
      <c r="G978">
        <v>2024</v>
      </c>
    </row>
    <row r="979" spans="1:7" hidden="1" x14ac:dyDescent="0.2">
      <c r="A979" t="s">
        <v>35</v>
      </c>
      <c r="B979" t="s">
        <v>49</v>
      </c>
      <c r="C979">
        <v>9</v>
      </c>
      <c r="D979" t="s">
        <v>131</v>
      </c>
      <c r="E979" t="s">
        <v>350</v>
      </c>
      <c r="F979">
        <v>1</v>
      </c>
      <c r="G979">
        <v>2024</v>
      </c>
    </row>
    <row r="980" spans="1:7" hidden="1" x14ac:dyDescent="0.2">
      <c r="A980" t="s">
        <v>35</v>
      </c>
      <c r="B980" t="s">
        <v>49</v>
      </c>
      <c r="C980">
        <v>9</v>
      </c>
      <c r="D980" t="s">
        <v>130</v>
      </c>
      <c r="E980" t="s">
        <v>194</v>
      </c>
      <c r="F980">
        <v>19</v>
      </c>
      <c r="G980">
        <v>2024</v>
      </c>
    </row>
    <row r="981" spans="1:7" hidden="1" x14ac:dyDescent="0.2">
      <c r="A981" t="s">
        <v>35</v>
      </c>
      <c r="B981" t="s">
        <v>49</v>
      </c>
      <c r="C981">
        <v>9</v>
      </c>
      <c r="D981" t="s">
        <v>293</v>
      </c>
      <c r="E981" t="s">
        <v>255</v>
      </c>
      <c r="F981">
        <v>4.9000000000000004</v>
      </c>
      <c r="G981">
        <v>2024</v>
      </c>
    </row>
    <row r="982" spans="1:7" hidden="1" x14ac:dyDescent="0.2">
      <c r="A982" t="s">
        <v>42</v>
      </c>
      <c r="B982" t="s">
        <v>17</v>
      </c>
      <c r="C982">
        <v>9</v>
      </c>
      <c r="D982" t="s">
        <v>125</v>
      </c>
      <c r="E982" t="s">
        <v>150</v>
      </c>
      <c r="F982">
        <v>24.54</v>
      </c>
      <c r="G982">
        <v>2024</v>
      </c>
    </row>
    <row r="983" spans="1:7" hidden="1" x14ac:dyDescent="0.2">
      <c r="A983" t="s">
        <v>42</v>
      </c>
      <c r="B983" t="s">
        <v>17</v>
      </c>
      <c r="C983">
        <v>9</v>
      </c>
      <c r="D983" t="s">
        <v>128</v>
      </c>
      <c r="E983" t="s">
        <v>151</v>
      </c>
      <c r="F983">
        <v>18.600000000000001</v>
      </c>
      <c r="G983">
        <v>2024</v>
      </c>
    </row>
    <row r="984" spans="1:7" hidden="1" x14ac:dyDescent="0.2">
      <c r="A984" t="s">
        <v>42</v>
      </c>
      <c r="B984" t="s">
        <v>17</v>
      </c>
      <c r="C984">
        <v>9</v>
      </c>
      <c r="D984" t="s">
        <v>128</v>
      </c>
      <c r="E984" t="s">
        <v>274</v>
      </c>
      <c r="F984">
        <v>15.6</v>
      </c>
      <c r="G984">
        <v>2024</v>
      </c>
    </row>
    <row r="985" spans="1:7" hidden="1" x14ac:dyDescent="0.2">
      <c r="A985" t="s">
        <v>42</v>
      </c>
      <c r="B985" t="s">
        <v>17</v>
      </c>
      <c r="C985">
        <v>9</v>
      </c>
      <c r="D985" t="s">
        <v>128</v>
      </c>
      <c r="E985" t="s">
        <v>153</v>
      </c>
      <c r="F985">
        <v>8</v>
      </c>
      <c r="G985">
        <v>2024</v>
      </c>
    </row>
    <row r="986" spans="1:7" hidden="1" x14ac:dyDescent="0.2">
      <c r="A986" t="s">
        <v>42</v>
      </c>
      <c r="B986" t="s">
        <v>17</v>
      </c>
      <c r="C986">
        <v>9</v>
      </c>
      <c r="D986" t="s">
        <v>127</v>
      </c>
      <c r="E986" t="s">
        <v>154</v>
      </c>
      <c r="F986">
        <v>25.8</v>
      </c>
      <c r="G986">
        <v>2024</v>
      </c>
    </row>
    <row r="987" spans="1:7" hidden="1" x14ac:dyDescent="0.2">
      <c r="A987" t="s">
        <v>42</v>
      </c>
      <c r="B987" t="s">
        <v>17</v>
      </c>
      <c r="C987">
        <v>9</v>
      </c>
      <c r="D987" t="s">
        <v>127</v>
      </c>
      <c r="E987" t="s">
        <v>313</v>
      </c>
      <c r="F987">
        <v>18.2</v>
      </c>
      <c r="G987">
        <v>2024</v>
      </c>
    </row>
    <row r="988" spans="1:7" hidden="1" x14ac:dyDescent="0.2">
      <c r="A988" t="s">
        <v>42</v>
      </c>
      <c r="B988" t="s">
        <v>17</v>
      </c>
      <c r="C988">
        <v>9</v>
      </c>
      <c r="D988" t="s">
        <v>129</v>
      </c>
      <c r="E988" t="s">
        <v>156</v>
      </c>
      <c r="F988">
        <v>3.8</v>
      </c>
      <c r="G988">
        <v>2024</v>
      </c>
    </row>
    <row r="989" spans="1:7" hidden="1" x14ac:dyDescent="0.2">
      <c r="A989" t="s">
        <v>42</v>
      </c>
      <c r="B989" t="s">
        <v>17</v>
      </c>
      <c r="C989">
        <v>9</v>
      </c>
      <c r="D989" t="s">
        <v>131</v>
      </c>
      <c r="E989" t="s">
        <v>143</v>
      </c>
      <c r="F989">
        <v>3</v>
      </c>
      <c r="G989">
        <v>2024</v>
      </c>
    </row>
    <row r="990" spans="1:7" hidden="1" x14ac:dyDescent="0.2">
      <c r="A990" t="s">
        <v>42</v>
      </c>
      <c r="B990" t="s">
        <v>17</v>
      </c>
      <c r="C990">
        <v>9</v>
      </c>
      <c r="D990" t="s">
        <v>130</v>
      </c>
      <c r="E990" t="s">
        <v>157</v>
      </c>
      <c r="F990">
        <v>2</v>
      </c>
      <c r="G990">
        <v>2024</v>
      </c>
    </row>
    <row r="991" spans="1:7" hidden="1" x14ac:dyDescent="0.2">
      <c r="A991" t="s">
        <v>42</v>
      </c>
      <c r="B991" t="s">
        <v>17</v>
      </c>
      <c r="C991">
        <v>9</v>
      </c>
      <c r="D991" t="s">
        <v>293</v>
      </c>
      <c r="E991" t="s">
        <v>361</v>
      </c>
      <c r="F991">
        <v>4</v>
      </c>
      <c r="G991">
        <v>2024</v>
      </c>
    </row>
    <row r="992" spans="1:7" hidden="1" x14ac:dyDescent="0.2">
      <c r="A992" t="s">
        <v>46</v>
      </c>
      <c r="B992" t="s">
        <v>47</v>
      </c>
      <c r="C992">
        <v>9</v>
      </c>
      <c r="D992" t="s">
        <v>125</v>
      </c>
      <c r="E992" t="s">
        <v>368</v>
      </c>
      <c r="F992">
        <v>17.22</v>
      </c>
      <c r="G992">
        <v>2024</v>
      </c>
    </row>
    <row r="993" spans="1:7" hidden="1" x14ac:dyDescent="0.2">
      <c r="A993" t="s">
        <v>46</v>
      </c>
      <c r="B993" t="s">
        <v>47</v>
      </c>
      <c r="C993">
        <v>9</v>
      </c>
      <c r="D993" t="s">
        <v>128</v>
      </c>
      <c r="E993" t="s">
        <v>177</v>
      </c>
      <c r="F993">
        <v>12.2</v>
      </c>
      <c r="G993">
        <v>2024</v>
      </c>
    </row>
    <row r="994" spans="1:7" hidden="1" x14ac:dyDescent="0.2">
      <c r="A994" t="s">
        <v>46</v>
      </c>
      <c r="B994" t="s">
        <v>47</v>
      </c>
      <c r="C994">
        <v>9</v>
      </c>
      <c r="D994" t="s">
        <v>128</v>
      </c>
      <c r="E994" t="s">
        <v>178</v>
      </c>
      <c r="F994">
        <v>6.6</v>
      </c>
      <c r="G994">
        <v>2024</v>
      </c>
    </row>
    <row r="995" spans="1:7" hidden="1" x14ac:dyDescent="0.2">
      <c r="A995" t="s">
        <v>46</v>
      </c>
      <c r="B995" t="s">
        <v>47</v>
      </c>
      <c r="C995">
        <v>9</v>
      </c>
      <c r="D995" t="s">
        <v>128</v>
      </c>
      <c r="E995" t="s">
        <v>283</v>
      </c>
      <c r="F995">
        <v>10.8</v>
      </c>
      <c r="G995">
        <v>2024</v>
      </c>
    </row>
    <row r="996" spans="1:7" hidden="1" x14ac:dyDescent="0.2">
      <c r="A996" t="s">
        <v>46</v>
      </c>
      <c r="B996" t="s">
        <v>47</v>
      </c>
      <c r="C996">
        <v>9</v>
      </c>
      <c r="D996" t="s">
        <v>127</v>
      </c>
      <c r="E996" t="s">
        <v>180</v>
      </c>
      <c r="F996">
        <v>11.8</v>
      </c>
      <c r="G996">
        <v>2024</v>
      </c>
    </row>
    <row r="997" spans="1:7" hidden="1" x14ac:dyDescent="0.2">
      <c r="A997" t="s">
        <v>46</v>
      </c>
      <c r="B997" t="s">
        <v>47</v>
      </c>
      <c r="C997">
        <v>9</v>
      </c>
      <c r="D997" t="s">
        <v>127</v>
      </c>
      <c r="E997" t="s">
        <v>181</v>
      </c>
      <c r="F997">
        <v>11.1</v>
      </c>
      <c r="G997">
        <v>2024</v>
      </c>
    </row>
    <row r="998" spans="1:7" hidden="1" x14ac:dyDescent="0.2">
      <c r="A998" t="s">
        <v>46</v>
      </c>
      <c r="B998" t="s">
        <v>47</v>
      </c>
      <c r="C998">
        <v>9</v>
      </c>
      <c r="D998" t="s">
        <v>129</v>
      </c>
      <c r="E998" t="s">
        <v>182</v>
      </c>
      <c r="F998">
        <v>13</v>
      </c>
      <c r="G998">
        <v>2024</v>
      </c>
    </row>
    <row r="999" spans="1:7" hidden="1" x14ac:dyDescent="0.2">
      <c r="A999" t="s">
        <v>46</v>
      </c>
      <c r="B999" t="s">
        <v>47</v>
      </c>
      <c r="C999">
        <v>9</v>
      </c>
      <c r="D999" t="s">
        <v>131</v>
      </c>
      <c r="E999" t="s">
        <v>319</v>
      </c>
      <c r="F999">
        <v>9</v>
      </c>
      <c r="G999">
        <v>2024</v>
      </c>
    </row>
    <row r="1000" spans="1:7" hidden="1" x14ac:dyDescent="0.2">
      <c r="A1000" t="s">
        <v>46</v>
      </c>
      <c r="B1000" t="s">
        <v>47</v>
      </c>
      <c r="C1000">
        <v>9</v>
      </c>
      <c r="D1000" t="s">
        <v>130</v>
      </c>
      <c r="E1000" t="s">
        <v>287</v>
      </c>
      <c r="F1000">
        <v>3</v>
      </c>
      <c r="G1000">
        <v>2024</v>
      </c>
    </row>
    <row r="1001" spans="1:7" hidden="1" x14ac:dyDescent="0.2">
      <c r="A1001" t="s">
        <v>46</v>
      </c>
      <c r="B1001" t="s">
        <v>47</v>
      </c>
      <c r="C1001">
        <v>9</v>
      </c>
      <c r="D1001" t="s">
        <v>294</v>
      </c>
      <c r="E1001" t="s">
        <v>179</v>
      </c>
      <c r="F1001">
        <v>1.6</v>
      </c>
      <c r="G1001">
        <v>2024</v>
      </c>
    </row>
    <row r="1002" spans="1:7" hidden="1" x14ac:dyDescent="0.2">
      <c r="A1002" t="s">
        <v>73</v>
      </c>
      <c r="B1002" t="s">
        <v>21</v>
      </c>
      <c r="C1002">
        <v>9</v>
      </c>
      <c r="D1002" t="s">
        <v>125</v>
      </c>
      <c r="E1002" t="s">
        <v>325</v>
      </c>
      <c r="F1002">
        <v>19</v>
      </c>
      <c r="G1002">
        <v>2024</v>
      </c>
    </row>
    <row r="1003" spans="1:7" hidden="1" x14ac:dyDescent="0.2">
      <c r="A1003" t="s">
        <v>73</v>
      </c>
      <c r="B1003" t="s">
        <v>21</v>
      </c>
      <c r="C1003">
        <v>9</v>
      </c>
      <c r="D1003" t="s">
        <v>128</v>
      </c>
      <c r="E1003" t="s">
        <v>328</v>
      </c>
      <c r="F1003">
        <v>17.3</v>
      </c>
      <c r="G1003">
        <v>2024</v>
      </c>
    </row>
    <row r="1004" spans="1:7" hidden="1" x14ac:dyDescent="0.2">
      <c r="A1004" t="s">
        <v>73</v>
      </c>
      <c r="B1004" t="s">
        <v>21</v>
      </c>
      <c r="C1004">
        <v>9</v>
      </c>
      <c r="D1004" t="s">
        <v>128</v>
      </c>
      <c r="E1004" t="s">
        <v>145</v>
      </c>
      <c r="F1004">
        <v>4.5999999999999996</v>
      </c>
      <c r="G1004">
        <v>2024</v>
      </c>
    </row>
    <row r="1005" spans="1:7" hidden="1" x14ac:dyDescent="0.2">
      <c r="A1005" t="s">
        <v>73</v>
      </c>
      <c r="B1005" t="s">
        <v>21</v>
      </c>
      <c r="C1005">
        <v>9</v>
      </c>
      <c r="D1005" t="s">
        <v>128</v>
      </c>
      <c r="E1005" t="s">
        <v>277</v>
      </c>
      <c r="F1005">
        <v>5.2</v>
      </c>
      <c r="G1005">
        <v>2024</v>
      </c>
    </row>
    <row r="1006" spans="1:7" hidden="1" x14ac:dyDescent="0.2">
      <c r="A1006" t="s">
        <v>73</v>
      </c>
      <c r="B1006" t="s">
        <v>21</v>
      </c>
      <c r="C1006">
        <v>9</v>
      </c>
      <c r="D1006" t="s">
        <v>127</v>
      </c>
      <c r="E1006" t="s">
        <v>148</v>
      </c>
      <c r="F1006">
        <v>28.1</v>
      </c>
      <c r="G1006">
        <v>2024</v>
      </c>
    </row>
    <row r="1007" spans="1:7" hidden="1" x14ac:dyDescent="0.2">
      <c r="A1007" t="s">
        <v>73</v>
      </c>
      <c r="B1007" t="s">
        <v>21</v>
      </c>
      <c r="C1007">
        <v>9</v>
      </c>
      <c r="D1007" t="s">
        <v>127</v>
      </c>
      <c r="E1007" t="s">
        <v>149</v>
      </c>
      <c r="F1007">
        <v>13.4</v>
      </c>
      <c r="G1007">
        <v>2024</v>
      </c>
    </row>
    <row r="1008" spans="1:7" hidden="1" x14ac:dyDescent="0.2">
      <c r="A1008" t="s">
        <v>73</v>
      </c>
      <c r="B1008" t="s">
        <v>21</v>
      </c>
      <c r="C1008">
        <v>9</v>
      </c>
      <c r="D1008" t="s">
        <v>129</v>
      </c>
      <c r="E1008" t="s">
        <v>327</v>
      </c>
      <c r="F1008">
        <v>5.6</v>
      </c>
      <c r="G1008">
        <v>2024</v>
      </c>
    </row>
    <row r="1009" spans="1:7" hidden="1" x14ac:dyDescent="0.2">
      <c r="A1009" t="s">
        <v>73</v>
      </c>
      <c r="B1009" t="s">
        <v>21</v>
      </c>
      <c r="C1009">
        <v>9</v>
      </c>
      <c r="D1009" t="s">
        <v>131</v>
      </c>
      <c r="E1009" t="s">
        <v>183</v>
      </c>
      <c r="F1009">
        <v>5</v>
      </c>
      <c r="G1009">
        <v>2024</v>
      </c>
    </row>
    <row r="1010" spans="1:7" hidden="1" x14ac:dyDescent="0.2">
      <c r="A1010" t="s">
        <v>73</v>
      </c>
      <c r="B1010" t="s">
        <v>21</v>
      </c>
      <c r="C1010">
        <v>9</v>
      </c>
      <c r="D1010" t="s">
        <v>130</v>
      </c>
      <c r="E1010" t="s">
        <v>229</v>
      </c>
      <c r="F1010">
        <v>4</v>
      </c>
      <c r="G1010">
        <v>2024</v>
      </c>
    </row>
    <row r="1011" spans="1:7" hidden="1" x14ac:dyDescent="0.2">
      <c r="A1011" t="s">
        <v>73</v>
      </c>
      <c r="B1011" t="s">
        <v>21</v>
      </c>
      <c r="C1011">
        <v>9</v>
      </c>
      <c r="D1011" t="s">
        <v>294</v>
      </c>
      <c r="E1011" t="s">
        <v>301</v>
      </c>
      <c r="F1011">
        <v>0</v>
      </c>
      <c r="G1011">
        <v>2024</v>
      </c>
    </row>
    <row r="1012" spans="1:7" hidden="1" x14ac:dyDescent="0.2">
      <c r="A1012" t="s">
        <v>75</v>
      </c>
      <c r="B1012" t="s">
        <v>36</v>
      </c>
      <c r="C1012">
        <v>9</v>
      </c>
      <c r="D1012" t="s">
        <v>125</v>
      </c>
      <c r="E1012" t="s">
        <v>185</v>
      </c>
      <c r="F1012">
        <v>9.18</v>
      </c>
      <c r="G1012">
        <v>2024</v>
      </c>
    </row>
    <row r="1013" spans="1:7" hidden="1" x14ac:dyDescent="0.2">
      <c r="A1013" t="s">
        <v>75</v>
      </c>
      <c r="B1013" t="s">
        <v>36</v>
      </c>
      <c r="C1013">
        <v>9</v>
      </c>
      <c r="D1013" t="s">
        <v>128</v>
      </c>
      <c r="E1013" t="s">
        <v>188</v>
      </c>
      <c r="F1013">
        <v>9.6999999999999993</v>
      </c>
      <c r="G1013">
        <v>2024</v>
      </c>
    </row>
    <row r="1014" spans="1:7" hidden="1" x14ac:dyDescent="0.2">
      <c r="A1014" t="s">
        <v>75</v>
      </c>
      <c r="B1014" t="s">
        <v>36</v>
      </c>
      <c r="C1014">
        <v>9</v>
      </c>
      <c r="D1014" t="s">
        <v>128</v>
      </c>
      <c r="E1014" t="s">
        <v>187</v>
      </c>
      <c r="F1014">
        <v>15.1</v>
      </c>
      <c r="G1014">
        <v>2024</v>
      </c>
    </row>
    <row r="1015" spans="1:7" hidden="1" x14ac:dyDescent="0.2">
      <c r="A1015" t="s">
        <v>75</v>
      </c>
      <c r="B1015" t="s">
        <v>36</v>
      </c>
      <c r="C1015">
        <v>9</v>
      </c>
      <c r="D1015" t="s">
        <v>128</v>
      </c>
      <c r="E1015" t="s">
        <v>336</v>
      </c>
      <c r="F1015">
        <v>9</v>
      </c>
      <c r="G1015">
        <v>2024</v>
      </c>
    </row>
    <row r="1016" spans="1:7" hidden="1" x14ac:dyDescent="0.2">
      <c r="A1016" t="s">
        <v>75</v>
      </c>
      <c r="B1016" t="s">
        <v>36</v>
      </c>
      <c r="C1016">
        <v>9</v>
      </c>
      <c r="D1016" t="s">
        <v>127</v>
      </c>
      <c r="E1016" t="s">
        <v>343</v>
      </c>
      <c r="F1016">
        <v>16.899999999999999</v>
      </c>
      <c r="G1016">
        <v>2024</v>
      </c>
    </row>
    <row r="1017" spans="1:7" hidden="1" x14ac:dyDescent="0.2">
      <c r="A1017" t="s">
        <v>75</v>
      </c>
      <c r="B1017" t="s">
        <v>36</v>
      </c>
      <c r="C1017">
        <v>9</v>
      </c>
      <c r="D1017" t="s">
        <v>127</v>
      </c>
      <c r="E1017" t="s">
        <v>189</v>
      </c>
      <c r="F1017">
        <v>4</v>
      </c>
      <c r="G1017">
        <v>2024</v>
      </c>
    </row>
    <row r="1018" spans="1:7" hidden="1" x14ac:dyDescent="0.2">
      <c r="A1018" t="s">
        <v>75</v>
      </c>
      <c r="B1018" t="s">
        <v>36</v>
      </c>
      <c r="C1018">
        <v>9</v>
      </c>
      <c r="D1018" t="s">
        <v>129</v>
      </c>
      <c r="E1018" t="s">
        <v>249</v>
      </c>
      <c r="F1018">
        <v>15</v>
      </c>
      <c r="G1018">
        <v>2024</v>
      </c>
    </row>
    <row r="1019" spans="1:7" hidden="1" x14ac:dyDescent="0.2">
      <c r="A1019" t="s">
        <v>75</v>
      </c>
      <c r="B1019" t="s">
        <v>36</v>
      </c>
      <c r="C1019">
        <v>9</v>
      </c>
      <c r="D1019" t="s">
        <v>131</v>
      </c>
      <c r="E1019" t="s">
        <v>192</v>
      </c>
      <c r="F1019">
        <v>1</v>
      </c>
      <c r="G1019">
        <v>2024</v>
      </c>
    </row>
    <row r="1020" spans="1:7" hidden="1" x14ac:dyDescent="0.2">
      <c r="A1020" t="s">
        <v>75</v>
      </c>
      <c r="B1020" t="s">
        <v>36</v>
      </c>
      <c r="C1020">
        <v>9</v>
      </c>
      <c r="D1020" t="s">
        <v>130</v>
      </c>
      <c r="E1020" t="s">
        <v>193</v>
      </c>
      <c r="F1020">
        <v>3</v>
      </c>
      <c r="G1020">
        <v>2024</v>
      </c>
    </row>
    <row r="1021" spans="1:7" hidden="1" x14ac:dyDescent="0.2">
      <c r="A1021" t="s">
        <v>75</v>
      </c>
      <c r="B1021" t="s">
        <v>36</v>
      </c>
      <c r="C1021">
        <v>9</v>
      </c>
      <c r="D1021" t="s">
        <v>294</v>
      </c>
      <c r="E1021" t="s">
        <v>186</v>
      </c>
      <c r="F1021">
        <v>8.9</v>
      </c>
      <c r="G1021">
        <v>2024</v>
      </c>
    </row>
    <row r="1022" spans="1:7" hidden="1" x14ac:dyDescent="0.2">
      <c r="A1022" t="s">
        <v>74</v>
      </c>
      <c r="B1022" t="s">
        <v>29</v>
      </c>
      <c r="C1022">
        <v>9</v>
      </c>
      <c r="D1022" t="s">
        <v>125</v>
      </c>
      <c r="E1022" t="s">
        <v>168</v>
      </c>
      <c r="F1022">
        <v>29.9</v>
      </c>
      <c r="G1022">
        <v>2024</v>
      </c>
    </row>
    <row r="1023" spans="1:7" hidden="1" x14ac:dyDescent="0.2">
      <c r="A1023" t="s">
        <v>74</v>
      </c>
      <c r="B1023" t="s">
        <v>29</v>
      </c>
      <c r="C1023">
        <v>9</v>
      </c>
      <c r="D1023" t="s">
        <v>128</v>
      </c>
      <c r="E1023" t="s">
        <v>171</v>
      </c>
      <c r="F1023">
        <v>18.079999999999998</v>
      </c>
      <c r="G1023">
        <v>2024</v>
      </c>
    </row>
    <row r="1024" spans="1:7" hidden="1" x14ac:dyDescent="0.2">
      <c r="A1024" t="s">
        <v>74</v>
      </c>
      <c r="B1024" t="s">
        <v>29</v>
      </c>
      <c r="C1024">
        <v>9</v>
      </c>
      <c r="D1024" t="s">
        <v>128</v>
      </c>
      <c r="E1024" t="s">
        <v>310</v>
      </c>
      <c r="F1024">
        <v>11.9</v>
      </c>
      <c r="G1024">
        <v>2024</v>
      </c>
    </row>
    <row r="1025" spans="1:7" hidden="1" x14ac:dyDescent="0.2">
      <c r="A1025" t="s">
        <v>74</v>
      </c>
      <c r="B1025" t="s">
        <v>29</v>
      </c>
      <c r="C1025">
        <v>9</v>
      </c>
      <c r="D1025" t="s">
        <v>128</v>
      </c>
      <c r="E1025" t="s">
        <v>172</v>
      </c>
      <c r="F1025">
        <v>5.3</v>
      </c>
      <c r="G1025">
        <v>2024</v>
      </c>
    </row>
    <row r="1026" spans="1:7" hidden="1" x14ac:dyDescent="0.2">
      <c r="A1026" t="s">
        <v>74</v>
      </c>
      <c r="B1026" t="s">
        <v>29</v>
      </c>
      <c r="C1026">
        <v>9</v>
      </c>
      <c r="D1026" t="s">
        <v>127</v>
      </c>
      <c r="E1026" t="s">
        <v>174</v>
      </c>
      <c r="F1026">
        <v>18</v>
      </c>
      <c r="G1026">
        <v>2024</v>
      </c>
    </row>
    <row r="1027" spans="1:7" hidden="1" x14ac:dyDescent="0.2">
      <c r="A1027" t="s">
        <v>74</v>
      </c>
      <c r="B1027" t="s">
        <v>29</v>
      </c>
      <c r="C1027">
        <v>9</v>
      </c>
      <c r="D1027" t="s">
        <v>127</v>
      </c>
      <c r="E1027" t="s">
        <v>369</v>
      </c>
      <c r="F1027">
        <v>3.1</v>
      </c>
      <c r="G1027">
        <v>2024</v>
      </c>
    </row>
    <row r="1028" spans="1:7" hidden="1" x14ac:dyDescent="0.2">
      <c r="A1028" t="s">
        <v>74</v>
      </c>
      <c r="B1028" t="s">
        <v>29</v>
      </c>
      <c r="C1028">
        <v>9</v>
      </c>
      <c r="D1028" t="s">
        <v>129</v>
      </c>
      <c r="E1028" t="s">
        <v>170</v>
      </c>
      <c r="F1028">
        <v>5.4</v>
      </c>
      <c r="G1028">
        <v>2024</v>
      </c>
    </row>
    <row r="1029" spans="1:7" hidden="1" x14ac:dyDescent="0.2">
      <c r="A1029" t="s">
        <v>74</v>
      </c>
      <c r="B1029" t="s">
        <v>29</v>
      </c>
      <c r="C1029">
        <v>9</v>
      </c>
      <c r="D1029" t="s">
        <v>131</v>
      </c>
      <c r="E1029" t="s">
        <v>139</v>
      </c>
      <c r="F1029">
        <v>13</v>
      </c>
      <c r="G1029">
        <v>2024</v>
      </c>
    </row>
    <row r="1030" spans="1:7" hidden="1" x14ac:dyDescent="0.2">
      <c r="A1030" t="s">
        <v>74</v>
      </c>
      <c r="B1030" t="s">
        <v>29</v>
      </c>
      <c r="C1030">
        <v>9</v>
      </c>
      <c r="D1030" t="s">
        <v>130</v>
      </c>
      <c r="E1030" t="s">
        <v>408</v>
      </c>
      <c r="F1030">
        <v>13</v>
      </c>
      <c r="G1030">
        <v>2024</v>
      </c>
    </row>
    <row r="1031" spans="1:7" hidden="1" x14ac:dyDescent="0.2">
      <c r="A1031" t="s">
        <v>74</v>
      </c>
      <c r="B1031" t="s">
        <v>29</v>
      </c>
      <c r="C1031">
        <v>9</v>
      </c>
      <c r="D1031" t="s">
        <v>297</v>
      </c>
      <c r="E1031" t="s">
        <v>191</v>
      </c>
      <c r="F1031">
        <v>1.6</v>
      </c>
      <c r="G1031">
        <v>2024</v>
      </c>
    </row>
    <row r="1032" spans="1:7" hidden="1" x14ac:dyDescent="0.2">
      <c r="A1032" t="s">
        <v>26</v>
      </c>
      <c r="B1032" t="s">
        <v>28</v>
      </c>
      <c r="C1032">
        <v>9</v>
      </c>
      <c r="D1032" t="s">
        <v>125</v>
      </c>
      <c r="E1032" t="s">
        <v>212</v>
      </c>
      <c r="F1032">
        <v>22.1</v>
      </c>
      <c r="G1032">
        <v>2024</v>
      </c>
    </row>
    <row r="1033" spans="1:7" hidden="1" x14ac:dyDescent="0.2">
      <c r="A1033" t="s">
        <v>26</v>
      </c>
      <c r="B1033" t="s">
        <v>28</v>
      </c>
      <c r="C1033">
        <v>9</v>
      </c>
      <c r="D1033" t="s">
        <v>128</v>
      </c>
      <c r="E1033" t="s">
        <v>218</v>
      </c>
      <c r="F1033">
        <v>10.4</v>
      </c>
      <c r="G1033">
        <v>2024</v>
      </c>
    </row>
    <row r="1034" spans="1:7" hidden="1" x14ac:dyDescent="0.2">
      <c r="A1034" t="s">
        <v>26</v>
      </c>
      <c r="B1034" t="s">
        <v>28</v>
      </c>
      <c r="C1034">
        <v>9</v>
      </c>
      <c r="D1034" t="s">
        <v>128</v>
      </c>
      <c r="E1034" t="s">
        <v>220</v>
      </c>
      <c r="F1034">
        <v>4.8</v>
      </c>
      <c r="G1034">
        <v>2024</v>
      </c>
    </row>
    <row r="1035" spans="1:7" hidden="1" x14ac:dyDescent="0.2">
      <c r="A1035" t="s">
        <v>26</v>
      </c>
      <c r="B1035" t="s">
        <v>28</v>
      </c>
      <c r="C1035">
        <v>9</v>
      </c>
      <c r="D1035" t="s">
        <v>128</v>
      </c>
      <c r="E1035" t="s">
        <v>257</v>
      </c>
      <c r="F1035">
        <v>-1</v>
      </c>
      <c r="G1035">
        <v>2024</v>
      </c>
    </row>
    <row r="1036" spans="1:7" hidden="1" x14ac:dyDescent="0.2">
      <c r="A1036" t="s">
        <v>26</v>
      </c>
      <c r="B1036" t="s">
        <v>28</v>
      </c>
      <c r="C1036">
        <v>9</v>
      </c>
      <c r="D1036" t="s">
        <v>127</v>
      </c>
      <c r="E1036" t="s">
        <v>216</v>
      </c>
      <c r="F1036">
        <v>31.4</v>
      </c>
      <c r="G1036">
        <v>2024</v>
      </c>
    </row>
    <row r="1037" spans="1:7" hidden="1" x14ac:dyDescent="0.2">
      <c r="A1037" t="s">
        <v>26</v>
      </c>
      <c r="B1037" t="s">
        <v>28</v>
      </c>
      <c r="C1037">
        <v>9</v>
      </c>
      <c r="D1037" t="s">
        <v>127</v>
      </c>
      <c r="E1037" t="s">
        <v>256</v>
      </c>
      <c r="F1037">
        <v>10</v>
      </c>
      <c r="G1037">
        <v>2024</v>
      </c>
    </row>
    <row r="1038" spans="1:7" hidden="1" x14ac:dyDescent="0.2">
      <c r="A1038" t="s">
        <v>26</v>
      </c>
      <c r="B1038" t="s">
        <v>28</v>
      </c>
      <c r="C1038">
        <v>9</v>
      </c>
      <c r="D1038" t="s">
        <v>129</v>
      </c>
      <c r="E1038" t="s">
        <v>196</v>
      </c>
      <c r="F1038">
        <v>3.6</v>
      </c>
      <c r="G1038">
        <v>2024</v>
      </c>
    </row>
    <row r="1039" spans="1:7" hidden="1" x14ac:dyDescent="0.2">
      <c r="A1039" t="s">
        <v>26</v>
      </c>
      <c r="B1039" t="s">
        <v>28</v>
      </c>
      <c r="C1039">
        <v>9</v>
      </c>
      <c r="D1039" t="s">
        <v>131</v>
      </c>
      <c r="E1039" t="s">
        <v>214</v>
      </c>
      <c r="F1039">
        <v>7</v>
      </c>
      <c r="G1039">
        <v>2024</v>
      </c>
    </row>
    <row r="1040" spans="1:7" hidden="1" x14ac:dyDescent="0.2">
      <c r="A1040" t="s">
        <v>26</v>
      </c>
      <c r="B1040" t="s">
        <v>28</v>
      </c>
      <c r="C1040">
        <v>9</v>
      </c>
      <c r="D1040" t="s">
        <v>130</v>
      </c>
      <c r="E1040" t="s">
        <v>167</v>
      </c>
      <c r="F1040">
        <v>12</v>
      </c>
      <c r="G1040">
        <v>2024</v>
      </c>
    </row>
    <row r="1041" spans="1:7" hidden="1" x14ac:dyDescent="0.2">
      <c r="A1041" t="s">
        <v>26</v>
      </c>
      <c r="B1041" t="s">
        <v>28</v>
      </c>
      <c r="C1041">
        <v>9</v>
      </c>
      <c r="D1041" t="s">
        <v>293</v>
      </c>
      <c r="E1041" t="s">
        <v>338</v>
      </c>
      <c r="F1041">
        <v>3.6</v>
      </c>
      <c r="G1041">
        <v>2024</v>
      </c>
    </row>
    <row r="1042" spans="1:7" hidden="1" x14ac:dyDescent="0.2">
      <c r="A1042" t="s">
        <v>18</v>
      </c>
      <c r="B1042" t="s">
        <v>20</v>
      </c>
      <c r="C1042">
        <v>9</v>
      </c>
      <c r="D1042" t="s">
        <v>125</v>
      </c>
      <c r="E1042" t="s">
        <v>250</v>
      </c>
      <c r="F1042">
        <v>19.86</v>
      </c>
      <c r="G1042">
        <v>2024</v>
      </c>
    </row>
    <row r="1043" spans="1:7" hidden="1" x14ac:dyDescent="0.2">
      <c r="A1043" t="s">
        <v>18</v>
      </c>
      <c r="B1043" t="s">
        <v>20</v>
      </c>
      <c r="C1043">
        <v>9</v>
      </c>
      <c r="D1043" t="s">
        <v>128</v>
      </c>
      <c r="E1043" t="s">
        <v>359</v>
      </c>
      <c r="F1043">
        <v>16.7</v>
      </c>
      <c r="G1043">
        <v>2024</v>
      </c>
    </row>
    <row r="1044" spans="1:7" hidden="1" x14ac:dyDescent="0.2">
      <c r="A1044" t="s">
        <v>18</v>
      </c>
      <c r="B1044" t="s">
        <v>20</v>
      </c>
      <c r="C1044">
        <v>9</v>
      </c>
      <c r="D1044" t="s">
        <v>128</v>
      </c>
      <c r="E1044" t="s">
        <v>204</v>
      </c>
      <c r="F1044">
        <v>15.9</v>
      </c>
      <c r="G1044">
        <v>2024</v>
      </c>
    </row>
    <row r="1045" spans="1:7" hidden="1" x14ac:dyDescent="0.2">
      <c r="A1045" t="s">
        <v>18</v>
      </c>
      <c r="B1045" t="s">
        <v>20</v>
      </c>
      <c r="C1045">
        <v>9</v>
      </c>
      <c r="D1045" t="s">
        <v>128</v>
      </c>
      <c r="E1045" t="s">
        <v>295</v>
      </c>
      <c r="F1045">
        <v>14.9</v>
      </c>
      <c r="G1045">
        <v>2024</v>
      </c>
    </row>
    <row r="1046" spans="1:7" hidden="1" x14ac:dyDescent="0.2">
      <c r="A1046" t="s">
        <v>18</v>
      </c>
      <c r="B1046" t="s">
        <v>20</v>
      </c>
      <c r="C1046">
        <v>9</v>
      </c>
      <c r="D1046" t="s">
        <v>127</v>
      </c>
      <c r="E1046" t="s">
        <v>207</v>
      </c>
      <c r="F1046">
        <v>14.1</v>
      </c>
      <c r="G1046">
        <v>2024</v>
      </c>
    </row>
    <row r="1047" spans="1:7" hidden="1" x14ac:dyDescent="0.2">
      <c r="A1047" t="s">
        <v>18</v>
      </c>
      <c r="B1047" t="s">
        <v>20</v>
      </c>
      <c r="C1047">
        <v>9</v>
      </c>
      <c r="D1047" t="s">
        <v>127</v>
      </c>
      <c r="E1047" t="s">
        <v>208</v>
      </c>
      <c r="F1047">
        <v>9.4</v>
      </c>
      <c r="G1047">
        <v>2024</v>
      </c>
    </row>
    <row r="1048" spans="1:7" hidden="1" x14ac:dyDescent="0.2">
      <c r="A1048" t="s">
        <v>18</v>
      </c>
      <c r="B1048" t="s">
        <v>20</v>
      </c>
      <c r="C1048">
        <v>9</v>
      </c>
      <c r="D1048" t="s">
        <v>129</v>
      </c>
      <c r="E1048" t="s">
        <v>209</v>
      </c>
      <c r="F1048">
        <v>5.2</v>
      </c>
      <c r="G1048">
        <v>2024</v>
      </c>
    </row>
    <row r="1049" spans="1:7" hidden="1" x14ac:dyDescent="0.2">
      <c r="A1049" t="s">
        <v>18</v>
      </c>
      <c r="B1049" t="s">
        <v>20</v>
      </c>
      <c r="C1049">
        <v>9</v>
      </c>
      <c r="D1049" t="s">
        <v>131</v>
      </c>
      <c r="E1049" t="s">
        <v>210</v>
      </c>
      <c r="F1049">
        <v>9</v>
      </c>
      <c r="G1049">
        <v>2024</v>
      </c>
    </row>
    <row r="1050" spans="1:7" hidden="1" x14ac:dyDescent="0.2">
      <c r="A1050" t="s">
        <v>18</v>
      </c>
      <c r="B1050" t="s">
        <v>20</v>
      </c>
      <c r="C1050">
        <v>9</v>
      </c>
      <c r="D1050" t="s">
        <v>130</v>
      </c>
      <c r="E1050" t="s">
        <v>354</v>
      </c>
      <c r="F1050">
        <v>10</v>
      </c>
      <c r="G1050">
        <v>2024</v>
      </c>
    </row>
    <row r="1051" spans="1:7" hidden="1" x14ac:dyDescent="0.2">
      <c r="A1051" t="s">
        <v>18</v>
      </c>
      <c r="B1051" t="s">
        <v>20</v>
      </c>
      <c r="C1051">
        <v>9</v>
      </c>
      <c r="D1051" t="s">
        <v>294</v>
      </c>
      <c r="E1051" t="s">
        <v>324</v>
      </c>
      <c r="F1051">
        <v>13.8</v>
      </c>
      <c r="G1051">
        <v>2024</v>
      </c>
    </row>
    <row r="1052" spans="1:7" hidden="1" x14ac:dyDescent="0.2">
      <c r="A1052" t="s">
        <v>31</v>
      </c>
      <c r="B1052" t="s">
        <v>33</v>
      </c>
      <c r="C1052">
        <v>9</v>
      </c>
      <c r="D1052" t="s">
        <v>125</v>
      </c>
      <c r="E1052" t="s">
        <v>202</v>
      </c>
      <c r="F1052">
        <v>23.6</v>
      </c>
      <c r="G1052">
        <v>2024</v>
      </c>
    </row>
    <row r="1053" spans="1:7" hidden="1" x14ac:dyDescent="0.2">
      <c r="A1053" t="s">
        <v>31</v>
      </c>
      <c r="B1053" t="s">
        <v>33</v>
      </c>
      <c r="C1053">
        <v>9</v>
      </c>
      <c r="D1053" t="s">
        <v>128</v>
      </c>
      <c r="E1053" t="s">
        <v>298</v>
      </c>
      <c r="F1053">
        <v>20</v>
      </c>
      <c r="G1053">
        <v>2024</v>
      </c>
    </row>
    <row r="1054" spans="1:7" hidden="1" x14ac:dyDescent="0.2">
      <c r="A1054" t="s">
        <v>31</v>
      </c>
      <c r="B1054" t="s">
        <v>33</v>
      </c>
      <c r="C1054">
        <v>9</v>
      </c>
      <c r="D1054" t="s">
        <v>128</v>
      </c>
      <c r="E1054" t="s">
        <v>370</v>
      </c>
      <c r="F1054">
        <v>5.6</v>
      </c>
      <c r="G1054">
        <v>2024</v>
      </c>
    </row>
    <row r="1055" spans="1:7" hidden="1" x14ac:dyDescent="0.2">
      <c r="A1055" t="s">
        <v>31</v>
      </c>
      <c r="B1055" t="s">
        <v>33</v>
      </c>
      <c r="C1055">
        <v>9</v>
      </c>
      <c r="D1055" t="s">
        <v>128</v>
      </c>
      <c r="E1055" t="s">
        <v>321</v>
      </c>
      <c r="F1055">
        <v>4.5999999999999996</v>
      </c>
      <c r="G1055">
        <v>2024</v>
      </c>
    </row>
    <row r="1056" spans="1:7" hidden="1" x14ac:dyDescent="0.2">
      <c r="A1056" t="s">
        <v>31</v>
      </c>
      <c r="B1056" t="s">
        <v>33</v>
      </c>
      <c r="C1056">
        <v>9</v>
      </c>
      <c r="D1056" t="s">
        <v>127</v>
      </c>
      <c r="E1056" t="s">
        <v>197</v>
      </c>
      <c r="F1056">
        <v>24.5</v>
      </c>
      <c r="G1056">
        <v>2024</v>
      </c>
    </row>
    <row r="1057" spans="1:7" hidden="1" x14ac:dyDescent="0.2">
      <c r="A1057" t="s">
        <v>31</v>
      </c>
      <c r="B1057" t="s">
        <v>33</v>
      </c>
      <c r="C1057">
        <v>9</v>
      </c>
      <c r="D1057" t="s">
        <v>127</v>
      </c>
      <c r="E1057" t="s">
        <v>198</v>
      </c>
      <c r="F1057">
        <v>7.4</v>
      </c>
      <c r="G1057">
        <v>2024</v>
      </c>
    </row>
    <row r="1058" spans="1:7" hidden="1" x14ac:dyDescent="0.2">
      <c r="A1058" t="s">
        <v>31</v>
      </c>
      <c r="B1058" t="s">
        <v>33</v>
      </c>
      <c r="C1058">
        <v>9</v>
      </c>
      <c r="D1058" t="s">
        <v>129</v>
      </c>
      <c r="E1058" t="s">
        <v>213</v>
      </c>
      <c r="F1058">
        <v>9</v>
      </c>
      <c r="G1058">
        <v>2024</v>
      </c>
    </row>
    <row r="1059" spans="1:7" hidden="1" x14ac:dyDescent="0.2">
      <c r="A1059" t="s">
        <v>31</v>
      </c>
      <c r="B1059" t="s">
        <v>33</v>
      </c>
      <c r="C1059">
        <v>9</v>
      </c>
      <c r="D1059" t="s">
        <v>131</v>
      </c>
      <c r="E1059" t="s">
        <v>195</v>
      </c>
      <c r="F1059">
        <v>8</v>
      </c>
      <c r="G1059">
        <v>2024</v>
      </c>
    </row>
    <row r="1060" spans="1:7" hidden="1" x14ac:dyDescent="0.2">
      <c r="A1060" t="s">
        <v>31</v>
      </c>
      <c r="B1060" t="s">
        <v>33</v>
      </c>
      <c r="C1060">
        <v>9</v>
      </c>
      <c r="D1060" t="s">
        <v>130</v>
      </c>
      <c r="E1060" t="s">
        <v>302</v>
      </c>
      <c r="F1060">
        <v>12</v>
      </c>
      <c r="G1060">
        <v>2024</v>
      </c>
    </row>
    <row r="1061" spans="1:7" hidden="1" x14ac:dyDescent="0.2">
      <c r="A1061" t="s">
        <v>31</v>
      </c>
      <c r="B1061" t="s">
        <v>33</v>
      </c>
      <c r="C1061">
        <v>9</v>
      </c>
      <c r="D1061" t="s">
        <v>293</v>
      </c>
      <c r="E1061" t="s">
        <v>371</v>
      </c>
      <c r="F1061">
        <v>3.3</v>
      </c>
      <c r="G1061">
        <v>2024</v>
      </c>
    </row>
    <row r="1062" spans="1:7" hidden="1" x14ac:dyDescent="0.2">
      <c r="A1062" t="s">
        <v>76</v>
      </c>
      <c r="B1062" t="s">
        <v>32</v>
      </c>
      <c r="C1062">
        <v>9</v>
      </c>
      <c r="D1062" t="s">
        <v>125</v>
      </c>
      <c r="E1062" t="s">
        <v>230</v>
      </c>
      <c r="F1062">
        <v>29.14</v>
      </c>
      <c r="G1062">
        <v>2024</v>
      </c>
    </row>
    <row r="1063" spans="1:7" hidden="1" x14ac:dyDescent="0.2">
      <c r="A1063" t="s">
        <v>76</v>
      </c>
      <c r="B1063" t="s">
        <v>32</v>
      </c>
      <c r="C1063">
        <v>9</v>
      </c>
      <c r="D1063" t="s">
        <v>128</v>
      </c>
      <c r="E1063" t="s">
        <v>303</v>
      </c>
      <c r="F1063">
        <v>14.5</v>
      </c>
      <c r="G1063">
        <v>2024</v>
      </c>
    </row>
    <row r="1064" spans="1:7" hidden="1" x14ac:dyDescent="0.2">
      <c r="A1064" t="s">
        <v>76</v>
      </c>
      <c r="B1064" t="s">
        <v>32</v>
      </c>
      <c r="C1064">
        <v>9</v>
      </c>
      <c r="D1064" t="s">
        <v>128</v>
      </c>
      <c r="E1064" t="s">
        <v>231</v>
      </c>
      <c r="F1064">
        <v>7.8</v>
      </c>
      <c r="G1064">
        <v>2024</v>
      </c>
    </row>
    <row r="1065" spans="1:7" hidden="1" x14ac:dyDescent="0.2">
      <c r="A1065" t="s">
        <v>76</v>
      </c>
      <c r="B1065" t="s">
        <v>32</v>
      </c>
      <c r="C1065">
        <v>9</v>
      </c>
      <c r="D1065" t="s">
        <v>128</v>
      </c>
      <c r="E1065" t="s">
        <v>315</v>
      </c>
      <c r="F1065">
        <v>2.5</v>
      </c>
      <c r="G1065">
        <v>2024</v>
      </c>
    </row>
    <row r="1066" spans="1:7" hidden="1" x14ac:dyDescent="0.2">
      <c r="A1066" t="s">
        <v>76</v>
      </c>
      <c r="B1066" t="s">
        <v>32</v>
      </c>
      <c r="C1066">
        <v>9</v>
      </c>
      <c r="D1066" t="s">
        <v>127</v>
      </c>
      <c r="E1066" t="s">
        <v>259</v>
      </c>
      <c r="F1066">
        <v>23.5</v>
      </c>
      <c r="G1066">
        <v>2024</v>
      </c>
    </row>
    <row r="1067" spans="1:7" hidden="1" x14ac:dyDescent="0.2">
      <c r="A1067" t="s">
        <v>76</v>
      </c>
      <c r="B1067" t="s">
        <v>32</v>
      </c>
      <c r="C1067">
        <v>9</v>
      </c>
      <c r="D1067" t="s">
        <v>127</v>
      </c>
      <c r="E1067" t="s">
        <v>278</v>
      </c>
      <c r="F1067">
        <v>11.2</v>
      </c>
      <c r="G1067">
        <v>2024</v>
      </c>
    </row>
    <row r="1068" spans="1:7" hidden="1" x14ac:dyDescent="0.2">
      <c r="A1068" t="s">
        <v>76</v>
      </c>
      <c r="B1068" t="s">
        <v>32</v>
      </c>
      <c r="C1068">
        <v>9</v>
      </c>
      <c r="D1068" t="s">
        <v>129</v>
      </c>
      <c r="E1068" t="s">
        <v>317</v>
      </c>
      <c r="F1068">
        <v>1</v>
      </c>
      <c r="G1068">
        <v>2024</v>
      </c>
    </row>
    <row r="1069" spans="1:7" hidden="1" x14ac:dyDescent="0.2">
      <c r="A1069" t="s">
        <v>76</v>
      </c>
      <c r="B1069" t="s">
        <v>32</v>
      </c>
      <c r="C1069">
        <v>9</v>
      </c>
      <c r="D1069" t="s">
        <v>131</v>
      </c>
      <c r="E1069" t="s">
        <v>339</v>
      </c>
      <c r="F1069">
        <v>7</v>
      </c>
      <c r="G1069">
        <v>2024</v>
      </c>
    </row>
    <row r="1070" spans="1:7" hidden="1" x14ac:dyDescent="0.2">
      <c r="A1070" t="s">
        <v>76</v>
      </c>
      <c r="B1070" t="s">
        <v>32</v>
      </c>
      <c r="C1070">
        <v>9</v>
      </c>
      <c r="D1070" t="s">
        <v>130</v>
      </c>
      <c r="E1070" t="s">
        <v>281</v>
      </c>
      <c r="F1070">
        <v>6</v>
      </c>
      <c r="G1070">
        <v>2024</v>
      </c>
    </row>
    <row r="1071" spans="1:7" hidden="1" x14ac:dyDescent="0.2">
      <c r="A1071" t="s">
        <v>76</v>
      </c>
      <c r="B1071" t="s">
        <v>32</v>
      </c>
      <c r="C1071">
        <v>9</v>
      </c>
      <c r="D1071" t="s">
        <v>293</v>
      </c>
      <c r="E1071" t="s">
        <v>235</v>
      </c>
      <c r="F1071">
        <v>10.199999999999999</v>
      </c>
      <c r="G1071">
        <v>2024</v>
      </c>
    </row>
    <row r="1072" spans="1:7" hidden="1" x14ac:dyDescent="0.2">
      <c r="A1072" t="s">
        <v>77</v>
      </c>
      <c r="B1072" t="s">
        <v>45</v>
      </c>
      <c r="C1072">
        <v>9</v>
      </c>
      <c r="D1072" t="s">
        <v>125</v>
      </c>
      <c r="E1072" t="s">
        <v>159</v>
      </c>
      <c r="F1072">
        <v>11.54</v>
      </c>
      <c r="G1072">
        <v>2024</v>
      </c>
    </row>
    <row r="1073" spans="1:7" hidden="1" x14ac:dyDescent="0.2">
      <c r="A1073" t="s">
        <v>77</v>
      </c>
      <c r="B1073" t="s">
        <v>45</v>
      </c>
      <c r="C1073">
        <v>9</v>
      </c>
      <c r="D1073" t="s">
        <v>128</v>
      </c>
      <c r="E1073" t="s">
        <v>305</v>
      </c>
      <c r="F1073">
        <v>13.6</v>
      </c>
      <c r="G1073">
        <v>2024</v>
      </c>
    </row>
    <row r="1074" spans="1:7" hidden="1" x14ac:dyDescent="0.2">
      <c r="A1074" t="s">
        <v>77</v>
      </c>
      <c r="B1074" t="s">
        <v>45</v>
      </c>
      <c r="C1074">
        <v>9</v>
      </c>
      <c r="D1074" t="s">
        <v>128</v>
      </c>
      <c r="E1074" t="s">
        <v>346</v>
      </c>
      <c r="F1074">
        <v>24.6</v>
      </c>
      <c r="G1074">
        <v>2024</v>
      </c>
    </row>
    <row r="1075" spans="1:7" hidden="1" x14ac:dyDescent="0.2">
      <c r="A1075" t="s">
        <v>77</v>
      </c>
      <c r="B1075" t="s">
        <v>45</v>
      </c>
      <c r="C1075">
        <v>9</v>
      </c>
      <c r="D1075" t="s">
        <v>128</v>
      </c>
      <c r="E1075" t="s">
        <v>162</v>
      </c>
      <c r="F1075">
        <v>2.4</v>
      </c>
      <c r="G1075">
        <v>2024</v>
      </c>
    </row>
    <row r="1076" spans="1:7" hidden="1" x14ac:dyDescent="0.2">
      <c r="A1076" t="s">
        <v>77</v>
      </c>
      <c r="B1076" t="s">
        <v>45</v>
      </c>
      <c r="C1076">
        <v>9</v>
      </c>
      <c r="D1076" t="s">
        <v>127</v>
      </c>
      <c r="E1076" t="s">
        <v>306</v>
      </c>
      <c r="F1076">
        <v>20.2</v>
      </c>
      <c r="G1076">
        <v>2024</v>
      </c>
    </row>
    <row r="1077" spans="1:7" hidden="1" x14ac:dyDescent="0.2">
      <c r="A1077" t="s">
        <v>77</v>
      </c>
      <c r="B1077" t="s">
        <v>45</v>
      </c>
      <c r="C1077">
        <v>9</v>
      </c>
      <c r="D1077" t="s">
        <v>127</v>
      </c>
      <c r="E1077" t="s">
        <v>163</v>
      </c>
      <c r="F1077">
        <v>16.600000000000001</v>
      </c>
      <c r="G1077">
        <v>2024</v>
      </c>
    </row>
    <row r="1078" spans="1:7" hidden="1" x14ac:dyDescent="0.2">
      <c r="A1078" t="s">
        <v>77</v>
      </c>
      <c r="B1078" t="s">
        <v>45</v>
      </c>
      <c r="C1078">
        <v>9</v>
      </c>
      <c r="D1078" t="s">
        <v>129</v>
      </c>
      <c r="E1078" t="s">
        <v>165</v>
      </c>
      <c r="F1078">
        <v>9.1</v>
      </c>
      <c r="G1078">
        <v>2024</v>
      </c>
    </row>
    <row r="1079" spans="1:7" hidden="1" x14ac:dyDescent="0.2">
      <c r="A1079" t="s">
        <v>77</v>
      </c>
      <c r="B1079" t="s">
        <v>45</v>
      </c>
      <c r="C1079">
        <v>9</v>
      </c>
      <c r="D1079" t="s">
        <v>131</v>
      </c>
      <c r="E1079" t="s">
        <v>166</v>
      </c>
      <c r="F1079">
        <v>11</v>
      </c>
      <c r="G1079">
        <v>2024</v>
      </c>
    </row>
    <row r="1080" spans="1:7" hidden="1" x14ac:dyDescent="0.2">
      <c r="A1080" t="s">
        <v>77</v>
      </c>
      <c r="B1080" t="s">
        <v>45</v>
      </c>
      <c r="C1080">
        <v>9</v>
      </c>
      <c r="D1080" t="s">
        <v>130</v>
      </c>
      <c r="E1080" t="s">
        <v>138</v>
      </c>
      <c r="F1080">
        <v>11</v>
      </c>
      <c r="G1080">
        <v>2024</v>
      </c>
    </row>
    <row r="1081" spans="1:7" hidden="1" x14ac:dyDescent="0.2">
      <c r="A1081" t="s">
        <v>77</v>
      </c>
      <c r="B1081" t="s">
        <v>45</v>
      </c>
      <c r="C1081">
        <v>9</v>
      </c>
      <c r="D1081" t="s">
        <v>294</v>
      </c>
      <c r="E1081" t="s">
        <v>161</v>
      </c>
      <c r="F1081">
        <v>1.8</v>
      </c>
      <c r="G1081">
        <v>2024</v>
      </c>
    </row>
    <row r="1082" spans="1:7" hidden="1" x14ac:dyDescent="0.2">
      <c r="A1082" t="s">
        <v>14</v>
      </c>
      <c r="B1082" t="s">
        <v>16</v>
      </c>
      <c r="C1082">
        <v>10</v>
      </c>
      <c r="D1082" t="s">
        <v>127</v>
      </c>
      <c r="E1082" t="s">
        <v>348</v>
      </c>
      <c r="F1082">
        <v>14.9</v>
      </c>
      <c r="G1082">
        <v>2024</v>
      </c>
    </row>
    <row r="1083" spans="1:7" hidden="1" x14ac:dyDescent="0.2">
      <c r="A1083" t="s">
        <v>14</v>
      </c>
      <c r="B1083" t="s">
        <v>16</v>
      </c>
      <c r="C1083">
        <v>10</v>
      </c>
      <c r="D1083" t="s">
        <v>125</v>
      </c>
      <c r="E1083" t="s">
        <v>241</v>
      </c>
      <c r="F1083">
        <v>8.94</v>
      </c>
      <c r="G1083">
        <v>2024</v>
      </c>
    </row>
    <row r="1084" spans="1:7" hidden="1" x14ac:dyDescent="0.2">
      <c r="A1084" t="s">
        <v>14</v>
      </c>
      <c r="B1084" t="s">
        <v>16</v>
      </c>
      <c r="C1084">
        <v>10</v>
      </c>
      <c r="D1084" t="s">
        <v>128</v>
      </c>
      <c r="E1084" t="s">
        <v>288</v>
      </c>
      <c r="F1084">
        <v>16</v>
      </c>
      <c r="G1084">
        <v>2024</v>
      </c>
    </row>
    <row r="1085" spans="1:7" hidden="1" x14ac:dyDescent="0.2">
      <c r="A1085" t="s">
        <v>14</v>
      </c>
      <c r="B1085" t="s">
        <v>16</v>
      </c>
      <c r="C1085">
        <v>10</v>
      </c>
      <c r="D1085" t="s">
        <v>128</v>
      </c>
      <c r="E1085" t="s">
        <v>133</v>
      </c>
      <c r="F1085">
        <v>10.199999999999999</v>
      </c>
      <c r="G1085">
        <v>2024</v>
      </c>
    </row>
    <row r="1086" spans="1:7" hidden="1" x14ac:dyDescent="0.2">
      <c r="A1086" t="s">
        <v>14</v>
      </c>
      <c r="B1086" t="s">
        <v>16</v>
      </c>
      <c r="C1086">
        <v>10</v>
      </c>
      <c r="D1086" t="s">
        <v>128</v>
      </c>
      <c r="E1086" t="s">
        <v>134</v>
      </c>
      <c r="F1086">
        <v>5.4</v>
      </c>
      <c r="G1086">
        <v>2024</v>
      </c>
    </row>
    <row r="1087" spans="1:7" hidden="1" x14ac:dyDescent="0.2">
      <c r="A1087" t="s">
        <v>14</v>
      </c>
      <c r="B1087" t="s">
        <v>16</v>
      </c>
      <c r="C1087">
        <v>10</v>
      </c>
      <c r="D1087" t="s">
        <v>129</v>
      </c>
      <c r="E1087" t="s">
        <v>137</v>
      </c>
      <c r="F1087">
        <v>9.1</v>
      </c>
      <c r="G1087">
        <v>2024</v>
      </c>
    </row>
    <row r="1088" spans="1:7" hidden="1" x14ac:dyDescent="0.2">
      <c r="A1088" t="s">
        <v>14</v>
      </c>
      <c r="B1088" t="s">
        <v>16</v>
      </c>
      <c r="C1088">
        <v>10</v>
      </c>
      <c r="D1088" t="s">
        <v>131</v>
      </c>
      <c r="E1088" t="s">
        <v>183</v>
      </c>
      <c r="F1088">
        <v>10</v>
      </c>
      <c r="G1088">
        <v>2024</v>
      </c>
    </row>
    <row r="1089" spans="1:7" hidden="1" x14ac:dyDescent="0.2">
      <c r="A1089" t="s">
        <v>14</v>
      </c>
      <c r="B1089" t="s">
        <v>16</v>
      </c>
      <c r="C1089">
        <v>10</v>
      </c>
      <c r="D1089" t="s">
        <v>130</v>
      </c>
      <c r="E1089" t="s">
        <v>366</v>
      </c>
      <c r="F1089">
        <v>3</v>
      </c>
      <c r="G1089">
        <v>2024</v>
      </c>
    </row>
    <row r="1090" spans="1:7" hidden="1" x14ac:dyDescent="0.2">
      <c r="A1090" t="s">
        <v>14</v>
      </c>
      <c r="B1090" t="s">
        <v>16</v>
      </c>
      <c r="C1090">
        <v>10</v>
      </c>
      <c r="D1090" t="s">
        <v>293</v>
      </c>
      <c r="E1090" t="s">
        <v>136</v>
      </c>
      <c r="F1090">
        <v>1.7</v>
      </c>
      <c r="G1090">
        <v>2024</v>
      </c>
    </row>
    <row r="1091" spans="1:7" hidden="1" x14ac:dyDescent="0.2">
      <c r="A1091" t="s">
        <v>14</v>
      </c>
      <c r="B1091" t="s">
        <v>16</v>
      </c>
      <c r="C1091">
        <v>10</v>
      </c>
      <c r="D1091" t="s">
        <v>127</v>
      </c>
      <c r="E1091" t="s">
        <v>372</v>
      </c>
      <c r="F1091">
        <v>13.7</v>
      </c>
      <c r="G1091">
        <v>2024</v>
      </c>
    </row>
    <row r="1092" spans="1:7" hidden="1" x14ac:dyDescent="0.2">
      <c r="A1092" t="s">
        <v>46</v>
      </c>
      <c r="B1092" t="s">
        <v>47</v>
      </c>
      <c r="C1092">
        <v>10</v>
      </c>
      <c r="D1092" t="s">
        <v>125</v>
      </c>
      <c r="E1092" t="s">
        <v>176</v>
      </c>
      <c r="F1092">
        <v>23.82</v>
      </c>
      <c r="G1092">
        <v>2024</v>
      </c>
    </row>
    <row r="1093" spans="1:7" hidden="1" x14ac:dyDescent="0.2">
      <c r="A1093" t="s">
        <v>46</v>
      </c>
      <c r="B1093" t="s">
        <v>47</v>
      </c>
      <c r="C1093">
        <v>10</v>
      </c>
      <c r="D1093" t="s">
        <v>128</v>
      </c>
      <c r="E1093" t="s">
        <v>179</v>
      </c>
      <c r="F1093">
        <v>14.3</v>
      </c>
      <c r="G1093">
        <v>2024</v>
      </c>
    </row>
    <row r="1094" spans="1:7" hidden="1" x14ac:dyDescent="0.2">
      <c r="A1094" t="s">
        <v>46</v>
      </c>
      <c r="B1094" t="s">
        <v>47</v>
      </c>
      <c r="C1094">
        <v>10</v>
      </c>
      <c r="D1094" t="s">
        <v>128</v>
      </c>
      <c r="E1094" t="s">
        <v>178</v>
      </c>
      <c r="F1094">
        <v>7.1</v>
      </c>
      <c r="G1094">
        <v>2024</v>
      </c>
    </row>
    <row r="1095" spans="1:7" hidden="1" x14ac:dyDescent="0.2">
      <c r="A1095" t="s">
        <v>46</v>
      </c>
      <c r="B1095" t="s">
        <v>47</v>
      </c>
      <c r="C1095">
        <v>10</v>
      </c>
      <c r="D1095" t="s">
        <v>128</v>
      </c>
      <c r="E1095" t="s">
        <v>363</v>
      </c>
      <c r="F1095">
        <v>15.3</v>
      </c>
      <c r="G1095">
        <v>2024</v>
      </c>
    </row>
    <row r="1096" spans="1:7" hidden="1" x14ac:dyDescent="0.2">
      <c r="A1096" t="s">
        <v>46</v>
      </c>
      <c r="B1096" t="s">
        <v>47</v>
      </c>
      <c r="C1096">
        <v>10</v>
      </c>
      <c r="D1096" t="s">
        <v>127</v>
      </c>
      <c r="E1096" t="s">
        <v>181</v>
      </c>
      <c r="F1096">
        <v>12.1</v>
      </c>
      <c r="G1096">
        <v>2024</v>
      </c>
    </row>
    <row r="1097" spans="1:7" hidden="1" x14ac:dyDescent="0.2">
      <c r="A1097" t="s">
        <v>46</v>
      </c>
      <c r="B1097" t="s">
        <v>47</v>
      </c>
      <c r="C1097">
        <v>10</v>
      </c>
      <c r="D1097" t="s">
        <v>127</v>
      </c>
      <c r="E1097" t="s">
        <v>318</v>
      </c>
      <c r="F1097">
        <v>7.1</v>
      </c>
      <c r="G1097">
        <v>2024</v>
      </c>
    </row>
    <row r="1098" spans="1:7" hidden="1" x14ac:dyDescent="0.2">
      <c r="A1098" t="s">
        <v>46</v>
      </c>
      <c r="B1098" t="s">
        <v>47</v>
      </c>
      <c r="C1098">
        <v>10</v>
      </c>
      <c r="D1098" t="s">
        <v>129</v>
      </c>
      <c r="E1098" t="s">
        <v>373</v>
      </c>
      <c r="F1098">
        <v>2.2999999999999998</v>
      </c>
      <c r="G1098">
        <v>2024</v>
      </c>
    </row>
    <row r="1099" spans="1:7" hidden="1" x14ac:dyDescent="0.2">
      <c r="A1099" t="s">
        <v>46</v>
      </c>
      <c r="B1099" t="s">
        <v>47</v>
      </c>
      <c r="C1099">
        <v>10</v>
      </c>
      <c r="D1099" t="s">
        <v>131</v>
      </c>
      <c r="E1099" t="s">
        <v>374</v>
      </c>
      <c r="F1099">
        <v>12</v>
      </c>
      <c r="G1099">
        <v>2024</v>
      </c>
    </row>
    <row r="1100" spans="1:7" hidden="1" x14ac:dyDescent="0.2">
      <c r="A1100" t="s">
        <v>46</v>
      </c>
      <c r="B1100" t="s">
        <v>47</v>
      </c>
      <c r="C1100">
        <v>10</v>
      </c>
      <c r="D1100" t="s">
        <v>130</v>
      </c>
      <c r="E1100" t="s">
        <v>287</v>
      </c>
      <c r="F1100">
        <v>6</v>
      </c>
      <c r="G1100">
        <v>2024</v>
      </c>
    </row>
    <row r="1101" spans="1:7" hidden="1" x14ac:dyDescent="0.2">
      <c r="A1101" t="s">
        <v>46</v>
      </c>
      <c r="B1101" t="s">
        <v>47</v>
      </c>
      <c r="C1101">
        <v>10</v>
      </c>
      <c r="D1101" t="s">
        <v>294</v>
      </c>
      <c r="E1101" t="s">
        <v>177</v>
      </c>
      <c r="F1101">
        <v>5.4</v>
      </c>
      <c r="G1101">
        <v>2024</v>
      </c>
    </row>
    <row r="1102" spans="1:7" hidden="1" x14ac:dyDescent="0.2">
      <c r="A1102" t="s">
        <v>42</v>
      </c>
      <c r="B1102" t="s">
        <v>17</v>
      </c>
      <c r="C1102">
        <v>10</v>
      </c>
      <c r="D1102" t="s">
        <v>125</v>
      </c>
      <c r="E1102" t="s">
        <v>150</v>
      </c>
      <c r="F1102">
        <v>16.54</v>
      </c>
      <c r="G1102">
        <v>2024</v>
      </c>
    </row>
    <row r="1103" spans="1:7" hidden="1" x14ac:dyDescent="0.2">
      <c r="A1103" t="s">
        <v>42</v>
      </c>
      <c r="B1103" t="s">
        <v>17</v>
      </c>
      <c r="C1103">
        <v>10</v>
      </c>
      <c r="D1103" t="s">
        <v>128</v>
      </c>
      <c r="E1103" t="s">
        <v>153</v>
      </c>
      <c r="F1103">
        <v>8.8000000000000007</v>
      </c>
      <c r="G1103">
        <v>2024</v>
      </c>
    </row>
    <row r="1104" spans="1:7" hidden="1" x14ac:dyDescent="0.2">
      <c r="A1104" t="s">
        <v>42</v>
      </c>
      <c r="B1104" t="s">
        <v>17</v>
      </c>
      <c r="C1104">
        <v>10</v>
      </c>
      <c r="D1104" t="s">
        <v>128</v>
      </c>
      <c r="E1104" t="s">
        <v>151</v>
      </c>
      <c r="F1104">
        <v>6.1</v>
      </c>
      <c r="G1104">
        <v>2024</v>
      </c>
    </row>
    <row r="1105" spans="1:7" hidden="1" x14ac:dyDescent="0.2">
      <c r="A1105" t="s">
        <v>42</v>
      </c>
      <c r="B1105" t="s">
        <v>17</v>
      </c>
      <c r="C1105">
        <v>10</v>
      </c>
      <c r="D1105" t="s">
        <v>128</v>
      </c>
      <c r="E1105" t="s">
        <v>274</v>
      </c>
      <c r="F1105">
        <v>5.8</v>
      </c>
      <c r="G1105">
        <v>2024</v>
      </c>
    </row>
    <row r="1106" spans="1:7" hidden="1" x14ac:dyDescent="0.2">
      <c r="A1106" t="s">
        <v>42</v>
      </c>
      <c r="B1106" t="s">
        <v>17</v>
      </c>
      <c r="C1106">
        <v>10</v>
      </c>
      <c r="D1106" t="s">
        <v>127</v>
      </c>
      <c r="E1106" t="s">
        <v>314</v>
      </c>
      <c r="F1106">
        <v>17.899999999999999</v>
      </c>
      <c r="G1106">
        <v>2024</v>
      </c>
    </row>
    <row r="1107" spans="1:7" hidden="1" x14ac:dyDescent="0.2">
      <c r="A1107" t="s">
        <v>42</v>
      </c>
      <c r="B1107" t="s">
        <v>17</v>
      </c>
      <c r="C1107">
        <v>10</v>
      </c>
      <c r="D1107" t="s">
        <v>127</v>
      </c>
      <c r="E1107" t="s">
        <v>154</v>
      </c>
      <c r="F1107">
        <v>13.6</v>
      </c>
      <c r="G1107">
        <v>2024</v>
      </c>
    </row>
    <row r="1108" spans="1:7" hidden="1" x14ac:dyDescent="0.2">
      <c r="A1108" t="s">
        <v>42</v>
      </c>
      <c r="B1108" t="s">
        <v>17</v>
      </c>
      <c r="C1108">
        <v>10</v>
      </c>
      <c r="D1108" t="s">
        <v>129</v>
      </c>
      <c r="E1108" t="s">
        <v>156</v>
      </c>
      <c r="F1108">
        <v>14.1</v>
      </c>
      <c r="G1108">
        <v>2024</v>
      </c>
    </row>
    <row r="1109" spans="1:7" hidden="1" x14ac:dyDescent="0.2">
      <c r="A1109" t="s">
        <v>42</v>
      </c>
      <c r="B1109" t="s">
        <v>17</v>
      </c>
      <c r="C1109">
        <v>10</v>
      </c>
      <c r="D1109" t="s">
        <v>131</v>
      </c>
      <c r="E1109" t="s">
        <v>143</v>
      </c>
      <c r="F1109">
        <v>3</v>
      </c>
      <c r="G1109">
        <v>2024</v>
      </c>
    </row>
    <row r="1110" spans="1:7" hidden="1" x14ac:dyDescent="0.2">
      <c r="A1110" t="s">
        <v>42</v>
      </c>
      <c r="B1110" t="s">
        <v>17</v>
      </c>
      <c r="C1110">
        <v>10</v>
      </c>
      <c r="D1110" t="s">
        <v>130</v>
      </c>
      <c r="E1110" t="s">
        <v>157</v>
      </c>
      <c r="F1110">
        <v>18</v>
      </c>
      <c r="G1110">
        <v>2024</v>
      </c>
    </row>
    <row r="1111" spans="1:7" hidden="1" x14ac:dyDescent="0.2">
      <c r="A1111" t="s">
        <v>42</v>
      </c>
      <c r="B1111" t="s">
        <v>17</v>
      </c>
      <c r="C1111">
        <v>10</v>
      </c>
      <c r="D1111" t="s">
        <v>293</v>
      </c>
      <c r="E1111" t="s">
        <v>313</v>
      </c>
      <c r="F1111">
        <v>13.5</v>
      </c>
      <c r="G1111">
        <v>2024</v>
      </c>
    </row>
    <row r="1112" spans="1:7" hidden="1" x14ac:dyDescent="0.2">
      <c r="A1112" t="s">
        <v>75</v>
      </c>
      <c r="B1112" t="s">
        <v>36</v>
      </c>
      <c r="C1112">
        <v>10</v>
      </c>
      <c r="D1112" t="s">
        <v>125</v>
      </c>
      <c r="E1112" t="s">
        <v>185</v>
      </c>
      <c r="F1112">
        <v>6.3</v>
      </c>
      <c r="G1112">
        <v>2024</v>
      </c>
    </row>
    <row r="1113" spans="1:7" hidden="1" x14ac:dyDescent="0.2">
      <c r="A1113" t="s">
        <v>75</v>
      </c>
      <c r="B1113" t="s">
        <v>36</v>
      </c>
      <c r="C1113">
        <v>10</v>
      </c>
      <c r="D1113" t="s">
        <v>128</v>
      </c>
      <c r="E1113" t="s">
        <v>188</v>
      </c>
      <c r="F1113">
        <v>13.7</v>
      </c>
      <c r="G1113">
        <v>2024</v>
      </c>
    </row>
    <row r="1114" spans="1:7" hidden="1" x14ac:dyDescent="0.2">
      <c r="A1114" t="s">
        <v>75</v>
      </c>
      <c r="B1114" t="s">
        <v>36</v>
      </c>
      <c r="C1114">
        <v>10</v>
      </c>
      <c r="D1114" t="s">
        <v>128</v>
      </c>
      <c r="E1114" t="s">
        <v>187</v>
      </c>
      <c r="F1114">
        <v>15</v>
      </c>
      <c r="G1114">
        <v>2024</v>
      </c>
    </row>
    <row r="1115" spans="1:7" hidden="1" x14ac:dyDescent="0.2">
      <c r="A1115" t="s">
        <v>75</v>
      </c>
      <c r="B1115" t="s">
        <v>36</v>
      </c>
      <c r="C1115">
        <v>10</v>
      </c>
      <c r="D1115" t="s">
        <v>128</v>
      </c>
      <c r="E1115" t="s">
        <v>336</v>
      </c>
      <c r="F1115">
        <v>10.7</v>
      </c>
      <c r="G1115">
        <v>2024</v>
      </c>
    </row>
    <row r="1116" spans="1:7" hidden="1" x14ac:dyDescent="0.2">
      <c r="A1116" t="s">
        <v>75</v>
      </c>
      <c r="B1116" t="s">
        <v>36</v>
      </c>
      <c r="C1116">
        <v>10</v>
      </c>
      <c r="D1116" t="s">
        <v>127</v>
      </c>
      <c r="E1116" t="s">
        <v>322</v>
      </c>
      <c r="F1116">
        <v>17.600000000000001</v>
      </c>
      <c r="G1116">
        <v>2024</v>
      </c>
    </row>
    <row r="1117" spans="1:7" hidden="1" x14ac:dyDescent="0.2">
      <c r="A1117" t="s">
        <v>75</v>
      </c>
      <c r="B1117" t="s">
        <v>36</v>
      </c>
      <c r="C1117">
        <v>10</v>
      </c>
      <c r="D1117" t="s">
        <v>127</v>
      </c>
      <c r="E1117" t="s">
        <v>343</v>
      </c>
      <c r="F1117">
        <v>8.3000000000000007</v>
      </c>
      <c r="G1117">
        <v>2024</v>
      </c>
    </row>
    <row r="1118" spans="1:7" hidden="1" x14ac:dyDescent="0.2">
      <c r="A1118" t="s">
        <v>75</v>
      </c>
      <c r="B1118" t="s">
        <v>36</v>
      </c>
      <c r="C1118">
        <v>10</v>
      </c>
      <c r="D1118" t="s">
        <v>129</v>
      </c>
      <c r="E1118" t="s">
        <v>249</v>
      </c>
      <c r="F1118">
        <v>16.399999999999999</v>
      </c>
      <c r="G1118">
        <v>2024</v>
      </c>
    </row>
    <row r="1119" spans="1:7" hidden="1" x14ac:dyDescent="0.2">
      <c r="A1119" t="s">
        <v>75</v>
      </c>
      <c r="B1119" t="s">
        <v>36</v>
      </c>
      <c r="C1119">
        <v>10</v>
      </c>
      <c r="D1119" t="s">
        <v>131</v>
      </c>
      <c r="E1119" t="s">
        <v>169</v>
      </c>
      <c r="F1119">
        <v>10</v>
      </c>
      <c r="G1119">
        <v>2024</v>
      </c>
    </row>
    <row r="1120" spans="1:7" hidden="1" x14ac:dyDescent="0.2">
      <c r="A1120" t="s">
        <v>75</v>
      </c>
      <c r="B1120" t="s">
        <v>36</v>
      </c>
      <c r="C1120">
        <v>10</v>
      </c>
      <c r="D1120" t="s">
        <v>130</v>
      </c>
      <c r="E1120" t="s">
        <v>193</v>
      </c>
      <c r="F1120">
        <v>9</v>
      </c>
      <c r="G1120">
        <v>2024</v>
      </c>
    </row>
    <row r="1121" spans="1:7" hidden="1" x14ac:dyDescent="0.2">
      <c r="A1121" t="s">
        <v>75</v>
      </c>
      <c r="B1121" t="s">
        <v>36</v>
      </c>
      <c r="C1121">
        <v>10</v>
      </c>
      <c r="D1121" t="s">
        <v>294</v>
      </c>
      <c r="E1121" t="s">
        <v>186</v>
      </c>
      <c r="F1121">
        <v>6.2</v>
      </c>
      <c r="G1121">
        <v>2024</v>
      </c>
    </row>
    <row r="1122" spans="1:7" hidden="1" x14ac:dyDescent="0.2">
      <c r="A1122" t="s">
        <v>73</v>
      </c>
      <c r="B1122" t="s">
        <v>21</v>
      </c>
      <c r="C1122">
        <v>10</v>
      </c>
      <c r="D1122" t="s">
        <v>125</v>
      </c>
      <c r="E1122" t="s">
        <v>325</v>
      </c>
      <c r="F1122">
        <v>6.44</v>
      </c>
      <c r="G1122">
        <v>2024</v>
      </c>
    </row>
    <row r="1123" spans="1:7" hidden="1" x14ac:dyDescent="0.2">
      <c r="A1123" t="s">
        <v>73</v>
      </c>
      <c r="B1123" t="s">
        <v>21</v>
      </c>
      <c r="C1123">
        <v>10</v>
      </c>
      <c r="D1123" t="s">
        <v>128</v>
      </c>
      <c r="E1123" t="s">
        <v>145</v>
      </c>
      <c r="F1123">
        <v>13.4</v>
      </c>
      <c r="G1123">
        <v>2024</v>
      </c>
    </row>
    <row r="1124" spans="1:7" hidden="1" x14ac:dyDescent="0.2">
      <c r="A1124" t="s">
        <v>73</v>
      </c>
      <c r="B1124" t="s">
        <v>21</v>
      </c>
      <c r="C1124">
        <v>10</v>
      </c>
      <c r="D1124" t="s">
        <v>128</v>
      </c>
      <c r="E1124" t="s">
        <v>328</v>
      </c>
      <c r="F1124">
        <v>12.1</v>
      </c>
      <c r="G1124">
        <v>2024</v>
      </c>
    </row>
    <row r="1125" spans="1:7" hidden="1" x14ac:dyDescent="0.2">
      <c r="A1125" t="s">
        <v>73</v>
      </c>
      <c r="B1125" t="s">
        <v>21</v>
      </c>
      <c r="C1125">
        <v>10</v>
      </c>
      <c r="D1125" t="s">
        <v>128</v>
      </c>
      <c r="E1125" t="s">
        <v>146</v>
      </c>
      <c r="F1125">
        <v>10.1</v>
      </c>
      <c r="G1125">
        <v>2024</v>
      </c>
    </row>
    <row r="1126" spans="1:7" hidden="1" x14ac:dyDescent="0.2">
      <c r="A1126" t="s">
        <v>73</v>
      </c>
      <c r="B1126" t="s">
        <v>21</v>
      </c>
      <c r="C1126">
        <v>10</v>
      </c>
      <c r="D1126" t="s">
        <v>127</v>
      </c>
      <c r="E1126" t="s">
        <v>149</v>
      </c>
      <c r="F1126">
        <v>19.8</v>
      </c>
      <c r="G1126">
        <v>2024</v>
      </c>
    </row>
    <row r="1127" spans="1:7" hidden="1" x14ac:dyDescent="0.2">
      <c r="A1127" t="s">
        <v>73</v>
      </c>
      <c r="B1127" t="s">
        <v>21</v>
      </c>
      <c r="C1127">
        <v>10</v>
      </c>
      <c r="D1127" t="s">
        <v>127</v>
      </c>
      <c r="E1127" t="s">
        <v>148</v>
      </c>
      <c r="F1127">
        <v>7.7</v>
      </c>
      <c r="G1127">
        <v>2024</v>
      </c>
    </row>
    <row r="1128" spans="1:7" hidden="1" x14ac:dyDescent="0.2">
      <c r="A1128" t="s">
        <v>73</v>
      </c>
      <c r="B1128" t="s">
        <v>21</v>
      </c>
      <c r="C1128">
        <v>10</v>
      </c>
      <c r="D1128" t="s">
        <v>129</v>
      </c>
      <c r="E1128" t="s">
        <v>285</v>
      </c>
      <c r="F1128">
        <v>5</v>
      </c>
      <c r="G1128">
        <v>2024</v>
      </c>
    </row>
    <row r="1129" spans="1:7" hidden="1" x14ac:dyDescent="0.2">
      <c r="A1129" t="s">
        <v>73</v>
      </c>
      <c r="B1129" t="s">
        <v>21</v>
      </c>
      <c r="C1129">
        <v>10</v>
      </c>
      <c r="D1129" t="s">
        <v>131</v>
      </c>
      <c r="E1129" t="s">
        <v>242</v>
      </c>
      <c r="F1129">
        <v>4</v>
      </c>
      <c r="G1129">
        <v>2024</v>
      </c>
    </row>
    <row r="1130" spans="1:7" hidden="1" x14ac:dyDescent="0.2">
      <c r="A1130" t="s">
        <v>73</v>
      </c>
      <c r="B1130" t="s">
        <v>21</v>
      </c>
      <c r="C1130">
        <v>10</v>
      </c>
      <c r="D1130" t="s">
        <v>130</v>
      </c>
      <c r="E1130" t="s">
        <v>238</v>
      </c>
      <c r="F1130">
        <v>0</v>
      </c>
      <c r="G1130">
        <v>2024</v>
      </c>
    </row>
    <row r="1131" spans="1:7" hidden="1" x14ac:dyDescent="0.2">
      <c r="A1131" t="s">
        <v>73</v>
      </c>
      <c r="B1131" t="s">
        <v>21</v>
      </c>
      <c r="C1131">
        <v>10</v>
      </c>
      <c r="D1131" t="s">
        <v>294</v>
      </c>
      <c r="E1131" t="s">
        <v>277</v>
      </c>
      <c r="F1131">
        <v>2.2000000000000002</v>
      </c>
      <c r="G1131">
        <v>2024</v>
      </c>
    </row>
    <row r="1132" spans="1:7" hidden="1" x14ac:dyDescent="0.2">
      <c r="A1132" t="s">
        <v>77</v>
      </c>
      <c r="B1132" t="s">
        <v>45</v>
      </c>
      <c r="C1132">
        <v>10</v>
      </c>
      <c r="D1132" t="s">
        <v>125</v>
      </c>
      <c r="E1132" t="s">
        <v>159</v>
      </c>
      <c r="F1132">
        <v>9.7799999999999994</v>
      </c>
      <c r="G1132">
        <v>2024</v>
      </c>
    </row>
    <row r="1133" spans="1:7" hidden="1" x14ac:dyDescent="0.2">
      <c r="A1133" t="s">
        <v>77</v>
      </c>
      <c r="B1133" t="s">
        <v>45</v>
      </c>
      <c r="C1133">
        <v>10</v>
      </c>
      <c r="D1133" t="s">
        <v>128</v>
      </c>
      <c r="E1133" t="s">
        <v>162</v>
      </c>
      <c r="F1133">
        <v>13.9</v>
      </c>
      <c r="G1133">
        <v>2024</v>
      </c>
    </row>
    <row r="1134" spans="1:7" hidden="1" x14ac:dyDescent="0.2">
      <c r="A1134" t="s">
        <v>77</v>
      </c>
      <c r="B1134" t="s">
        <v>45</v>
      </c>
      <c r="C1134">
        <v>10</v>
      </c>
      <c r="D1134" t="s">
        <v>128</v>
      </c>
      <c r="E1134" t="s">
        <v>160</v>
      </c>
      <c r="F1134">
        <v>18</v>
      </c>
      <c r="G1134">
        <v>2024</v>
      </c>
    </row>
    <row r="1135" spans="1:7" hidden="1" x14ac:dyDescent="0.2">
      <c r="A1135" t="s">
        <v>77</v>
      </c>
      <c r="B1135" t="s">
        <v>45</v>
      </c>
      <c r="C1135">
        <v>10</v>
      </c>
      <c r="D1135" t="s">
        <v>128</v>
      </c>
      <c r="E1135" t="s">
        <v>346</v>
      </c>
      <c r="F1135">
        <v>7.6</v>
      </c>
      <c r="G1135">
        <v>2024</v>
      </c>
    </row>
    <row r="1136" spans="1:7" hidden="1" x14ac:dyDescent="0.2">
      <c r="A1136" t="s">
        <v>77</v>
      </c>
      <c r="B1136" t="s">
        <v>45</v>
      </c>
      <c r="C1136">
        <v>10</v>
      </c>
      <c r="D1136" t="s">
        <v>127</v>
      </c>
      <c r="E1136" t="s">
        <v>306</v>
      </c>
      <c r="F1136">
        <v>22.9</v>
      </c>
      <c r="G1136">
        <v>2024</v>
      </c>
    </row>
    <row r="1137" spans="1:7" hidden="1" x14ac:dyDescent="0.2">
      <c r="A1137" t="s">
        <v>77</v>
      </c>
      <c r="B1137" t="s">
        <v>45</v>
      </c>
      <c r="C1137">
        <v>10</v>
      </c>
      <c r="D1137" t="s">
        <v>127</v>
      </c>
      <c r="E1137" t="s">
        <v>163</v>
      </c>
      <c r="F1137">
        <v>16</v>
      </c>
      <c r="G1137">
        <v>2024</v>
      </c>
    </row>
    <row r="1138" spans="1:7" hidden="1" x14ac:dyDescent="0.2">
      <c r="A1138" t="s">
        <v>77</v>
      </c>
      <c r="B1138" t="s">
        <v>45</v>
      </c>
      <c r="C1138">
        <v>10</v>
      </c>
      <c r="D1138" t="s">
        <v>129</v>
      </c>
      <c r="E1138" t="s">
        <v>165</v>
      </c>
      <c r="F1138">
        <v>1.9</v>
      </c>
      <c r="G1138">
        <v>2024</v>
      </c>
    </row>
    <row r="1139" spans="1:7" hidden="1" x14ac:dyDescent="0.2">
      <c r="A1139" t="s">
        <v>77</v>
      </c>
      <c r="B1139" t="s">
        <v>45</v>
      </c>
      <c r="C1139">
        <v>10</v>
      </c>
      <c r="D1139" t="s">
        <v>131</v>
      </c>
      <c r="E1139" t="s">
        <v>166</v>
      </c>
      <c r="F1139">
        <v>2</v>
      </c>
      <c r="G1139">
        <v>2024</v>
      </c>
    </row>
    <row r="1140" spans="1:7" hidden="1" x14ac:dyDescent="0.2">
      <c r="A1140" t="s">
        <v>77</v>
      </c>
      <c r="B1140" t="s">
        <v>45</v>
      </c>
      <c r="C1140">
        <v>10</v>
      </c>
      <c r="D1140" t="s">
        <v>130</v>
      </c>
      <c r="E1140" t="s">
        <v>352</v>
      </c>
      <c r="F1140">
        <v>8</v>
      </c>
      <c r="G1140">
        <v>2024</v>
      </c>
    </row>
    <row r="1141" spans="1:7" hidden="1" x14ac:dyDescent="0.2">
      <c r="A1141" t="s">
        <v>77</v>
      </c>
      <c r="B1141" t="s">
        <v>45</v>
      </c>
      <c r="C1141">
        <v>10</v>
      </c>
      <c r="D1141" t="s">
        <v>293</v>
      </c>
      <c r="E1141" t="s">
        <v>252</v>
      </c>
      <c r="F1141">
        <v>11.3</v>
      </c>
      <c r="G1141">
        <v>2024</v>
      </c>
    </row>
    <row r="1142" spans="1:7" hidden="1" x14ac:dyDescent="0.2">
      <c r="A1142" t="s">
        <v>74</v>
      </c>
      <c r="B1142" t="s">
        <v>29</v>
      </c>
      <c r="C1142">
        <v>10</v>
      </c>
      <c r="D1142" t="s">
        <v>125</v>
      </c>
      <c r="E1142" t="s">
        <v>168</v>
      </c>
      <c r="F1142">
        <v>29.68</v>
      </c>
      <c r="G1142">
        <v>2024</v>
      </c>
    </row>
    <row r="1143" spans="1:7" hidden="1" x14ac:dyDescent="0.2">
      <c r="A1143" t="s">
        <v>74</v>
      </c>
      <c r="B1143" t="s">
        <v>29</v>
      </c>
      <c r="C1143">
        <v>10</v>
      </c>
      <c r="D1143" t="s">
        <v>128</v>
      </c>
      <c r="E1143" t="s">
        <v>171</v>
      </c>
      <c r="F1143">
        <v>7.3</v>
      </c>
      <c r="G1143">
        <v>2024</v>
      </c>
    </row>
    <row r="1144" spans="1:7" hidden="1" x14ac:dyDescent="0.2">
      <c r="A1144" t="s">
        <v>74</v>
      </c>
      <c r="B1144" t="s">
        <v>29</v>
      </c>
      <c r="C1144">
        <v>10</v>
      </c>
      <c r="D1144" t="s">
        <v>128</v>
      </c>
      <c r="E1144" t="s">
        <v>310</v>
      </c>
      <c r="F1144">
        <v>5.5</v>
      </c>
      <c r="G1144">
        <v>2024</v>
      </c>
    </row>
    <row r="1145" spans="1:7" hidden="1" x14ac:dyDescent="0.2">
      <c r="A1145" t="s">
        <v>74</v>
      </c>
      <c r="B1145" t="s">
        <v>29</v>
      </c>
      <c r="C1145">
        <v>10</v>
      </c>
      <c r="D1145" t="s">
        <v>128</v>
      </c>
      <c r="E1145" t="s">
        <v>172</v>
      </c>
      <c r="F1145">
        <v>4.2</v>
      </c>
      <c r="G1145">
        <v>2024</v>
      </c>
    </row>
    <row r="1146" spans="1:7" hidden="1" x14ac:dyDescent="0.2">
      <c r="A1146" t="s">
        <v>74</v>
      </c>
      <c r="B1146" t="s">
        <v>29</v>
      </c>
      <c r="C1146">
        <v>10</v>
      </c>
      <c r="D1146" t="s">
        <v>127</v>
      </c>
      <c r="E1146" t="s">
        <v>174</v>
      </c>
      <c r="F1146">
        <v>27.9</v>
      </c>
      <c r="G1146">
        <v>2024</v>
      </c>
    </row>
    <row r="1147" spans="1:7" hidden="1" x14ac:dyDescent="0.2">
      <c r="A1147" t="s">
        <v>74</v>
      </c>
      <c r="B1147" t="s">
        <v>29</v>
      </c>
      <c r="C1147">
        <v>10</v>
      </c>
      <c r="D1147" t="s">
        <v>127</v>
      </c>
      <c r="E1147" t="s">
        <v>155</v>
      </c>
      <c r="F1147">
        <v>6.6</v>
      </c>
      <c r="G1147">
        <v>2024</v>
      </c>
    </row>
    <row r="1148" spans="1:7" hidden="1" x14ac:dyDescent="0.2">
      <c r="A1148" t="s">
        <v>74</v>
      </c>
      <c r="B1148" t="s">
        <v>29</v>
      </c>
      <c r="C1148">
        <v>10</v>
      </c>
      <c r="D1148" t="s">
        <v>129</v>
      </c>
      <c r="E1148" t="s">
        <v>191</v>
      </c>
      <c r="F1148">
        <v>7.5</v>
      </c>
      <c r="G1148">
        <v>2024</v>
      </c>
    </row>
    <row r="1149" spans="1:7" hidden="1" x14ac:dyDescent="0.2">
      <c r="A1149" t="s">
        <v>74</v>
      </c>
      <c r="B1149" t="s">
        <v>29</v>
      </c>
      <c r="C1149">
        <v>10</v>
      </c>
      <c r="D1149" t="s">
        <v>131</v>
      </c>
      <c r="E1149" t="s">
        <v>139</v>
      </c>
      <c r="F1149">
        <v>13</v>
      </c>
      <c r="G1149">
        <v>2024</v>
      </c>
    </row>
    <row r="1150" spans="1:7" hidden="1" x14ac:dyDescent="0.2">
      <c r="A1150" t="s">
        <v>74</v>
      </c>
      <c r="B1150" t="s">
        <v>29</v>
      </c>
      <c r="C1150">
        <v>10</v>
      </c>
      <c r="D1150" t="s">
        <v>130</v>
      </c>
      <c r="E1150" t="s">
        <v>408</v>
      </c>
      <c r="F1150">
        <v>-4</v>
      </c>
      <c r="G1150">
        <v>2024</v>
      </c>
    </row>
    <row r="1151" spans="1:7" hidden="1" x14ac:dyDescent="0.2">
      <c r="A1151" t="s">
        <v>74</v>
      </c>
      <c r="B1151" t="s">
        <v>29</v>
      </c>
      <c r="C1151">
        <v>10</v>
      </c>
      <c r="D1151" t="s">
        <v>294</v>
      </c>
      <c r="E1151" t="s">
        <v>280</v>
      </c>
      <c r="F1151">
        <v>3.8</v>
      </c>
      <c r="G1151">
        <v>2024</v>
      </c>
    </row>
    <row r="1152" spans="1:7" hidden="1" x14ac:dyDescent="0.2">
      <c r="A1152" t="s">
        <v>18</v>
      </c>
      <c r="B1152" t="s">
        <v>20</v>
      </c>
      <c r="C1152">
        <v>10</v>
      </c>
      <c r="D1152" t="s">
        <v>125</v>
      </c>
      <c r="E1152" t="s">
        <v>250</v>
      </c>
      <c r="F1152">
        <v>8.58</v>
      </c>
      <c r="G1152">
        <v>2024</v>
      </c>
    </row>
    <row r="1153" spans="1:7" hidden="1" x14ac:dyDescent="0.2">
      <c r="A1153" t="s">
        <v>18</v>
      </c>
      <c r="B1153" t="s">
        <v>20</v>
      </c>
      <c r="C1153">
        <v>10</v>
      </c>
      <c r="D1153" t="s">
        <v>128</v>
      </c>
      <c r="E1153" t="s">
        <v>295</v>
      </c>
      <c r="F1153">
        <v>13.8</v>
      </c>
      <c r="G1153">
        <v>2024</v>
      </c>
    </row>
    <row r="1154" spans="1:7" hidden="1" x14ac:dyDescent="0.2">
      <c r="A1154" t="s">
        <v>18</v>
      </c>
      <c r="B1154" t="s">
        <v>20</v>
      </c>
      <c r="C1154">
        <v>10</v>
      </c>
      <c r="D1154" t="s">
        <v>128</v>
      </c>
      <c r="E1154" t="s">
        <v>204</v>
      </c>
      <c r="F1154">
        <v>11.5</v>
      </c>
      <c r="G1154">
        <v>2024</v>
      </c>
    </row>
    <row r="1155" spans="1:7" hidden="1" x14ac:dyDescent="0.2">
      <c r="A1155" t="s">
        <v>18</v>
      </c>
      <c r="B1155" t="s">
        <v>20</v>
      </c>
      <c r="C1155">
        <v>10</v>
      </c>
      <c r="D1155" t="s">
        <v>128</v>
      </c>
      <c r="E1155" t="s">
        <v>359</v>
      </c>
      <c r="F1155">
        <v>2.4</v>
      </c>
      <c r="G1155">
        <v>2024</v>
      </c>
    </row>
    <row r="1156" spans="1:7" hidden="1" x14ac:dyDescent="0.2">
      <c r="A1156" t="s">
        <v>18</v>
      </c>
      <c r="B1156" t="s">
        <v>20</v>
      </c>
      <c r="C1156">
        <v>10</v>
      </c>
      <c r="D1156" t="s">
        <v>127</v>
      </c>
      <c r="E1156" t="s">
        <v>208</v>
      </c>
      <c r="F1156">
        <v>15</v>
      </c>
      <c r="G1156">
        <v>2024</v>
      </c>
    </row>
    <row r="1157" spans="1:7" hidden="1" x14ac:dyDescent="0.2">
      <c r="A1157" t="s">
        <v>18</v>
      </c>
      <c r="B1157" t="s">
        <v>20</v>
      </c>
      <c r="C1157">
        <v>10</v>
      </c>
      <c r="D1157" t="s">
        <v>127</v>
      </c>
      <c r="E1157" t="s">
        <v>207</v>
      </c>
      <c r="F1157">
        <v>11.8</v>
      </c>
      <c r="G1157">
        <v>2024</v>
      </c>
    </row>
    <row r="1158" spans="1:7" hidden="1" x14ac:dyDescent="0.2">
      <c r="A1158" t="s">
        <v>18</v>
      </c>
      <c r="B1158" t="s">
        <v>20</v>
      </c>
      <c r="C1158">
        <v>10</v>
      </c>
      <c r="D1158" t="s">
        <v>129</v>
      </c>
      <c r="E1158" t="s">
        <v>209</v>
      </c>
      <c r="F1158">
        <v>3.4</v>
      </c>
      <c r="G1158">
        <v>2024</v>
      </c>
    </row>
    <row r="1159" spans="1:7" hidden="1" x14ac:dyDescent="0.2">
      <c r="A1159" t="s">
        <v>18</v>
      </c>
      <c r="B1159" t="s">
        <v>20</v>
      </c>
      <c r="C1159">
        <v>10</v>
      </c>
      <c r="D1159" t="s">
        <v>131</v>
      </c>
      <c r="E1159" t="s">
        <v>210</v>
      </c>
      <c r="F1159">
        <v>7</v>
      </c>
      <c r="G1159">
        <v>2024</v>
      </c>
    </row>
    <row r="1160" spans="1:7" hidden="1" x14ac:dyDescent="0.2">
      <c r="A1160" t="s">
        <v>18</v>
      </c>
      <c r="B1160" t="s">
        <v>20</v>
      </c>
      <c r="C1160">
        <v>10</v>
      </c>
      <c r="D1160" t="s">
        <v>130</v>
      </c>
      <c r="E1160" t="s">
        <v>354</v>
      </c>
      <c r="F1160">
        <v>23</v>
      </c>
      <c r="G1160">
        <v>2024</v>
      </c>
    </row>
    <row r="1161" spans="1:7" hidden="1" x14ac:dyDescent="0.2">
      <c r="A1161" t="s">
        <v>18</v>
      </c>
      <c r="B1161" t="s">
        <v>20</v>
      </c>
      <c r="C1161">
        <v>10</v>
      </c>
      <c r="D1161" t="s">
        <v>293</v>
      </c>
      <c r="E1161" t="s">
        <v>375</v>
      </c>
      <c r="F1161">
        <v>0.6</v>
      </c>
      <c r="G1161">
        <v>2024</v>
      </c>
    </row>
    <row r="1162" spans="1:7" hidden="1" x14ac:dyDescent="0.2">
      <c r="A1162" t="s">
        <v>35</v>
      </c>
      <c r="B1162" t="s">
        <v>49</v>
      </c>
      <c r="C1162">
        <v>10</v>
      </c>
      <c r="D1162" t="s">
        <v>125</v>
      </c>
      <c r="E1162" t="s">
        <v>345</v>
      </c>
      <c r="F1162">
        <v>10.24</v>
      </c>
      <c r="G1162">
        <v>2024</v>
      </c>
    </row>
    <row r="1163" spans="1:7" hidden="1" x14ac:dyDescent="0.2">
      <c r="A1163" t="s">
        <v>35</v>
      </c>
      <c r="B1163" t="s">
        <v>49</v>
      </c>
      <c r="C1163">
        <v>10</v>
      </c>
      <c r="D1163" t="s">
        <v>128</v>
      </c>
      <c r="E1163" t="s">
        <v>304</v>
      </c>
      <c r="F1163">
        <v>6.9</v>
      </c>
      <c r="G1163">
        <v>2024</v>
      </c>
    </row>
    <row r="1164" spans="1:7" hidden="1" x14ac:dyDescent="0.2">
      <c r="A1164" t="s">
        <v>35</v>
      </c>
      <c r="B1164" t="s">
        <v>49</v>
      </c>
      <c r="C1164">
        <v>10</v>
      </c>
      <c r="D1164" t="s">
        <v>128</v>
      </c>
      <c r="E1164" t="s">
        <v>224</v>
      </c>
      <c r="F1164">
        <v>6.6</v>
      </c>
      <c r="G1164">
        <v>2024</v>
      </c>
    </row>
    <row r="1165" spans="1:7" hidden="1" x14ac:dyDescent="0.2">
      <c r="A1165" t="s">
        <v>35</v>
      </c>
      <c r="B1165" t="s">
        <v>49</v>
      </c>
      <c r="C1165">
        <v>10</v>
      </c>
      <c r="D1165" t="s">
        <v>128</v>
      </c>
      <c r="E1165" t="s">
        <v>222</v>
      </c>
      <c r="F1165">
        <v>6.8</v>
      </c>
      <c r="G1165">
        <v>2024</v>
      </c>
    </row>
    <row r="1166" spans="1:7" hidden="1" x14ac:dyDescent="0.2">
      <c r="A1166" t="s">
        <v>35</v>
      </c>
      <c r="B1166" t="s">
        <v>49</v>
      </c>
      <c r="C1166">
        <v>10</v>
      </c>
      <c r="D1166" t="s">
        <v>127</v>
      </c>
      <c r="E1166" t="s">
        <v>255</v>
      </c>
      <c r="F1166">
        <v>16.2</v>
      </c>
      <c r="G1166">
        <v>2024</v>
      </c>
    </row>
    <row r="1167" spans="1:7" hidden="1" x14ac:dyDescent="0.2">
      <c r="A1167" t="s">
        <v>35</v>
      </c>
      <c r="B1167" t="s">
        <v>49</v>
      </c>
      <c r="C1167">
        <v>10</v>
      </c>
      <c r="D1167" t="s">
        <v>127</v>
      </c>
      <c r="E1167" t="s">
        <v>226</v>
      </c>
      <c r="F1167">
        <v>10.3</v>
      </c>
      <c r="G1167">
        <v>2024</v>
      </c>
    </row>
    <row r="1168" spans="1:7" hidden="1" x14ac:dyDescent="0.2">
      <c r="A1168" t="s">
        <v>35</v>
      </c>
      <c r="B1168" t="s">
        <v>49</v>
      </c>
      <c r="C1168">
        <v>10</v>
      </c>
      <c r="D1168" t="s">
        <v>129</v>
      </c>
      <c r="E1168" t="s">
        <v>376</v>
      </c>
      <c r="F1168">
        <v>11.2</v>
      </c>
      <c r="G1168">
        <v>2024</v>
      </c>
    </row>
    <row r="1169" spans="1:7" hidden="1" x14ac:dyDescent="0.2">
      <c r="A1169" t="s">
        <v>35</v>
      </c>
      <c r="B1169" t="s">
        <v>49</v>
      </c>
      <c r="C1169">
        <v>10</v>
      </c>
      <c r="D1169" t="s">
        <v>131</v>
      </c>
      <c r="E1169" t="s">
        <v>350</v>
      </c>
      <c r="F1169">
        <v>9</v>
      </c>
      <c r="G1169">
        <v>2024</v>
      </c>
    </row>
    <row r="1170" spans="1:7" hidden="1" x14ac:dyDescent="0.2">
      <c r="A1170" t="s">
        <v>35</v>
      </c>
      <c r="B1170" t="s">
        <v>49</v>
      </c>
      <c r="C1170">
        <v>10</v>
      </c>
      <c r="D1170" t="s">
        <v>130</v>
      </c>
      <c r="E1170" t="s">
        <v>194</v>
      </c>
      <c r="F1170">
        <v>9</v>
      </c>
      <c r="G1170">
        <v>2024</v>
      </c>
    </row>
    <row r="1171" spans="1:7" hidden="1" x14ac:dyDescent="0.2">
      <c r="A1171" t="s">
        <v>35</v>
      </c>
      <c r="B1171" t="s">
        <v>49</v>
      </c>
      <c r="C1171">
        <v>10</v>
      </c>
      <c r="D1171" t="s">
        <v>297</v>
      </c>
      <c r="E1171" t="s">
        <v>362</v>
      </c>
      <c r="F1171">
        <v>6</v>
      </c>
      <c r="G1171">
        <v>2024</v>
      </c>
    </row>
    <row r="1172" spans="1:7" hidden="1" x14ac:dyDescent="0.2">
      <c r="A1172" t="s">
        <v>31</v>
      </c>
      <c r="B1172" t="s">
        <v>33</v>
      </c>
      <c r="C1172">
        <v>10</v>
      </c>
      <c r="D1172" t="s">
        <v>125</v>
      </c>
      <c r="E1172" t="s">
        <v>202</v>
      </c>
      <c r="F1172">
        <v>32.9</v>
      </c>
      <c r="G1172">
        <v>2024</v>
      </c>
    </row>
    <row r="1173" spans="1:7" hidden="1" x14ac:dyDescent="0.2">
      <c r="A1173" t="s">
        <v>31</v>
      </c>
      <c r="B1173" t="s">
        <v>33</v>
      </c>
      <c r="C1173">
        <v>10</v>
      </c>
      <c r="D1173" t="s">
        <v>128</v>
      </c>
      <c r="E1173" t="s">
        <v>292</v>
      </c>
      <c r="F1173">
        <v>12.8</v>
      </c>
      <c r="G1173">
        <v>2024</v>
      </c>
    </row>
    <row r="1174" spans="1:7" hidden="1" x14ac:dyDescent="0.2">
      <c r="A1174" t="s">
        <v>31</v>
      </c>
      <c r="B1174" t="s">
        <v>33</v>
      </c>
      <c r="C1174">
        <v>10</v>
      </c>
      <c r="D1174" t="s">
        <v>128</v>
      </c>
      <c r="E1174" t="s">
        <v>298</v>
      </c>
      <c r="F1174">
        <v>9.4</v>
      </c>
      <c r="G1174">
        <v>2024</v>
      </c>
    </row>
    <row r="1175" spans="1:7" hidden="1" x14ac:dyDescent="0.2">
      <c r="A1175" t="s">
        <v>31</v>
      </c>
      <c r="B1175" t="s">
        <v>33</v>
      </c>
      <c r="C1175">
        <v>10</v>
      </c>
      <c r="D1175" t="s">
        <v>128</v>
      </c>
      <c r="E1175" t="s">
        <v>246</v>
      </c>
      <c r="F1175">
        <v>2.8</v>
      </c>
      <c r="G1175">
        <v>2024</v>
      </c>
    </row>
    <row r="1176" spans="1:7" hidden="1" x14ac:dyDescent="0.2">
      <c r="A1176" t="s">
        <v>31</v>
      </c>
      <c r="B1176" t="s">
        <v>33</v>
      </c>
      <c r="C1176">
        <v>10</v>
      </c>
      <c r="D1176" t="s">
        <v>127</v>
      </c>
      <c r="E1176" t="s">
        <v>197</v>
      </c>
      <c r="F1176">
        <v>13.4</v>
      </c>
      <c r="G1176">
        <v>2024</v>
      </c>
    </row>
    <row r="1177" spans="1:7" hidden="1" x14ac:dyDescent="0.2">
      <c r="A1177" t="s">
        <v>31</v>
      </c>
      <c r="B1177" t="s">
        <v>33</v>
      </c>
      <c r="C1177">
        <v>10</v>
      </c>
      <c r="D1177" t="s">
        <v>127</v>
      </c>
      <c r="E1177" t="s">
        <v>198</v>
      </c>
      <c r="F1177">
        <v>13.2</v>
      </c>
      <c r="G1177">
        <v>2024</v>
      </c>
    </row>
    <row r="1178" spans="1:7" hidden="1" x14ac:dyDescent="0.2">
      <c r="A1178" t="s">
        <v>31</v>
      </c>
      <c r="B1178" t="s">
        <v>33</v>
      </c>
      <c r="C1178">
        <v>10</v>
      </c>
      <c r="D1178" t="s">
        <v>129</v>
      </c>
      <c r="E1178" t="s">
        <v>213</v>
      </c>
      <c r="F1178">
        <v>7</v>
      </c>
      <c r="G1178">
        <v>2024</v>
      </c>
    </row>
    <row r="1179" spans="1:7" hidden="1" x14ac:dyDescent="0.2">
      <c r="A1179" t="s">
        <v>31</v>
      </c>
      <c r="B1179" t="s">
        <v>33</v>
      </c>
      <c r="C1179">
        <v>10</v>
      </c>
      <c r="D1179" t="s">
        <v>131</v>
      </c>
      <c r="E1179" t="s">
        <v>195</v>
      </c>
      <c r="F1179">
        <v>13</v>
      </c>
      <c r="G1179">
        <v>2024</v>
      </c>
    </row>
    <row r="1180" spans="1:7" hidden="1" x14ac:dyDescent="0.2">
      <c r="A1180" t="s">
        <v>31</v>
      </c>
      <c r="B1180" t="s">
        <v>33</v>
      </c>
      <c r="C1180">
        <v>10</v>
      </c>
      <c r="D1180" t="s">
        <v>130</v>
      </c>
      <c r="E1180" t="s">
        <v>307</v>
      </c>
      <c r="F1180">
        <v>19</v>
      </c>
      <c r="G1180">
        <v>2024</v>
      </c>
    </row>
    <row r="1181" spans="1:7" hidden="1" x14ac:dyDescent="0.2">
      <c r="A1181" t="s">
        <v>31</v>
      </c>
      <c r="B1181" t="s">
        <v>33</v>
      </c>
      <c r="C1181">
        <v>10</v>
      </c>
      <c r="D1181" t="s">
        <v>294</v>
      </c>
      <c r="E1181" t="s">
        <v>377</v>
      </c>
      <c r="F1181">
        <v>1.5</v>
      </c>
      <c r="G1181">
        <v>2024</v>
      </c>
    </row>
    <row r="1182" spans="1:7" hidden="1" x14ac:dyDescent="0.2">
      <c r="A1182" t="s">
        <v>76</v>
      </c>
      <c r="B1182" t="s">
        <v>32</v>
      </c>
      <c r="C1182">
        <v>10</v>
      </c>
      <c r="D1182" t="s">
        <v>125</v>
      </c>
      <c r="E1182" t="s">
        <v>230</v>
      </c>
      <c r="F1182">
        <v>33.72</v>
      </c>
      <c r="G1182">
        <v>2024</v>
      </c>
    </row>
    <row r="1183" spans="1:7" hidden="1" x14ac:dyDescent="0.2">
      <c r="A1183" t="s">
        <v>76</v>
      </c>
      <c r="B1183" t="s">
        <v>32</v>
      </c>
      <c r="C1183">
        <v>10</v>
      </c>
      <c r="D1183" t="s">
        <v>128</v>
      </c>
      <c r="E1183" t="s">
        <v>231</v>
      </c>
      <c r="F1183">
        <v>49.9</v>
      </c>
      <c r="G1183">
        <v>2024</v>
      </c>
    </row>
    <row r="1184" spans="1:7" hidden="1" x14ac:dyDescent="0.2">
      <c r="A1184" t="s">
        <v>76</v>
      </c>
      <c r="B1184" t="s">
        <v>32</v>
      </c>
      <c r="C1184">
        <v>10</v>
      </c>
      <c r="D1184" t="s">
        <v>128</v>
      </c>
      <c r="E1184" t="s">
        <v>315</v>
      </c>
      <c r="F1184">
        <v>7.6</v>
      </c>
      <c r="G1184">
        <v>2024</v>
      </c>
    </row>
    <row r="1185" spans="1:7" hidden="1" x14ac:dyDescent="0.2">
      <c r="A1185" t="s">
        <v>76</v>
      </c>
      <c r="B1185" t="s">
        <v>32</v>
      </c>
      <c r="C1185">
        <v>10</v>
      </c>
      <c r="D1185" t="s">
        <v>128</v>
      </c>
      <c r="E1185" t="s">
        <v>232</v>
      </c>
      <c r="F1185">
        <v>0</v>
      </c>
      <c r="G1185">
        <v>2024</v>
      </c>
    </row>
    <row r="1186" spans="1:7" hidden="1" x14ac:dyDescent="0.2">
      <c r="A1186" t="s">
        <v>76</v>
      </c>
      <c r="B1186" t="s">
        <v>32</v>
      </c>
      <c r="C1186">
        <v>10</v>
      </c>
      <c r="D1186" t="s">
        <v>127</v>
      </c>
      <c r="E1186" t="s">
        <v>235</v>
      </c>
      <c r="F1186">
        <v>11.1</v>
      </c>
      <c r="G1186">
        <v>2024</v>
      </c>
    </row>
    <row r="1187" spans="1:7" hidden="1" x14ac:dyDescent="0.2">
      <c r="A1187" t="s">
        <v>76</v>
      </c>
      <c r="B1187" t="s">
        <v>32</v>
      </c>
      <c r="C1187">
        <v>10</v>
      </c>
      <c r="D1187" t="s">
        <v>127</v>
      </c>
      <c r="E1187" t="s">
        <v>259</v>
      </c>
      <c r="F1187">
        <v>7</v>
      </c>
      <c r="G1187">
        <v>2024</v>
      </c>
    </row>
    <row r="1188" spans="1:7" hidden="1" x14ac:dyDescent="0.2">
      <c r="A1188" t="s">
        <v>76</v>
      </c>
      <c r="B1188" t="s">
        <v>32</v>
      </c>
      <c r="C1188">
        <v>10</v>
      </c>
      <c r="D1188" t="s">
        <v>129</v>
      </c>
      <c r="E1188" t="s">
        <v>236</v>
      </c>
      <c r="F1188">
        <v>13.2</v>
      </c>
      <c r="G1188">
        <v>2024</v>
      </c>
    </row>
    <row r="1189" spans="1:7" hidden="1" x14ac:dyDescent="0.2">
      <c r="A1189" t="s">
        <v>76</v>
      </c>
      <c r="B1189" t="s">
        <v>32</v>
      </c>
      <c r="C1189">
        <v>10</v>
      </c>
      <c r="D1189" t="s">
        <v>131</v>
      </c>
      <c r="E1189" t="s">
        <v>237</v>
      </c>
      <c r="F1189">
        <v>4</v>
      </c>
      <c r="G1189">
        <v>2024</v>
      </c>
    </row>
    <row r="1190" spans="1:7" hidden="1" x14ac:dyDescent="0.2">
      <c r="A1190" t="s">
        <v>76</v>
      </c>
      <c r="B1190" t="s">
        <v>32</v>
      </c>
      <c r="C1190">
        <v>10</v>
      </c>
      <c r="D1190" t="s">
        <v>130</v>
      </c>
      <c r="E1190" t="s">
        <v>281</v>
      </c>
      <c r="F1190">
        <v>3</v>
      </c>
      <c r="G1190">
        <v>2024</v>
      </c>
    </row>
    <row r="1191" spans="1:7" hidden="1" x14ac:dyDescent="0.2">
      <c r="A1191" t="s">
        <v>76</v>
      </c>
      <c r="B1191" t="s">
        <v>32</v>
      </c>
      <c r="C1191">
        <v>10</v>
      </c>
      <c r="D1191" t="s">
        <v>293</v>
      </c>
      <c r="E1191" t="s">
        <v>278</v>
      </c>
      <c r="F1191">
        <v>7</v>
      </c>
      <c r="G1191">
        <v>2024</v>
      </c>
    </row>
    <row r="1192" spans="1:7" hidden="1" x14ac:dyDescent="0.2">
      <c r="A1192" t="s">
        <v>26</v>
      </c>
      <c r="B1192" t="s">
        <v>28</v>
      </c>
      <c r="C1192">
        <v>10</v>
      </c>
      <c r="D1192" t="s">
        <v>125</v>
      </c>
      <c r="E1192" t="s">
        <v>212</v>
      </c>
      <c r="F1192">
        <v>18.2</v>
      </c>
      <c r="G1192">
        <v>2024</v>
      </c>
    </row>
    <row r="1193" spans="1:7" hidden="1" x14ac:dyDescent="0.2">
      <c r="A1193" t="s">
        <v>26</v>
      </c>
      <c r="B1193" t="s">
        <v>28</v>
      </c>
      <c r="C1193">
        <v>10</v>
      </c>
      <c r="D1193" t="s">
        <v>128</v>
      </c>
      <c r="E1193" t="s">
        <v>218</v>
      </c>
      <c r="F1193">
        <v>7.8</v>
      </c>
      <c r="G1193">
        <v>2024</v>
      </c>
    </row>
    <row r="1194" spans="1:7" hidden="1" x14ac:dyDescent="0.2">
      <c r="A1194" t="s">
        <v>26</v>
      </c>
      <c r="B1194" t="s">
        <v>28</v>
      </c>
      <c r="C1194">
        <v>10</v>
      </c>
      <c r="D1194" t="s">
        <v>128</v>
      </c>
      <c r="E1194" t="s">
        <v>329</v>
      </c>
      <c r="F1194">
        <v>3.9</v>
      </c>
      <c r="G1194">
        <v>2024</v>
      </c>
    </row>
    <row r="1195" spans="1:7" hidden="1" x14ac:dyDescent="0.2">
      <c r="A1195" t="s">
        <v>26</v>
      </c>
      <c r="B1195" t="s">
        <v>28</v>
      </c>
      <c r="C1195">
        <v>10</v>
      </c>
      <c r="D1195" t="s">
        <v>128</v>
      </c>
      <c r="E1195" t="s">
        <v>257</v>
      </c>
      <c r="F1195">
        <v>1.6</v>
      </c>
      <c r="G1195">
        <v>2024</v>
      </c>
    </row>
    <row r="1196" spans="1:7" hidden="1" x14ac:dyDescent="0.2">
      <c r="A1196" t="s">
        <v>26</v>
      </c>
      <c r="B1196" t="s">
        <v>28</v>
      </c>
      <c r="C1196">
        <v>10</v>
      </c>
      <c r="D1196" t="s">
        <v>127</v>
      </c>
      <c r="E1196" t="s">
        <v>216</v>
      </c>
      <c r="F1196">
        <v>8.3000000000000007</v>
      </c>
      <c r="G1196">
        <v>2024</v>
      </c>
    </row>
    <row r="1197" spans="1:7" hidden="1" x14ac:dyDescent="0.2">
      <c r="A1197" t="s">
        <v>26</v>
      </c>
      <c r="B1197" t="s">
        <v>28</v>
      </c>
      <c r="C1197">
        <v>10</v>
      </c>
      <c r="D1197" t="s">
        <v>127</v>
      </c>
      <c r="E1197" t="s">
        <v>256</v>
      </c>
      <c r="F1197">
        <v>8.6999999999999993</v>
      </c>
      <c r="G1197">
        <v>2024</v>
      </c>
    </row>
    <row r="1198" spans="1:7" hidden="1" x14ac:dyDescent="0.2">
      <c r="A1198" t="s">
        <v>26</v>
      </c>
      <c r="B1198" t="s">
        <v>28</v>
      </c>
      <c r="C1198">
        <v>10</v>
      </c>
      <c r="D1198" t="s">
        <v>129</v>
      </c>
      <c r="E1198" t="s">
        <v>196</v>
      </c>
      <c r="F1198">
        <v>15.8</v>
      </c>
      <c r="G1198">
        <v>2024</v>
      </c>
    </row>
    <row r="1199" spans="1:7" hidden="1" x14ac:dyDescent="0.2">
      <c r="A1199" t="s">
        <v>26</v>
      </c>
      <c r="B1199" t="s">
        <v>28</v>
      </c>
      <c r="C1199">
        <v>10</v>
      </c>
      <c r="D1199" t="s">
        <v>131</v>
      </c>
      <c r="E1199" t="s">
        <v>214</v>
      </c>
      <c r="F1199">
        <v>10</v>
      </c>
      <c r="G1199">
        <v>2024</v>
      </c>
    </row>
    <row r="1200" spans="1:7" hidden="1" x14ac:dyDescent="0.2">
      <c r="A1200" t="s">
        <v>26</v>
      </c>
      <c r="B1200" t="s">
        <v>28</v>
      </c>
      <c r="C1200">
        <v>10</v>
      </c>
      <c r="D1200" t="s">
        <v>130</v>
      </c>
      <c r="E1200" t="s">
        <v>167</v>
      </c>
      <c r="F1200">
        <v>16</v>
      </c>
      <c r="G1200">
        <v>2024</v>
      </c>
    </row>
    <row r="1201" spans="1:7" hidden="1" x14ac:dyDescent="0.2">
      <c r="A1201" t="s">
        <v>26</v>
      </c>
      <c r="B1201" t="s">
        <v>28</v>
      </c>
      <c r="C1201">
        <v>10</v>
      </c>
      <c r="D1201" t="s">
        <v>297</v>
      </c>
      <c r="E1201" t="s">
        <v>331</v>
      </c>
      <c r="F1201">
        <v>6</v>
      </c>
      <c r="G1201">
        <v>2024</v>
      </c>
    </row>
    <row r="1202" spans="1:7" hidden="1" x14ac:dyDescent="0.2">
      <c r="A1202" t="s">
        <v>14</v>
      </c>
      <c r="B1202" t="s">
        <v>16</v>
      </c>
      <c r="C1202">
        <v>11</v>
      </c>
      <c r="D1202" t="s">
        <v>125</v>
      </c>
      <c r="E1202" t="s">
        <v>360</v>
      </c>
      <c r="F1202">
        <v>23.52</v>
      </c>
      <c r="G1202">
        <v>2024</v>
      </c>
    </row>
    <row r="1203" spans="1:7" hidden="1" x14ac:dyDescent="0.2">
      <c r="A1203" t="s">
        <v>14</v>
      </c>
      <c r="B1203" t="s">
        <v>16</v>
      </c>
      <c r="C1203">
        <v>11</v>
      </c>
      <c r="D1203" t="s">
        <v>294</v>
      </c>
      <c r="E1203" t="s">
        <v>367</v>
      </c>
      <c r="F1203">
        <v>6.2</v>
      </c>
      <c r="G1203">
        <v>2024</v>
      </c>
    </row>
    <row r="1204" spans="1:7" hidden="1" x14ac:dyDescent="0.2">
      <c r="A1204" t="s">
        <v>14</v>
      </c>
      <c r="B1204" t="s">
        <v>16</v>
      </c>
      <c r="C1204">
        <v>11</v>
      </c>
      <c r="D1204" t="s">
        <v>128</v>
      </c>
      <c r="E1204" t="s">
        <v>288</v>
      </c>
      <c r="F1204">
        <v>11.3</v>
      </c>
      <c r="G1204">
        <v>2024</v>
      </c>
    </row>
    <row r="1205" spans="1:7" hidden="1" x14ac:dyDescent="0.2">
      <c r="A1205" t="s">
        <v>14</v>
      </c>
      <c r="B1205" t="s">
        <v>16</v>
      </c>
      <c r="C1205">
        <v>11</v>
      </c>
      <c r="D1205" t="s">
        <v>128</v>
      </c>
      <c r="E1205" t="s">
        <v>133</v>
      </c>
      <c r="F1205">
        <v>15.6</v>
      </c>
      <c r="G1205">
        <v>2024</v>
      </c>
    </row>
    <row r="1206" spans="1:7" hidden="1" x14ac:dyDescent="0.2">
      <c r="A1206" t="s">
        <v>14</v>
      </c>
      <c r="B1206" t="s">
        <v>16</v>
      </c>
      <c r="C1206">
        <v>11</v>
      </c>
      <c r="D1206" t="s">
        <v>129</v>
      </c>
      <c r="E1206" t="s">
        <v>379</v>
      </c>
      <c r="F1206">
        <v>25.1</v>
      </c>
      <c r="G1206">
        <v>2024</v>
      </c>
    </row>
    <row r="1207" spans="1:7" hidden="1" x14ac:dyDescent="0.2">
      <c r="A1207" t="s">
        <v>14</v>
      </c>
      <c r="B1207" t="s">
        <v>16</v>
      </c>
      <c r="C1207">
        <v>11</v>
      </c>
      <c r="D1207" t="s">
        <v>131</v>
      </c>
      <c r="E1207" t="s">
        <v>183</v>
      </c>
      <c r="F1207">
        <v>6</v>
      </c>
      <c r="G1207">
        <v>2024</v>
      </c>
    </row>
    <row r="1208" spans="1:7" hidden="1" x14ac:dyDescent="0.2">
      <c r="A1208" t="s">
        <v>14</v>
      </c>
      <c r="B1208" t="s">
        <v>16</v>
      </c>
      <c r="C1208">
        <v>11</v>
      </c>
      <c r="D1208" t="s">
        <v>130</v>
      </c>
      <c r="E1208" t="s">
        <v>358</v>
      </c>
      <c r="F1208">
        <v>13</v>
      </c>
      <c r="G1208">
        <v>2024</v>
      </c>
    </row>
    <row r="1209" spans="1:7" hidden="1" x14ac:dyDescent="0.2">
      <c r="A1209" t="s">
        <v>14</v>
      </c>
      <c r="B1209" t="s">
        <v>16</v>
      </c>
      <c r="C1209">
        <v>11</v>
      </c>
      <c r="D1209" t="s">
        <v>128</v>
      </c>
      <c r="E1209" t="s">
        <v>134</v>
      </c>
      <c r="F1209">
        <v>10.9</v>
      </c>
      <c r="G1209">
        <v>2024</v>
      </c>
    </row>
    <row r="1210" spans="1:7" hidden="1" x14ac:dyDescent="0.2">
      <c r="A1210" t="s">
        <v>14</v>
      </c>
      <c r="B1210" t="s">
        <v>16</v>
      </c>
      <c r="C1210">
        <v>11</v>
      </c>
      <c r="D1210" t="s">
        <v>127</v>
      </c>
      <c r="E1210" t="s">
        <v>372</v>
      </c>
      <c r="F1210">
        <v>12.6</v>
      </c>
      <c r="G1210">
        <v>2024</v>
      </c>
    </row>
    <row r="1211" spans="1:7" hidden="1" x14ac:dyDescent="0.2">
      <c r="A1211" t="s">
        <v>14</v>
      </c>
      <c r="B1211" t="s">
        <v>16</v>
      </c>
      <c r="C1211">
        <v>11</v>
      </c>
      <c r="D1211" t="s">
        <v>127</v>
      </c>
      <c r="E1211" t="s">
        <v>378</v>
      </c>
      <c r="F1211">
        <v>4</v>
      </c>
      <c r="G1211">
        <v>2024</v>
      </c>
    </row>
    <row r="1212" spans="1:7" hidden="1" x14ac:dyDescent="0.2">
      <c r="A1212" t="s">
        <v>75</v>
      </c>
      <c r="B1212" t="s">
        <v>36</v>
      </c>
      <c r="C1212">
        <v>11</v>
      </c>
      <c r="D1212" t="s">
        <v>125</v>
      </c>
      <c r="E1212" t="s">
        <v>380</v>
      </c>
      <c r="F1212">
        <v>6.3</v>
      </c>
      <c r="G1212">
        <v>2024</v>
      </c>
    </row>
    <row r="1213" spans="1:7" hidden="1" x14ac:dyDescent="0.2">
      <c r="A1213" t="s">
        <v>75</v>
      </c>
      <c r="B1213" t="s">
        <v>36</v>
      </c>
      <c r="C1213">
        <v>11</v>
      </c>
      <c r="D1213" t="s">
        <v>128</v>
      </c>
      <c r="E1213" t="s">
        <v>187</v>
      </c>
      <c r="F1213">
        <v>33.200000000000003</v>
      </c>
      <c r="G1213">
        <v>2024</v>
      </c>
    </row>
    <row r="1214" spans="1:7" hidden="1" x14ac:dyDescent="0.2">
      <c r="A1214" t="s">
        <v>75</v>
      </c>
      <c r="B1214" t="s">
        <v>36</v>
      </c>
      <c r="C1214">
        <v>11</v>
      </c>
      <c r="D1214" t="s">
        <v>128</v>
      </c>
      <c r="E1214" t="s">
        <v>336</v>
      </c>
      <c r="F1214">
        <v>16.899999999999999</v>
      </c>
      <c r="G1214">
        <v>2024</v>
      </c>
    </row>
    <row r="1215" spans="1:7" hidden="1" x14ac:dyDescent="0.2">
      <c r="A1215" t="s">
        <v>75</v>
      </c>
      <c r="B1215" t="s">
        <v>36</v>
      </c>
      <c r="C1215">
        <v>11</v>
      </c>
      <c r="D1215" t="s">
        <v>128</v>
      </c>
      <c r="E1215" t="s">
        <v>248</v>
      </c>
      <c r="F1215">
        <v>16.8</v>
      </c>
      <c r="G1215">
        <v>2024</v>
      </c>
    </row>
    <row r="1216" spans="1:7" hidden="1" x14ac:dyDescent="0.2">
      <c r="A1216" t="s">
        <v>75</v>
      </c>
      <c r="B1216" t="s">
        <v>36</v>
      </c>
      <c r="C1216">
        <v>11</v>
      </c>
      <c r="D1216" t="s">
        <v>127</v>
      </c>
      <c r="E1216" t="s">
        <v>322</v>
      </c>
      <c r="F1216">
        <v>13.6</v>
      </c>
      <c r="G1216">
        <v>2024</v>
      </c>
    </row>
    <row r="1217" spans="1:7" hidden="1" x14ac:dyDescent="0.2">
      <c r="A1217" t="s">
        <v>75</v>
      </c>
      <c r="B1217" t="s">
        <v>36</v>
      </c>
      <c r="C1217">
        <v>11</v>
      </c>
      <c r="D1217" t="s">
        <v>127</v>
      </c>
      <c r="E1217" t="s">
        <v>343</v>
      </c>
      <c r="F1217">
        <v>3.9</v>
      </c>
      <c r="G1217">
        <v>2024</v>
      </c>
    </row>
    <row r="1218" spans="1:7" hidden="1" x14ac:dyDescent="0.2">
      <c r="A1218" t="s">
        <v>75</v>
      </c>
      <c r="B1218" t="s">
        <v>36</v>
      </c>
      <c r="C1218">
        <v>11</v>
      </c>
      <c r="D1218" t="s">
        <v>129</v>
      </c>
      <c r="E1218" t="s">
        <v>249</v>
      </c>
      <c r="F1218">
        <v>1.8</v>
      </c>
      <c r="G1218">
        <v>2024</v>
      </c>
    </row>
    <row r="1219" spans="1:7" hidden="1" x14ac:dyDescent="0.2">
      <c r="A1219" t="s">
        <v>75</v>
      </c>
      <c r="B1219" t="s">
        <v>36</v>
      </c>
      <c r="C1219">
        <v>11</v>
      </c>
      <c r="D1219" t="s">
        <v>131</v>
      </c>
      <c r="E1219" t="s">
        <v>169</v>
      </c>
      <c r="F1219">
        <v>5</v>
      </c>
      <c r="G1219">
        <v>2024</v>
      </c>
    </row>
    <row r="1220" spans="1:7" hidden="1" x14ac:dyDescent="0.2">
      <c r="A1220" t="s">
        <v>75</v>
      </c>
      <c r="B1220" t="s">
        <v>36</v>
      </c>
      <c r="C1220">
        <v>11</v>
      </c>
      <c r="D1220" t="s">
        <v>130</v>
      </c>
      <c r="E1220" t="s">
        <v>193</v>
      </c>
      <c r="F1220">
        <v>18</v>
      </c>
      <c r="G1220">
        <v>2024</v>
      </c>
    </row>
    <row r="1221" spans="1:7" hidden="1" x14ac:dyDescent="0.2">
      <c r="A1221" t="s">
        <v>75</v>
      </c>
      <c r="B1221" t="s">
        <v>36</v>
      </c>
      <c r="C1221">
        <v>11</v>
      </c>
      <c r="D1221" t="s">
        <v>294</v>
      </c>
      <c r="E1221" t="s">
        <v>188</v>
      </c>
      <c r="F1221">
        <v>7.6</v>
      </c>
      <c r="G1221">
        <v>2024</v>
      </c>
    </row>
    <row r="1222" spans="1:7" hidden="1" x14ac:dyDescent="0.2">
      <c r="A1222" t="s">
        <v>42</v>
      </c>
      <c r="B1222" t="s">
        <v>17</v>
      </c>
      <c r="C1222">
        <v>11</v>
      </c>
      <c r="D1222" t="s">
        <v>125</v>
      </c>
      <c r="E1222" t="s">
        <v>150</v>
      </c>
      <c r="F1222">
        <v>15.84</v>
      </c>
      <c r="G1222">
        <v>2024</v>
      </c>
    </row>
    <row r="1223" spans="1:7" hidden="1" x14ac:dyDescent="0.2">
      <c r="A1223" t="s">
        <v>42</v>
      </c>
      <c r="B1223" t="s">
        <v>17</v>
      </c>
      <c r="C1223">
        <v>11</v>
      </c>
      <c r="D1223" t="s">
        <v>128</v>
      </c>
      <c r="E1223" t="s">
        <v>153</v>
      </c>
      <c r="F1223">
        <v>11</v>
      </c>
      <c r="G1223">
        <v>2024</v>
      </c>
    </row>
    <row r="1224" spans="1:7" hidden="1" x14ac:dyDescent="0.2">
      <c r="A1224" t="s">
        <v>42</v>
      </c>
      <c r="B1224" t="s">
        <v>17</v>
      </c>
      <c r="C1224">
        <v>11</v>
      </c>
      <c r="D1224" t="s">
        <v>128</v>
      </c>
      <c r="E1224" t="s">
        <v>151</v>
      </c>
      <c r="F1224">
        <v>10.199999999999999</v>
      </c>
      <c r="G1224">
        <v>2024</v>
      </c>
    </row>
    <row r="1225" spans="1:7" hidden="1" x14ac:dyDescent="0.2">
      <c r="A1225" t="s">
        <v>42</v>
      </c>
      <c r="B1225" t="s">
        <v>17</v>
      </c>
      <c r="C1225">
        <v>11</v>
      </c>
      <c r="D1225" t="s">
        <v>128</v>
      </c>
      <c r="E1225" t="s">
        <v>274</v>
      </c>
      <c r="F1225">
        <v>7.8</v>
      </c>
      <c r="G1225">
        <v>2024</v>
      </c>
    </row>
    <row r="1226" spans="1:7" hidden="1" x14ac:dyDescent="0.2">
      <c r="A1226" t="s">
        <v>42</v>
      </c>
      <c r="B1226" t="s">
        <v>17</v>
      </c>
      <c r="C1226">
        <v>11</v>
      </c>
      <c r="D1226" t="s">
        <v>127</v>
      </c>
      <c r="E1226" t="s">
        <v>314</v>
      </c>
      <c r="F1226">
        <v>16.8</v>
      </c>
      <c r="G1226">
        <v>2024</v>
      </c>
    </row>
    <row r="1227" spans="1:7" hidden="1" x14ac:dyDescent="0.2">
      <c r="A1227" t="s">
        <v>42</v>
      </c>
      <c r="B1227" t="s">
        <v>17</v>
      </c>
      <c r="C1227">
        <v>11</v>
      </c>
      <c r="D1227" t="s">
        <v>127</v>
      </c>
      <c r="E1227" t="s">
        <v>154</v>
      </c>
      <c r="F1227">
        <v>10.5</v>
      </c>
      <c r="G1227">
        <v>2024</v>
      </c>
    </row>
    <row r="1228" spans="1:7" hidden="1" x14ac:dyDescent="0.2">
      <c r="A1228" t="s">
        <v>42</v>
      </c>
      <c r="B1228" t="s">
        <v>17</v>
      </c>
      <c r="C1228">
        <v>11</v>
      </c>
      <c r="D1228" t="s">
        <v>129</v>
      </c>
      <c r="E1228" t="s">
        <v>299</v>
      </c>
      <c r="F1228">
        <v>1.6</v>
      </c>
      <c r="G1228">
        <v>2024</v>
      </c>
    </row>
    <row r="1229" spans="1:7" hidden="1" x14ac:dyDescent="0.2">
      <c r="A1229" t="s">
        <v>42</v>
      </c>
      <c r="B1229" t="s">
        <v>17</v>
      </c>
      <c r="C1229">
        <v>11</v>
      </c>
      <c r="D1229" t="s">
        <v>131</v>
      </c>
      <c r="E1229" t="s">
        <v>143</v>
      </c>
      <c r="F1229">
        <v>9</v>
      </c>
      <c r="G1229">
        <v>2024</v>
      </c>
    </row>
    <row r="1230" spans="1:7" hidden="1" x14ac:dyDescent="0.2">
      <c r="A1230" t="s">
        <v>42</v>
      </c>
      <c r="B1230" t="s">
        <v>17</v>
      </c>
      <c r="C1230">
        <v>11</v>
      </c>
      <c r="D1230" t="s">
        <v>130</v>
      </c>
      <c r="E1230" t="s">
        <v>157</v>
      </c>
      <c r="F1230">
        <v>7</v>
      </c>
      <c r="G1230">
        <v>2024</v>
      </c>
    </row>
    <row r="1231" spans="1:7" hidden="1" x14ac:dyDescent="0.2">
      <c r="A1231" t="s">
        <v>42</v>
      </c>
      <c r="B1231" t="s">
        <v>17</v>
      </c>
      <c r="C1231">
        <v>11</v>
      </c>
      <c r="D1231" t="s">
        <v>293</v>
      </c>
      <c r="E1231" t="s">
        <v>313</v>
      </c>
      <c r="F1231">
        <v>6</v>
      </c>
      <c r="G1231">
        <v>2024</v>
      </c>
    </row>
    <row r="1232" spans="1:7" hidden="1" x14ac:dyDescent="0.2">
      <c r="A1232" t="s">
        <v>73</v>
      </c>
      <c r="B1232" t="s">
        <v>21</v>
      </c>
      <c r="C1232">
        <v>11</v>
      </c>
      <c r="D1232" t="s">
        <v>125</v>
      </c>
      <c r="E1232" t="s">
        <v>325</v>
      </c>
      <c r="F1232">
        <v>23.64</v>
      </c>
      <c r="G1232">
        <v>2024</v>
      </c>
    </row>
    <row r="1233" spans="1:7" hidden="1" x14ac:dyDescent="0.2">
      <c r="A1233" t="s">
        <v>73</v>
      </c>
      <c r="B1233" t="s">
        <v>21</v>
      </c>
      <c r="C1233">
        <v>11</v>
      </c>
      <c r="D1233" t="s">
        <v>128</v>
      </c>
      <c r="E1233" t="s">
        <v>145</v>
      </c>
      <c r="F1233">
        <v>9</v>
      </c>
      <c r="G1233">
        <v>2024</v>
      </c>
    </row>
    <row r="1234" spans="1:7" hidden="1" x14ac:dyDescent="0.2">
      <c r="A1234" t="s">
        <v>73</v>
      </c>
      <c r="B1234" t="s">
        <v>21</v>
      </c>
      <c r="C1234">
        <v>11</v>
      </c>
      <c r="D1234" t="s">
        <v>128</v>
      </c>
      <c r="E1234" t="s">
        <v>243</v>
      </c>
      <c r="F1234">
        <v>7.8</v>
      </c>
      <c r="G1234">
        <v>2024</v>
      </c>
    </row>
    <row r="1235" spans="1:7" hidden="1" x14ac:dyDescent="0.2">
      <c r="A1235" t="s">
        <v>73</v>
      </c>
      <c r="B1235" t="s">
        <v>21</v>
      </c>
      <c r="C1235">
        <v>11</v>
      </c>
      <c r="D1235" t="s">
        <v>128</v>
      </c>
      <c r="E1235" t="s">
        <v>146</v>
      </c>
      <c r="F1235">
        <v>4.0999999999999996</v>
      </c>
      <c r="G1235">
        <v>2024</v>
      </c>
    </row>
    <row r="1236" spans="1:7" hidden="1" x14ac:dyDescent="0.2">
      <c r="A1236" t="s">
        <v>73</v>
      </c>
      <c r="B1236" t="s">
        <v>21</v>
      </c>
      <c r="C1236">
        <v>11</v>
      </c>
      <c r="D1236" t="s">
        <v>127</v>
      </c>
      <c r="E1236" t="s">
        <v>148</v>
      </c>
      <c r="F1236">
        <v>18.5</v>
      </c>
      <c r="G1236">
        <v>2024</v>
      </c>
    </row>
    <row r="1237" spans="1:7" hidden="1" x14ac:dyDescent="0.2">
      <c r="A1237" t="s">
        <v>73</v>
      </c>
      <c r="B1237" t="s">
        <v>21</v>
      </c>
      <c r="C1237">
        <v>11</v>
      </c>
      <c r="D1237" t="s">
        <v>127</v>
      </c>
      <c r="E1237" t="s">
        <v>381</v>
      </c>
      <c r="F1237">
        <v>-0.2</v>
      </c>
      <c r="G1237">
        <v>2024</v>
      </c>
    </row>
    <row r="1238" spans="1:7" hidden="1" x14ac:dyDescent="0.2">
      <c r="A1238" t="s">
        <v>73</v>
      </c>
      <c r="B1238" t="s">
        <v>21</v>
      </c>
      <c r="C1238">
        <v>11</v>
      </c>
      <c r="D1238" t="s">
        <v>129</v>
      </c>
      <c r="E1238" t="s">
        <v>327</v>
      </c>
      <c r="F1238">
        <v>0</v>
      </c>
      <c r="G1238">
        <v>2024</v>
      </c>
    </row>
    <row r="1239" spans="1:7" hidden="1" x14ac:dyDescent="0.2">
      <c r="A1239" t="s">
        <v>73</v>
      </c>
      <c r="B1239" t="s">
        <v>21</v>
      </c>
      <c r="C1239">
        <v>11</v>
      </c>
      <c r="D1239" t="s">
        <v>131</v>
      </c>
      <c r="E1239" t="s">
        <v>242</v>
      </c>
      <c r="F1239">
        <v>24</v>
      </c>
      <c r="G1239">
        <v>2024</v>
      </c>
    </row>
    <row r="1240" spans="1:7" hidden="1" x14ac:dyDescent="0.2">
      <c r="A1240" t="s">
        <v>73</v>
      </c>
      <c r="B1240" t="s">
        <v>21</v>
      </c>
      <c r="C1240">
        <v>11</v>
      </c>
      <c r="D1240" t="s">
        <v>130</v>
      </c>
      <c r="E1240" t="s">
        <v>326</v>
      </c>
      <c r="F1240">
        <v>5</v>
      </c>
      <c r="G1240">
        <v>2024</v>
      </c>
    </row>
    <row r="1241" spans="1:7" hidden="1" x14ac:dyDescent="0.2">
      <c r="A1241" t="s">
        <v>73</v>
      </c>
      <c r="B1241" t="s">
        <v>21</v>
      </c>
      <c r="C1241">
        <v>11</v>
      </c>
      <c r="D1241" t="s">
        <v>294</v>
      </c>
      <c r="E1241" t="s">
        <v>328</v>
      </c>
      <c r="F1241">
        <v>3.7</v>
      </c>
      <c r="G1241">
        <v>2024</v>
      </c>
    </row>
    <row r="1242" spans="1:7" hidden="1" x14ac:dyDescent="0.2">
      <c r="A1242" t="s">
        <v>74</v>
      </c>
      <c r="B1242" t="s">
        <v>29</v>
      </c>
      <c r="C1242">
        <v>11</v>
      </c>
      <c r="D1242" t="s">
        <v>125</v>
      </c>
      <c r="E1242" t="s">
        <v>168</v>
      </c>
      <c r="F1242">
        <v>18.739999999999998</v>
      </c>
      <c r="G1242">
        <v>2024</v>
      </c>
    </row>
    <row r="1243" spans="1:7" hidden="1" x14ac:dyDescent="0.2">
      <c r="A1243" t="s">
        <v>74</v>
      </c>
      <c r="B1243" t="s">
        <v>29</v>
      </c>
      <c r="C1243">
        <v>11</v>
      </c>
      <c r="D1243" t="s">
        <v>128</v>
      </c>
      <c r="E1243" t="s">
        <v>171</v>
      </c>
      <c r="F1243">
        <v>11.1</v>
      </c>
      <c r="G1243">
        <v>2024</v>
      </c>
    </row>
    <row r="1244" spans="1:7" hidden="1" x14ac:dyDescent="0.2">
      <c r="A1244" t="s">
        <v>74</v>
      </c>
      <c r="B1244" t="s">
        <v>29</v>
      </c>
      <c r="C1244">
        <v>11</v>
      </c>
      <c r="D1244" t="s">
        <v>128</v>
      </c>
      <c r="E1244" t="s">
        <v>172</v>
      </c>
      <c r="F1244">
        <v>10.199999999999999</v>
      </c>
      <c r="G1244">
        <v>2024</v>
      </c>
    </row>
    <row r="1245" spans="1:7" hidden="1" x14ac:dyDescent="0.2">
      <c r="A1245" t="s">
        <v>74</v>
      </c>
      <c r="B1245" t="s">
        <v>29</v>
      </c>
      <c r="C1245">
        <v>11</v>
      </c>
      <c r="D1245" t="s">
        <v>128</v>
      </c>
      <c r="E1245" t="s">
        <v>382</v>
      </c>
      <c r="F1245">
        <v>15.7</v>
      </c>
      <c r="G1245">
        <v>2024</v>
      </c>
    </row>
    <row r="1246" spans="1:7" hidden="1" x14ac:dyDescent="0.2">
      <c r="A1246" t="s">
        <v>74</v>
      </c>
      <c r="B1246" t="s">
        <v>29</v>
      </c>
      <c r="C1246">
        <v>11</v>
      </c>
      <c r="D1246" t="s">
        <v>127</v>
      </c>
      <c r="E1246" t="s">
        <v>174</v>
      </c>
      <c r="F1246">
        <v>8.3000000000000007</v>
      </c>
      <c r="G1246">
        <v>2024</v>
      </c>
    </row>
    <row r="1247" spans="1:7" hidden="1" x14ac:dyDescent="0.2">
      <c r="A1247" t="s">
        <v>74</v>
      </c>
      <c r="B1247" t="s">
        <v>29</v>
      </c>
      <c r="C1247">
        <v>11</v>
      </c>
      <c r="D1247" t="s">
        <v>127</v>
      </c>
      <c r="E1247" t="s">
        <v>155</v>
      </c>
      <c r="F1247">
        <v>1.8</v>
      </c>
      <c r="G1247">
        <v>2024</v>
      </c>
    </row>
    <row r="1248" spans="1:7" hidden="1" x14ac:dyDescent="0.2">
      <c r="A1248" t="s">
        <v>74</v>
      </c>
      <c r="B1248" t="s">
        <v>29</v>
      </c>
      <c r="C1248">
        <v>11</v>
      </c>
      <c r="D1248" t="s">
        <v>129</v>
      </c>
      <c r="E1248" t="s">
        <v>170</v>
      </c>
      <c r="F1248">
        <v>14.6</v>
      </c>
      <c r="G1248">
        <v>2024</v>
      </c>
    </row>
    <row r="1249" spans="1:7" hidden="1" x14ac:dyDescent="0.2">
      <c r="A1249" t="s">
        <v>74</v>
      </c>
      <c r="B1249" t="s">
        <v>29</v>
      </c>
      <c r="C1249">
        <v>11</v>
      </c>
      <c r="D1249" t="s">
        <v>131</v>
      </c>
      <c r="E1249" t="s">
        <v>139</v>
      </c>
      <c r="F1249">
        <v>5</v>
      </c>
      <c r="G1249">
        <v>2024</v>
      </c>
    </row>
    <row r="1250" spans="1:7" hidden="1" x14ac:dyDescent="0.2">
      <c r="A1250" t="s">
        <v>74</v>
      </c>
      <c r="B1250" t="s">
        <v>29</v>
      </c>
      <c r="C1250">
        <v>11</v>
      </c>
      <c r="D1250" t="s">
        <v>130</v>
      </c>
      <c r="E1250" t="s">
        <v>408</v>
      </c>
      <c r="F1250">
        <v>2</v>
      </c>
      <c r="G1250">
        <v>2024</v>
      </c>
    </row>
    <row r="1251" spans="1:7" hidden="1" x14ac:dyDescent="0.2">
      <c r="A1251" t="s">
        <v>74</v>
      </c>
      <c r="B1251" t="s">
        <v>29</v>
      </c>
      <c r="C1251">
        <v>11</v>
      </c>
      <c r="D1251" t="s">
        <v>294</v>
      </c>
      <c r="E1251" t="s">
        <v>280</v>
      </c>
      <c r="F1251">
        <v>9.5</v>
      </c>
      <c r="G1251">
        <v>2024</v>
      </c>
    </row>
    <row r="1252" spans="1:7" hidden="1" x14ac:dyDescent="0.2">
      <c r="A1252" t="s">
        <v>35</v>
      </c>
      <c r="B1252" t="s">
        <v>49</v>
      </c>
      <c r="C1252">
        <v>11</v>
      </c>
      <c r="D1252" t="s">
        <v>125</v>
      </c>
      <c r="E1252" t="s">
        <v>345</v>
      </c>
      <c r="F1252">
        <v>4.92</v>
      </c>
      <c r="G1252">
        <v>2024</v>
      </c>
    </row>
    <row r="1253" spans="1:7" hidden="1" x14ac:dyDescent="0.2">
      <c r="A1253" t="s">
        <v>35</v>
      </c>
      <c r="B1253" t="s">
        <v>49</v>
      </c>
      <c r="C1253">
        <v>11</v>
      </c>
      <c r="D1253" t="s">
        <v>128</v>
      </c>
      <c r="E1253" t="s">
        <v>222</v>
      </c>
      <c r="F1253">
        <v>20.6</v>
      </c>
      <c r="G1253">
        <v>2024</v>
      </c>
    </row>
    <row r="1254" spans="1:7" hidden="1" x14ac:dyDescent="0.2">
      <c r="A1254" t="s">
        <v>35</v>
      </c>
      <c r="B1254" t="s">
        <v>49</v>
      </c>
      <c r="C1254">
        <v>11</v>
      </c>
      <c r="D1254" t="s">
        <v>128</v>
      </c>
      <c r="E1254" t="s">
        <v>254</v>
      </c>
      <c r="F1254">
        <v>7.1</v>
      </c>
      <c r="G1254">
        <v>2024</v>
      </c>
    </row>
    <row r="1255" spans="1:7" hidden="1" x14ac:dyDescent="0.2">
      <c r="A1255" t="s">
        <v>35</v>
      </c>
      <c r="B1255" t="s">
        <v>49</v>
      </c>
      <c r="C1255">
        <v>11</v>
      </c>
      <c r="D1255" t="s">
        <v>128</v>
      </c>
      <c r="E1255" t="s">
        <v>304</v>
      </c>
      <c r="F1255">
        <v>6.1</v>
      </c>
      <c r="G1255">
        <v>2024</v>
      </c>
    </row>
    <row r="1256" spans="1:7" hidden="1" x14ac:dyDescent="0.2">
      <c r="A1256" t="s">
        <v>35</v>
      </c>
      <c r="B1256" t="s">
        <v>49</v>
      </c>
      <c r="C1256">
        <v>11</v>
      </c>
      <c r="D1256" t="s">
        <v>127</v>
      </c>
      <c r="E1256" t="s">
        <v>226</v>
      </c>
      <c r="F1256">
        <v>27.6</v>
      </c>
      <c r="G1256">
        <v>2024</v>
      </c>
    </row>
    <row r="1257" spans="1:7" hidden="1" x14ac:dyDescent="0.2">
      <c r="A1257" t="s">
        <v>35</v>
      </c>
      <c r="B1257" t="s">
        <v>49</v>
      </c>
      <c r="C1257">
        <v>11</v>
      </c>
      <c r="D1257" t="s">
        <v>127</v>
      </c>
      <c r="E1257" t="s">
        <v>225</v>
      </c>
      <c r="F1257">
        <v>12.9</v>
      </c>
      <c r="G1257">
        <v>2024</v>
      </c>
    </row>
    <row r="1258" spans="1:7" hidden="1" x14ac:dyDescent="0.2">
      <c r="A1258" t="s">
        <v>35</v>
      </c>
      <c r="B1258" t="s">
        <v>49</v>
      </c>
      <c r="C1258">
        <v>11</v>
      </c>
      <c r="D1258" t="s">
        <v>129</v>
      </c>
      <c r="E1258" t="s">
        <v>376</v>
      </c>
      <c r="F1258">
        <v>2.2999999999999998</v>
      </c>
      <c r="G1258">
        <v>2024</v>
      </c>
    </row>
    <row r="1259" spans="1:7" hidden="1" x14ac:dyDescent="0.2">
      <c r="A1259" t="s">
        <v>35</v>
      </c>
      <c r="B1259" t="s">
        <v>49</v>
      </c>
      <c r="C1259">
        <v>11</v>
      </c>
      <c r="D1259" t="s">
        <v>131</v>
      </c>
      <c r="E1259" t="s">
        <v>350</v>
      </c>
      <c r="F1259">
        <v>12</v>
      </c>
      <c r="G1259">
        <v>2024</v>
      </c>
    </row>
    <row r="1260" spans="1:7" hidden="1" x14ac:dyDescent="0.2">
      <c r="A1260" t="s">
        <v>35</v>
      </c>
      <c r="B1260" t="s">
        <v>49</v>
      </c>
      <c r="C1260">
        <v>11</v>
      </c>
      <c r="D1260" t="s">
        <v>130</v>
      </c>
      <c r="E1260" t="s">
        <v>289</v>
      </c>
      <c r="F1260">
        <v>5</v>
      </c>
      <c r="G1260">
        <v>2024</v>
      </c>
    </row>
    <row r="1261" spans="1:7" hidden="1" x14ac:dyDescent="0.2">
      <c r="A1261" t="s">
        <v>35</v>
      </c>
      <c r="B1261" t="s">
        <v>49</v>
      </c>
      <c r="C1261">
        <v>11</v>
      </c>
      <c r="D1261" t="s">
        <v>294</v>
      </c>
      <c r="E1261" t="s">
        <v>224</v>
      </c>
      <c r="F1261">
        <v>3.8</v>
      </c>
      <c r="G1261">
        <v>2024</v>
      </c>
    </row>
    <row r="1262" spans="1:7" hidden="1" x14ac:dyDescent="0.2">
      <c r="A1262" t="s">
        <v>18</v>
      </c>
      <c r="B1262" t="s">
        <v>20</v>
      </c>
      <c r="C1262">
        <v>11</v>
      </c>
      <c r="D1262" t="s">
        <v>125</v>
      </c>
      <c r="E1262" t="s">
        <v>250</v>
      </c>
      <c r="F1262">
        <v>13.44</v>
      </c>
      <c r="G1262">
        <v>2024</v>
      </c>
    </row>
    <row r="1263" spans="1:7" hidden="1" x14ac:dyDescent="0.2">
      <c r="A1263" t="s">
        <v>18</v>
      </c>
      <c r="B1263" t="s">
        <v>20</v>
      </c>
      <c r="C1263">
        <v>11</v>
      </c>
      <c r="D1263" t="s">
        <v>128</v>
      </c>
      <c r="E1263" t="s">
        <v>204</v>
      </c>
      <c r="F1263">
        <v>25.6</v>
      </c>
      <c r="G1263">
        <v>2024</v>
      </c>
    </row>
    <row r="1264" spans="1:7" hidden="1" x14ac:dyDescent="0.2">
      <c r="A1264" t="s">
        <v>18</v>
      </c>
      <c r="B1264" t="s">
        <v>20</v>
      </c>
      <c r="C1264">
        <v>11</v>
      </c>
      <c r="D1264" t="s">
        <v>128</v>
      </c>
      <c r="E1264" t="s">
        <v>359</v>
      </c>
      <c r="F1264">
        <v>4.9000000000000004</v>
      </c>
      <c r="G1264">
        <v>2024</v>
      </c>
    </row>
    <row r="1265" spans="1:7" hidden="1" x14ac:dyDescent="0.2">
      <c r="A1265" t="s">
        <v>18</v>
      </c>
      <c r="B1265" t="s">
        <v>20</v>
      </c>
      <c r="C1265">
        <v>11</v>
      </c>
      <c r="D1265" t="s">
        <v>128</v>
      </c>
      <c r="E1265" t="s">
        <v>384</v>
      </c>
      <c r="F1265">
        <v>4</v>
      </c>
      <c r="G1265">
        <v>2024</v>
      </c>
    </row>
    <row r="1266" spans="1:7" hidden="1" x14ac:dyDescent="0.2">
      <c r="A1266" t="s">
        <v>18</v>
      </c>
      <c r="B1266" t="s">
        <v>20</v>
      </c>
      <c r="C1266">
        <v>11</v>
      </c>
      <c r="D1266" t="s">
        <v>127</v>
      </c>
      <c r="E1266" t="s">
        <v>207</v>
      </c>
      <c r="F1266">
        <v>18.8</v>
      </c>
      <c r="G1266">
        <v>2024</v>
      </c>
    </row>
    <row r="1267" spans="1:7" hidden="1" x14ac:dyDescent="0.2">
      <c r="A1267" t="s">
        <v>18</v>
      </c>
      <c r="B1267" t="s">
        <v>20</v>
      </c>
      <c r="C1267">
        <v>11</v>
      </c>
      <c r="D1267" t="s">
        <v>127</v>
      </c>
      <c r="E1267" t="s">
        <v>208</v>
      </c>
      <c r="F1267">
        <v>17.2</v>
      </c>
      <c r="G1267">
        <v>2024</v>
      </c>
    </row>
    <row r="1268" spans="1:7" hidden="1" x14ac:dyDescent="0.2">
      <c r="A1268" t="s">
        <v>18</v>
      </c>
      <c r="B1268" t="s">
        <v>20</v>
      </c>
      <c r="C1268">
        <v>11</v>
      </c>
      <c r="D1268" t="s">
        <v>129</v>
      </c>
      <c r="E1268" t="s">
        <v>383</v>
      </c>
      <c r="F1268">
        <v>6</v>
      </c>
      <c r="G1268">
        <v>2024</v>
      </c>
    </row>
    <row r="1269" spans="1:7" hidden="1" x14ac:dyDescent="0.2">
      <c r="A1269" t="s">
        <v>18</v>
      </c>
      <c r="B1269" t="s">
        <v>20</v>
      </c>
      <c r="C1269">
        <v>11</v>
      </c>
      <c r="D1269" t="s">
        <v>131</v>
      </c>
      <c r="E1269" t="s">
        <v>210</v>
      </c>
      <c r="F1269">
        <v>5</v>
      </c>
      <c r="G1269">
        <v>2024</v>
      </c>
    </row>
    <row r="1270" spans="1:7" hidden="1" x14ac:dyDescent="0.2">
      <c r="A1270" t="s">
        <v>18</v>
      </c>
      <c r="B1270" t="s">
        <v>20</v>
      </c>
      <c r="C1270">
        <v>11</v>
      </c>
      <c r="D1270" t="s">
        <v>130</v>
      </c>
      <c r="E1270" t="s">
        <v>323</v>
      </c>
      <c r="F1270">
        <v>14</v>
      </c>
      <c r="G1270">
        <v>2024</v>
      </c>
    </row>
    <row r="1271" spans="1:7" hidden="1" x14ac:dyDescent="0.2">
      <c r="A1271" t="s">
        <v>18</v>
      </c>
      <c r="B1271" t="s">
        <v>20</v>
      </c>
      <c r="C1271">
        <v>11</v>
      </c>
      <c r="D1271" t="s">
        <v>294</v>
      </c>
      <c r="E1271" t="s">
        <v>295</v>
      </c>
      <c r="F1271">
        <v>1.5</v>
      </c>
      <c r="G1271">
        <v>2024</v>
      </c>
    </row>
    <row r="1272" spans="1:7" hidden="1" x14ac:dyDescent="0.2">
      <c r="A1272" t="s">
        <v>76</v>
      </c>
      <c r="B1272" t="s">
        <v>32</v>
      </c>
      <c r="C1272">
        <v>11</v>
      </c>
      <c r="D1272" t="s">
        <v>125</v>
      </c>
      <c r="E1272" t="s">
        <v>230</v>
      </c>
      <c r="F1272">
        <v>29.04</v>
      </c>
      <c r="G1272">
        <v>2024</v>
      </c>
    </row>
    <row r="1273" spans="1:7" hidden="1" x14ac:dyDescent="0.2">
      <c r="A1273" t="s">
        <v>76</v>
      </c>
      <c r="B1273" t="s">
        <v>32</v>
      </c>
      <c r="C1273">
        <v>11</v>
      </c>
      <c r="D1273" t="s">
        <v>128</v>
      </c>
      <c r="E1273" t="s">
        <v>231</v>
      </c>
      <c r="F1273">
        <v>23</v>
      </c>
      <c r="G1273">
        <v>2024</v>
      </c>
    </row>
    <row r="1274" spans="1:7" hidden="1" x14ac:dyDescent="0.2">
      <c r="A1274" t="s">
        <v>76</v>
      </c>
      <c r="B1274" t="s">
        <v>32</v>
      </c>
      <c r="C1274">
        <v>11</v>
      </c>
      <c r="D1274" t="s">
        <v>128</v>
      </c>
      <c r="E1274" t="s">
        <v>232</v>
      </c>
      <c r="F1274">
        <v>7.4</v>
      </c>
      <c r="G1274">
        <v>2024</v>
      </c>
    </row>
    <row r="1275" spans="1:7" hidden="1" x14ac:dyDescent="0.2">
      <c r="A1275" t="s">
        <v>76</v>
      </c>
      <c r="B1275" t="s">
        <v>32</v>
      </c>
      <c r="C1275">
        <v>11</v>
      </c>
      <c r="D1275" t="s">
        <v>128</v>
      </c>
      <c r="E1275" t="s">
        <v>303</v>
      </c>
      <c r="F1275">
        <v>6.8</v>
      </c>
      <c r="G1275">
        <v>2024</v>
      </c>
    </row>
    <row r="1276" spans="1:7" hidden="1" x14ac:dyDescent="0.2">
      <c r="A1276" t="s">
        <v>76</v>
      </c>
      <c r="B1276" t="s">
        <v>32</v>
      </c>
      <c r="C1276">
        <v>11</v>
      </c>
      <c r="D1276" t="s">
        <v>127</v>
      </c>
      <c r="E1276" t="s">
        <v>259</v>
      </c>
      <c r="F1276">
        <v>18.399999999999999</v>
      </c>
      <c r="G1276">
        <v>2024</v>
      </c>
    </row>
    <row r="1277" spans="1:7" hidden="1" x14ac:dyDescent="0.2">
      <c r="A1277" t="s">
        <v>76</v>
      </c>
      <c r="B1277" t="s">
        <v>32</v>
      </c>
      <c r="C1277">
        <v>11</v>
      </c>
      <c r="D1277" t="s">
        <v>127</v>
      </c>
      <c r="E1277" t="s">
        <v>234</v>
      </c>
      <c r="F1277">
        <v>10.9</v>
      </c>
      <c r="G1277">
        <v>2024</v>
      </c>
    </row>
    <row r="1278" spans="1:7" hidden="1" x14ac:dyDescent="0.2">
      <c r="A1278" t="s">
        <v>76</v>
      </c>
      <c r="B1278" t="s">
        <v>32</v>
      </c>
      <c r="C1278">
        <v>11</v>
      </c>
      <c r="D1278" t="s">
        <v>129</v>
      </c>
      <c r="E1278" t="s">
        <v>245</v>
      </c>
      <c r="F1278">
        <v>5.8</v>
      </c>
      <c r="G1278">
        <v>2024</v>
      </c>
    </row>
    <row r="1279" spans="1:7" hidden="1" x14ac:dyDescent="0.2">
      <c r="A1279" t="s">
        <v>76</v>
      </c>
      <c r="B1279" t="s">
        <v>32</v>
      </c>
      <c r="C1279">
        <v>11</v>
      </c>
      <c r="D1279" t="s">
        <v>131</v>
      </c>
      <c r="E1279" t="s">
        <v>158</v>
      </c>
      <c r="F1279">
        <v>11</v>
      </c>
      <c r="G1279">
        <v>2024</v>
      </c>
    </row>
    <row r="1280" spans="1:7" hidden="1" x14ac:dyDescent="0.2">
      <c r="A1280" t="s">
        <v>76</v>
      </c>
      <c r="B1280" t="s">
        <v>32</v>
      </c>
      <c r="C1280">
        <v>11</v>
      </c>
      <c r="D1280" t="s">
        <v>130</v>
      </c>
      <c r="E1280" t="s">
        <v>385</v>
      </c>
      <c r="F1280">
        <v>-2</v>
      </c>
      <c r="G1280">
        <v>2024</v>
      </c>
    </row>
    <row r="1281" spans="1:7" hidden="1" x14ac:dyDescent="0.2">
      <c r="A1281" t="s">
        <v>76</v>
      </c>
      <c r="B1281" t="s">
        <v>32</v>
      </c>
      <c r="C1281">
        <v>11</v>
      </c>
      <c r="D1281" t="s">
        <v>293</v>
      </c>
      <c r="E1281" t="s">
        <v>235</v>
      </c>
      <c r="F1281">
        <v>4.8</v>
      </c>
      <c r="G1281">
        <v>2024</v>
      </c>
    </row>
    <row r="1282" spans="1:7" hidden="1" x14ac:dyDescent="0.2">
      <c r="A1282" t="s">
        <v>31</v>
      </c>
      <c r="B1282" t="s">
        <v>33</v>
      </c>
      <c r="C1282">
        <v>11</v>
      </c>
      <c r="D1282" t="s">
        <v>125</v>
      </c>
      <c r="E1282" t="s">
        <v>202</v>
      </c>
      <c r="F1282">
        <v>14.88</v>
      </c>
      <c r="G1282">
        <v>2024</v>
      </c>
    </row>
    <row r="1283" spans="1:7" hidden="1" x14ac:dyDescent="0.2">
      <c r="A1283" t="s">
        <v>31</v>
      </c>
      <c r="B1283" t="s">
        <v>33</v>
      </c>
      <c r="C1283">
        <v>11</v>
      </c>
      <c r="D1283" t="s">
        <v>128</v>
      </c>
      <c r="E1283" t="s">
        <v>276</v>
      </c>
      <c r="F1283">
        <v>25.3</v>
      </c>
      <c r="G1283">
        <v>2024</v>
      </c>
    </row>
    <row r="1284" spans="1:7" hidden="1" x14ac:dyDescent="0.2">
      <c r="A1284" t="s">
        <v>31</v>
      </c>
      <c r="B1284" t="s">
        <v>33</v>
      </c>
      <c r="C1284">
        <v>11</v>
      </c>
      <c r="D1284" t="s">
        <v>128</v>
      </c>
      <c r="E1284" t="s">
        <v>292</v>
      </c>
      <c r="F1284">
        <v>20.100000000000001</v>
      </c>
      <c r="G1284">
        <v>2024</v>
      </c>
    </row>
    <row r="1285" spans="1:7" hidden="1" x14ac:dyDescent="0.2">
      <c r="A1285" t="s">
        <v>31</v>
      </c>
      <c r="B1285" t="s">
        <v>33</v>
      </c>
      <c r="C1285">
        <v>11</v>
      </c>
      <c r="D1285" t="s">
        <v>128</v>
      </c>
      <c r="E1285" t="s">
        <v>201</v>
      </c>
      <c r="F1285">
        <v>6.5</v>
      </c>
      <c r="G1285">
        <v>2024</v>
      </c>
    </row>
    <row r="1286" spans="1:7" hidden="1" x14ac:dyDescent="0.2">
      <c r="A1286" t="s">
        <v>31</v>
      </c>
      <c r="B1286" t="s">
        <v>33</v>
      </c>
      <c r="C1286">
        <v>11</v>
      </c>
      <c r="D1286" t="s">
        <v>127</v>
      </c>
      <c r="E1286" t="s">
        <v>291</v>
      </c>
      <c r="F1286">
        <v>13.7</v>
      </c>
      <c r="G1286">
        <v>2024</v>
      </c>
    </row>
    <row r="1287" spans="1:7" hidden="1" x14ac:dyDescent="0.2">
      <c r="A1287" t="s">
        <v>31</v>
      </c>
      <c r="B1287" t="s">
        <v>33</v>
      </c>
      <c r="C1287">
        <v>11</v>
      </c>
      <c r="D1287" t="s">
        <v>127</v>
      </c>
      <c r="E1287" t="s">
        <v>197</v>
      </c>
      <c r="F1287">
        <v>10.9</v>
      </c>
      <c r="G1287">
        <v>2024</v>
      </c>
    </row>
    <row r="1288" spans="1:7" hidden="1" x14ac:dyDescent="0.2">
      <c r="A1288" t="s">
        <v>31</v>
      </c>
      <c r="B1288" t="s">
        <v>33</v>
      </c>
      <c r="C1288">
        <v>11</v>
      </c>
      <c r="D1288" t="s">
        <v>129</v>
      </c>
      <c r="E1288" t="s">
        <v>213</v>
      </c>
      <c r="F1288">
        <v>5.3</v>
      </c>
      <c r="G1288">
        <v>2024</v>
      </c>
    </row>
    <row r="1289" spans="1:7" hidden="1" x14ac:dyDescent="0.2">
      <c r="A1289" t="s">
        <v>31</v>
      </c>
      <c r="B1289" t="s">
        <v>33</v>
      </c>
      <c r="C1289">
        <v>11</v>
      </c>
      <c r="D1289" t="s">
        <v>131</v>
      </c>
      <c r="E1289" t="s">
        <v>195</v>
      </c>
      <c r="F1289">
        <v>10</v>
      </c>
      <c r="G1289">
        <v>2024</v>
      </c>
    </row>
    <row r="1290" spans="1:7" hidden="1" x14ac:dyDescent="0.2">
      <c r="A1290" t="s">
        <v>31</v>
      </c>
      <c r="B1290" t="s">
        <v>33</v>
      </c>
      <c r="C1290">
        <v>11</v>
      </c>
      <c r="D1290" t="s">
        <v>130</v>
      </c>
      <c r="E1290" t="s">
        <v>229</v>
      </c>
      <c r="F1290">
        <v>0</v>
      </c>
      <c r="G1290">
        <v>2024</v>
      </c>
    </row>
    <row r="1291" spans="1:7" hidden="1" x14ac:dyDescent="0.2">
      <c r="A1291" t="s">
        <v>31</v>
      </c>
      <c r="B1291" t="s">
        <v>33</v>
      </c>
      <c r="C1291">
        <v>11</v>
      </c>
      <c r="D1291" t="s">
        <v>293</v>
      </c>
      <c r="E1291" t="s">
        <v>198</v>
      </c>
      <c r="F1291">
        <v>6.5</v>
      </c>
      <c r="G1291">
        <v>2024</v>
      </c>
    </row>
    <row r="1292" spans="1:7" hidden="1" x14ac:dyDescent="0.2">
      <c r="A1292" t="s">
        <v>46</v>
      </c>
      <c r="B1292" t="s">
        <v>47</v>
      </c>
      <c r="C1292">
        <v>11</v>
      </c>
      <c r="D1292" t="s">
        <v>125</v>
      </c>
      <c r="E1292" t="s">
        <v>176</v>
      </c>
      <c r="F1292">
        <v>18.36</v>
      </c>
      <c r="G1292">
        <v>2024</v>
      </c>
    </row>
    <row r="1293" spans="1:7" hidden="1" x14ac:dyDescent="0.2">
      <c r="A1293" t="s">
        <v>46</v>
      </c>
      <c r="B1293" t="s">
        <v>47</v>
      </c>
      <c r="C1293">
        <v>11</v>
      </c>
      <c r="D1293" t="s">
        <v>128</v>
      </c>
      <c r="E1293" t="s">
        <v>177</v>
      </c>
      <c r="F1293">
        <v>14.6</v>
      </c>
      <c r="G1293">
        <v>2024</v>
      </c>
    </row>
    <row r="1294" spans="1:7" hidden="1" x14ac:dyDescent="0.2">
      <c r="A1294" t="s">
        <v>46</v>
      </c>
      <c r="B1294" t="s">
        <v>47</v>
      </c>
      <c r="C1294">
        <v>11</v>
      </c>
      <c r="D1294" t="s">
        <v>128</v>
      </c>
      <c r="E1294" t="s">
        <v>179</v>
      </c>
      <c r="F1294">
        <v>21.8</v>
      </c>
      <c r="G1294">
        <v>2024</v>
      </c>
    </row>
    <row r="1295" spans="1:7" hidden="1" x14ac:dyDescent="0.2">
      <c r="A1295" t="s">
        <v>46</v>
      </c>
      <c r="B1295" t="s">
        <v>47</v>
      </c>
      <c r="C1295">
        <v>11</v>
      </c>
      <c r="D1295" t="s">
        <v>128</v>
      </c>
      <c r="E1295" t="s">
        <v>178</v>
      </c>
      <c r="F1295">
        <v>4.7</v>
      </c>
      <c r="G1295">
        <v>2024</v>
      </c>
    </row>
    <row r="1296" spans="1:7" hidden="1" x14ac:dyDescent="0.2">
      <c r="A1296" t="s">
        <v>46</v>
      </c>
      <c r="B1296" t="s">
        <v>47</v>
      </c>
      <c r="C1296">
        <v>11</v>
      </c>
      <c r="D1296" t="s">
        <v>127</v>
      </c>
      <c r="E1296" t="s">
        <v>181</v>
      </c>
      <c r="F1296">
        <v>23</v>
      </c>
      <c r="G1296">
        <v>2024</v>
      </c>
    </row>
    <row r="1297" spans="1:7" hidden="1" x14ac:dyDescent="0.2">
      <c r="A1297" t="s">
        <v>46</v>
      </c>
      <c r="B1297" t="s">
        <v>47</v>
      </c>
      <c r="C1297">
        <v>11</v>
      </c>
      <c r="D1297" t="s">
        <v>127</v>
      </c>
      <c r="E1297" t="s">
        <v>180</v>
      </c>
      <c r="F1297">
        <v>21.4</v>
      </c>
      <c r="G1297">
        <v>2024</v>
      </c>
    </row>
    <row r="1298" spans="1:7" hidden="1" x14ac:dyDescent="0.2">
      <c r="A1298" t="s">
        <v>46</v>
      </c>
      <c r="B1298" t="s">
        <v>47</v>
      </c>
      <c r="C1298">
        <v>11</v>
      </c>
      <c r="D1298" t="s">
        <v>129</v>
      </c>
      <c r="E1298" t="s">
        <v>182</v>
      </c>
      <c r="F1298">
        <v>24.8</v>
      </c>
      <c r="G1298">
        <v>2024</v>
      </c>
    </row>
    <row r="1299" spans="1:7" hidden="1" x14ac:dyDescent="0.2">
      <c r="A1299" t="s">
        <v>46</v>
      </c>
      <c r="B1299" t="s">
        <v>47</v>
      </c>
      <c r="C1299">
        <v>11</v>
      </c>
      <c r="D1299" t="s">
        <v>131</v>
      </c>
      <c r="E1299" t="s">
        <v>374</v>
      </c>
      <c r="F1299">
        <v>12</v>
      </c>
      <c r="G1299">
        <v>2024</v>
      </c>
    </row>
    <row r="1300" spans="1:7" hidden="1" x14ac:dyDescent="0.2">
      <c r="A1300" t="s">
        <v>46</v>
      </c>
      <c r="B1300" t="s">
        <v>47</v>
      </c>
      <c r="C1300">
        <v>11</v>
      </c>
      <c r="D1300" t="s">
        <v>130</v>
      </c>
      <c r="E1300" t="s">
        <v>287</v>
      </c>
      <c r="F1300">
        <v>0</v>
      </c>
      <c r="G1300">
        <v>2024</v>
      </c>
    </row>
    <row r="1301" spans="1:7" hidden="1" x14ac:dyDescent="0.2">
      <c r="A1301" t="s">
        <v>46</v>
      </c>
      <c r="B1301" t="s">
        <v>47</v>
      </c>
      <c r="C1301">
        <v>11</v>
      </c>
      <c r="D1301" t="s">
        <v>293</v>
      </c>
      <c r="E1301" t="s">
        <v>318</v>
      </c>
      <c r="F1301">
        <v>4.4000000000000004</v>
      </c>
      <c r="G1301">
        <v>2024</v>
      </c>
    </row>
    <row r="1302" spans="1:7" hidden="1" x14ac:dyDescent="0.2">
      <c r="A1302" t="s">
        <v>77</v>
      </c>
      <c r="B1302" t="s">
        <v>45</v>
      </c>
      <c r="C1302">
        <v>11</v>
      </c>
      <c r="D1302" t="s">
        <v>125</v>
      </c>
      <c r="E1302" t="s">
        <v>386</v>
      </c>
      <c r="F1302">
        <v>24.38</v>
      </c>
      <c r="G1302">
        <v>2024</v>
      </c>
    </row>
    <row r="1303" spans="1:7" hidden="1" x14ac:dyDescent="0.2">
      <c r="A1303" t="s">
        <v>77</v>
      </c>
      <c r="B1303" t="s">
        <v>45</v>
      </c>
      <c r="C1303">
        <v>11</v>
      </c>
      <c r="D1303" t="s">
        <v>128</v>
      </c>
      <c r="E1303" t="s">
        <v>160</v>
      </c>
      <c r="F1303">
        <v>12.9</v>
      </c>
      <c r="G1303">
        <v>2024</v>
      </c>
    </row>
    <row r="1304" spans="1:7" hidden="1" x14ac:dyDescent="0.2">
      <c r="A1304" t="s">
        <v>77</v>
      </c>
      <c r="B1304" t="s">
        <v>45</v>
      </c>
      <c r="C1304">
        <v>11</v>
      </c>
      <c r="D1304" t="s">
        <v>128</v>
      </c>
      <c r="E1304" t="s">
        <v>305</v>
      </c>
      <c r="F1304">
        <v>13.6</v>
      </c>
      <c r="G1304">
        <v>2024</v>
      </c>
    </row>
    <row r="1305" spans="1:7" hidden="1" x14ac:dyDescent="0.2">
      <c r="A1305" t="s">
        <v>77</v>
      </c>
      <c r="B1305" t="s">
        <v>45</v>
      </c>
      <c r="C1305">
        <v>11</v>
      </c>
      <c r="D1305" t="s">
        <v>128</v>
      </c>
      <c r="E1305" t="s">
        <v>346</v>
      </c>
      <c r="F1305">
        <v>4.4000000000000004</v>
      </c>
      <c r="G1305">
        <v>2024</v>
      </c>
    </row>
    <row r="1306" spans="1:7" hidden="1" x14ac:dyDescent="0.2">
      <c r="A1306" t="s">
        <v>77</v>
      </c>
      <c r="B1306" t="s">
        <v>45</v>
      </c>
      <c r="C1306">
        <v>11</v>
      </c>
      <c r="D1306" t="s">
        <v>127</v>
      </c>
      <c r="E1306" t="s">
        <v>163</v>
      </c>
      <c r="F1306">
        <v>34.299999999999997</v>
      </c>
      <c r="G1306">
        <v>2024</v>
      </c>
    </row>
    <row r="1307" spans="1:7" hidden="1" x14ac:dyDescent="0.2">
      <c r="A1307" t="s">
        <v>77</v>
      </c>
      <c r="B1307" t="s">
        <v>45</v>
      </c>
      <c r="C1307">
        <v>11</v>
      </c>
      <c r="D1307" t="s">
        <v>127</v>
      </c>
      <c r="E1307" t="s">
        <v>252</v>
      </c>
      <c r="F1307">
        <v>11.3</v>
      </c>
      <c r="G1307">
        <v>2024</v>
      </c>
    </row>
    <row r="1308" spans="1:7" hidden="1" x14ac:dyDescent="0.2">
      <c r="A1308" t="s">
        <v>77</v>
      </c>
      <c r="B1308" t="s">
        <v>45</v>
      </c>
      <c r="C1308">
        <v>11</v>
      </c>
      <c r="D1308" t="s">
        <v>129</v>
      </c>
      <c r="E1308" t="s">
        <v>165</v>
      </c>
      <c r="F1308">
        <v>9.3000000000000007</v>
      </c>
      <c r="G1308">
        <v>2024</v>
      </c>
    </row>
    <row r="1309" spans="1:7" hidden="1" x14ac:dyDescent="0.2">
      <c r="A1309" t="s">
        <v>77</v>
      </c>
      <c r="B1309" t="s">
        <v>45</v>
      </c>
      <c r="C1309">
        <v>11</v>
      </c>
      <c r="D1309" t="s">
        <v>131</v>
      </c>
      <c r="E1309" t="s">
        <v>166</v>
      </c>
      <c r="F1309">
        <v>5</v>
      </c>
      <c r="G1309">
        <v>2024</v>
      </c>
    </row>
    <row r="1310" spans="1:7" hidden="1" x14ac:dyDescent="0.2">
      <c r="A1310" t="s">
        <v>77</v>
      </c>
      <c r="B1310" t="s">
        <v>45</v>
      </c>
      <c r="C1310">
        <v>11</v>
      </c>
      <c r="D1310" t="s">
        <v>130</v>
      </c>
      <c r="E1310" t="s">
        <v>352</v>
      </c>
      <c r="F1310">
        <v>8</v>
      </c>
      <c r="G1310">
        <v>2024</v>
      </c>
    </row>
    <row r="1311" spans="1:7" hidden="1" x14ac:dyDescent="0.2">
      <c r="A1311" t="s">
        <v>77</v>
      </c>
      <c r="B1311" t="s">
        <v>45</v>
      </c>
      <c r="C1311">
        <v>11</v>
      </c>
      <c r="D1311" t="s">
        <v>294</v>
      </c>
      <c r="E1311" t="s">
        <v>387</v>
      </c>
      <c r="F1311">
        <v>0.8</v>
      </c>
      <c r="G1311">
        <v>2024</v>
      </c>
    </row>
    <row r="1312" spans="1:7" hidden="1" x14ac:dyDescent="0.2">
      <c r="A1312" t="s">
        <v>26</v>
      </c>
      <c r="B1312" t="s">
        <v>28</v>
      </c>
      <c r="C1312">
        <v>11</v>
      </c>
      <c r="D1312" t="s">
        <v>125</v>
      </c>
      <c r="E1312" t="s">
        <v>212</v>
      </c>
      <c r="F1312">
        <v>23.98</v>
      </c>
      <c r="G1312">
        <v>2024</v>
      </c>
    </row>
    <row r="1313" spans="1:7" hidden="1" x14ac:dyDescent="0.2">
      <c r="A1313" t="s">
        <v>26</v>
      </c>
      <c r="B1313" t="s">
        <v>28</v>
      </c>
      <c r="C1313">
        <v>11</v>
      </c>
      <c r="D1313" t="s">
        <v>128</v>
      </c>
      <c r="E1313" t="s">
        <v>257</v>
      </c>
      <c r="F1313">
        <v>14.8</v>
      </c>
      <c r="G1313">
        <v>2024</v>
      </c>
    </row>
    <row r="1314" spans="1:7" hidden="1" x14ac:dyDescent="0.2">
      <c r="A1314" t="s">
        <v>26</v>
      </c>
      <c r="B1314" t="s">
        <v>28</v>
      </c>
      <c r="C1314">
        <v>11</v>
      </c>
      <c r="D1314" t="s">
        <v>128</v>
      </c>
      <c r="E1314" t="s">
        <v>219</v>
      </c>
      <c r="F1314">
        <v>10.5</v>
      </c>
      <c r="G1314">
        <v>2024</v>
      </c>
    </row>
    <row r="1315" spans="1:7" hidden="1" x14ac:dyDescent="0.2">
      <c r="A1315" t="s">
        <v>26</v>
      </c>
      <c r="B1315" t="s">
        <v>28</v>
      </c>
      <c r="C1315">
        <v>11</v>
      </c>
      <c r="D1315" t="s">
        <v>128</v>
      </c>
      <c r="E1315" t="s">
        <v>220</v>
      </c>
      <c r="F1315">
        <v>2.2000000000000002</v>
      </c>
      <c r="G1315">
        <v>2024</v>
      </c>
    </row>
    <row r="1316" spans="1:7" hidden="1" x14ac:dyDescent="0.2">
      <c r="A1316" t="s">
        <v>26</v>
      </c>
      <c r="B1316" t="s">
        <v>28</v>
      </c>
      <c r="C1316">
        <v>11</v>
      </c>
      <c r="D1316" t="s">
        <v>127</v>
      </c>
      <c r="E1316" t="s">
        <v>216</v>
      </c>
      <c r="F1316">
        <v>32.799999999999997</v>
      </c>
      <c r="G1316">
        <v>2024</v>
      </c>
    </row>
    <row r="1317" spans="1:7" hidden="1" x14ac:dyDescent="0.2">
      <c r="A1317" t="s">
        <v>26</v>
      </c>
      <c r="B1317" t="s">
        <v>28</v>
      </c>
      <c r="C1317">
        <v>11</v>
      </c>
      <c r="D1317" t="s">
        <v>127</v>
      </c>
      <c r="E1317" t="s">
        <v>256</v>
      </c>
      <c r="F1317">
        <v>8.6</v>
      </c>
      <c r="G1317">
        <v>2024</v>
      </c>
    </row>
    <row r="1318" spans="1:7" hidden="1" x14ac:dyDescent="0.2">
      <c r="A1318" t="s">
        <v>26</v>
      </c>
      <c r="B1318" t="s">
        <v>28</v>
      </c>
      <c r="C1318">
        <v>11</v>
      </c>
      <c r="D1318" t="s">
        <v>129</v>
      </c>
      <c r="E1318" t="s">
        <v>196</v>
      </c>
      <c r="F1318">
        <v>3.2</v>
      </c>
      <c r="G1318">
        <v>2024</v>
      </c>
    </row>
    <row r="1319" spans="1:7" hidden="1" x14ac:dyDescent="0.2">
      <c r="A1319" t="s">
        <v>26</v>
      </c>
      <c r="B1319" t="s">
        <v>28</v>
      </c>
      <c r="C1319">
        <v>11</v>
      </c>
      <c r="D1319" t="s">
        <v>131</v>
      </c>
      <c r="E1319" t="s">
        <v>349</v>
      </c>
      <c r="F1319">
        <v>2</v>
      </c>
      <c r="G1319">
        <v>2024</v>
      </c>
    </row>
    <row r="1320" spans="1:7" hidden="1" x14ac:dyDescent="0.2">
      <c r="A1320" t="s">
        <v>26</v>
      </c>
      <c r="B1320" t="s">
        <v>28</v>
      </c>
      <c r="C1320">
        <v>11</v>
      </c>
      <c r="D1320" t="s">
        <v>130</v>
      </c>
      <c r="E1320" t="s">
        <v>167</v>
      </c>
      <c r="F1320">
        <v>12</v>
      </c>
      <c r="G1320">
        <v>2024</v>
      </c>
    </row>
    <row r="1321" spans="1:7" hidden="1" x14ac:dyDescent="0.2">
      <c r="A1321" t="s">
        <v>26</v>
      </c>
      <c r="B1321" t="s">
        <v>28</v>
      </c>
      <c r="C1321">
        <v>11</v>
      </c>
      <c r="D1321" t="s">
        <v>294</v>
      </c>
      <c r="E1321" t="s">
        <v>388</v>
      </c>
      <c r="F1321">
        <v>0.9</v>
      </c>
      <c r="G1321">
        <v>2024</v>
      </c>
    </row>
    <row r="1322" spans="1:7" hidden="1" x14ac:dyDescent="0.2">
      <c r="A1322" t="s">
        <v>14</v>
      </c>
      <c r="B1322" t="s">
        <v>16</v>
      </c>
      <c r="C1322">
        <v>12</v>
      </c>
      <c r="D1322" t="s">
        <v>127</v>
      </c>
      <c r="E1322" t="s">
        <v>348</v>
      </c>
      <c r="F1322">
        <v>7</v>
      </c>
      <c r="G1322">
        <v>2024</v>
      </c>
    </row>
    <row r="1323" spans="1:7" hidden="1" x14ac:dyDescent="0.2">
      <c r="A1323" t="s">
        <v>14</v>
      </c>
      <c r="B1323" t="s">
        <v>16</v>
      </c>
      <c r="C1323">
        <v>12</v>
      </c>
      <c r="D1323" t="s">
        <v>125</v>
      </c>
      <c r="E1323" t="s">
        <v>241</v>
      </c>
      <c r="F1323">
        <v>18.66</v>
      </c>
      <c r="G1323">
        <v>2024</v>
      </c>
    </row>
    <row r="1324" spans="1:7" hidden="1" x14ac:dyDescent="0.2">
      <c r="A1324" t="s">
        <v>14</v>
      </c>
      <c r="B1324" t="s">
        <v>16</v>
      </c>
      <c r="C1324">
        <v>12</v>
      </c>
      <c r="D1324" t="s">
        <v>128</v>
      </c>
      <c r="E1324" t="s">
        <v>288</v>
      </c>
      <c r="F1324">
        <v>25.7</v>
      </c>
      <c r="G1324">
        <v>2024</v>
      </c>
    </row>
    <row r="1325" spans="1:7" hidden="1" x14ac:dyDescent="0.2">
      <c r="A1325" t="s">
        <v>14</v>
      </c>
      <c r="B1325" t="s">
        <v>16</v>
      </c>
      <c r="C1325">
        <v>12</v>
      </c>
      <c r="D1325" t="s">
        <v>294</v>
      </c>
      <c r="E1325" t="s">
        <v>132</v>
      </c>
      <c r="F1325">
        <v>4.0999999999999996</v>
      </c>
      <c r="G1325">
        <v>2024</v>
      </c>
    </row>
    <row r="1326" spans="1:7" hidden="1" x14ac:dyDescent="0.2">
      <c r="A1326" t="s">
        <v>14</v>
      </c>
      <c r="B1326" t="s">
        <v>16</v>
      </c>
      <c r="C1326">
        <v>12</v>
      </c>
      <c r="D1326" t="s">
        <v>128</v>
      </c>
      <c r="E1326" t="s">
        <v>133</v>
      </c>
      <c r="F1326">
        <v>7.3</v>
      </c>
      <c r="G1326">
        <v>2024</v>
      </c>
    </row>
    <row r="1327" spans="1:7" hidden="1" x14ac:dyDescent="0.2">
      <c r="A1327" t="s">
        <v>14</v>
      </c>
      <c r="B1327" t="s">
        <v>16</v>
      </c>
      <c r="C1327">
        <v>12</v>
      </c>
      <c r="D1327" t="s">
        <v>129</v>
      </c>
      <c r="E1327" t="s">
        <v>379</v>
      </c>
      <c r="F1327">
        <v>19.2</v>
      </c>
      <c r="G1327">
        <v>2024</v>
      </c>
    </row>
    <row r="1328" spans="1:7" hidden="1" x14ac:dyDescent="0.2">
      <c r="A1328" t="s">
        <v>14</v>
      </c>
      <c r="B1328" t="s">
        <v>16</v>
      </c>
      <c r="C1328">
        <v>12</v>
      </c>
      <c r="D1328" t="s">
        <v>131</v>
      </c>
      <c r="E1328" t="s">
        <v>183</v>
      </c>
      <c r="F1328">
        <v>13</v>
      </c>
      <c r="G1328">
        <v>2024</v>
      </c>
    </row>
    <row r="1329" spans="1:7" hidden="1" x14ac:dyDescent="0.2">
      <c r="A1329" t="s">
        <v>14</v>
      </c>
      <c r="B1329" t="s">
        <v>16</v>
      </c>
      <c r="C1329">
        <v>12</v>
      </c>
      <c r="D1329" t="s">
        <v>130</v>
      </c>
      <c r="E1329" t="s">
        <v>358</v>
      </c>
      <c r="F1329">
        <v>8</v>
      </c>
      <c r="G1329">
        <v>2024</v>
      </c>
    </row>
    <row r="1330" spans="1:7" hidden="1" x14ac:dyDescent="0.2">
      <c r="A1330" t="s">
        <v>14</v>
      </c>
      <c r="B1330" t="s">
        <v>16</v>
      </c>
      <c r="C1330">
        <v>12</v>
      </c>
      <c r="D1330" t="s">
        <v>128</v>
      </c>
      <c r="E1330" t="s">
        <v>134</v>
      </c>
      <c r="F1330">
        <v>8.6999999999999993</v>
      </c>
      <c r="G1330">
        <v>2024</v>
      </c>
    </row>
    <row r="1331" spans="1:7" hidden="1" x14ac:dyDescent="0.2">
      <c r="A1331" t="s">
        <v>14</v>
      </c>
      <c r="B1331" t="s">
        <v>16</v>
      </c>
      <c r="C1331">
        <v>12</v>
      </c>
      <c r="D1331" t="s">
        <v>127</v>
      </c>
      <c r="E1331" t="s">
        <v>372</v>
      </c>
      <c r="F1331">
        <v>6.3</v>
      </c>
      <c r="G1331">
        <v>2024</v>
      </c>
    </row>
    <row r="1332" spans="1:7" hidden="1" x14ac:dyDescent="0.2">
      <c r="A1332" t="s">
        <v>73</v>
      </c>
      <c r="B1332" t="s">
        <v>21</v>
      </c>
      <c r="C1332">
        <v>12</v>
      </c>
      <c r="D1332" t="s">
        <v>125</v>
      </c>
      <c r="E1332" t="s">
        <v>221</v>
      </c>
      <c r="F1332">
        <v>12.98</v>
      </c>
      <c r="G1332">
        <v>2024</v>
      </c>
    </row>
    <row r="1333" spans="1:7" hidden="1" x14ac:dyDescent="0.2">
      <c r="A1333" t="s">
        <v>73</v>
      </c>
      <c r="B1333" t="s">
        <v>21</v>
      </c>
      <c r="C1333">
        <v>12</v>
      </c>
      <c r="D1333" t="s">
        <v>128</v>
      </c>
      <c r="E1333" t="s">
        <v>145</v>
      </c>
      <c r="F1333">
        <v>19.899999999999999</v>
      </c>
      <c r="G1333">
        <v>2024</v>
      </c>
    </row>
    <row r="1334" spans="1:7" hidden="1" x14ac:dyDescent="0.2">
      <c r="A1334" t="s">
        <v>73</v>
      </c>
      <c r="B1334" t="s">
        <v>21</v>
      </c>
      <c r="C1334">
        <v>12</v>
      </c>
      <c r="D1334" t="s">
        <v>128</v>
      </c>
      <c r="E1334" t="s">
        <v>243</v>
      </c>
      <c r="F1334">
        <v>11.8</v>
      </c>
      <c r="G1334">
        <v>2024</v>
      </c>
    </row>
    <row r="1335" spans="1:7" hidden="1" x14ac:dyDescent="0.2">
      <c r="A1335" t="s">
        <v>73</v>
      </c>
      <c r="B1335" t="s">
        <v>21</v>
      </c>
      <c r="C1335">
        <v>12</v>
      </c>
      <c r="D1335" t="s">
        <v>128</v>
      </c>
      <c r="E1335" t="s">
        <v>146</v>
      </c>
      <c r="F1335">
        <v>2.6</v>
      </c>
      <c r="G1335">
        <v>2024</v>
      </c>
    </row>
    <row r="1336" spans="1:7" hidden="1" x14ac:dyDescent="0.2">
      <c r="A1336" t="s">
        <v>73</v>
      </c>
      <c r="B1336" t="s">
        <v>21</v>
      </c>
      <c r="C1336">
        <v>12</v>
      </c>
      <c r="D1336" t="s">
        <v>127</v>
      </c>
      <c r="E1336" t="s">
        <v>148</v>
      </c>
      <c r="F1336">
        <v>19.100000000000001</v>
      </c>
      <c r="G1336">
        <v>2024</v>
      </c>
    </row>
    <row r="1337" spans="1:7" hidden="1" x14ac:dyDescent="0.2">
      <c r="A1337" t="s">
        <v>73</v>
      </c>
      <c r="B1337" t="s">
        <v>21</v>
      </c>
      <c r="C1337">
        <v>12</v>
      </c>
      <c r="D1337" t="s">
        <v>127</v>
      </c>
      <c r="E1337" t="s">
        <v>149</v>
      </c>
      <c r="F1337">
        <v>7.4</v>
      </c>
      <c r="G1337">
        <v>2024</v>
      </c>
    </row>
    <row r="1338" spans="1:7" hidden="1" x14ac:dyDescent="0.2">
      <c r="A1338" t="s">
        <v>73</v>
      </c>
      <c r="B1338" t="s">
        <v>21</v>
      </c>
      <c r="C1338">
        <v>12</v>
      </c>
      <c r="D1338" t="s">
        <v>129</v>
      </c>
      <c r="E1338" t="s">
        <v>327</v>
      </c>
      <c r="F1338">
        <v>9.6</v>
      </c>
      <c r="G1338">
        <v>2024</v>
      </c>
    </row>
    <row r="1339" spans="1:7" hidden="1" x14ac:dyDescent="0.2">
      <c r="A1339" t="s">
        <v>73</v>
      </c>
      <c r="B1339" t="s">
        <v>21</v>
      </c>
      <c r="C1339">
        <v>12</v>
      </c>
      <c r="D1339" t="s">
        <v>131</v>
      </c>
      <c r="E1339" t="s">
        <v>242</v>
      </c>
      <c r="F1339">
        <v>8</v>
      </c>
      <c r="G1339">
        <v>2024</v>
      </c>
    </row>
    <row r="1340" spans="1:7" hidden="1" x14ac:dyDescent="0.2">
      <c r="A1340" t="s">
        <v>73</v>
      </c>
      <c r="B1340" t="s">
        <v>21</v>
      </c>
      <c r="C1340">
        <v>12</v>
      </c>
      <c r="D1340" t="s">
        <v>130</v>
      </c>
      <c r="E1340" t="s">
        <v>281</v>
      </c>
      <c r="F1340">
        <v>0</v>
      </c>
      <c r="G1340">
        <v>2024</v>
      </c>
    </row>
    <row r="1341" spans="1:7" hidden="1" x14ac:dyDescent="0.2">
      <c r="A1341" t="s">
        <v>73</v>
      </c>
      <c r="B1341" t="s">
        <v>21</v>
      </c>
      <c r="C1341">
        <v>12</v>
      </c>
      <c r="D1341" t="s">
        <v>294</v>
      </c>
      <c r="E1341" t="s">
        <v>301</v>
      </c>
      <c r="F1341">
        <v>0</v>
      </c>
      <c r="G1341">
        <v>2024</v>
      </c>
    </row>
    <row r="1342" spans="1:7" hidden="1" x14ac:dyDescent="0.2">
      <c r="A1342" t="s">
        <v>42</v>
      </c>
      <c r="B1342" t="s">
        <v>17</v>
      </c>
      <c r="C1342">
        <v>12</v>
      </c>
      <c r="D1342" t="s">
        <v>125</v>
      </c>
      <c r="E1342" t="s">
        <v>150</v>
      </c>
      <c r="F1342">
        <v>28.76</v>
      </c>
      <c r="G1342">
        <v>2024</v>
      </c>
    </row>
    <row r="1343" spans="1:7" hidden="1" x14ac:dyDescent="0.2">
      <c r="A1343" t="s">
        <v>42</v>
      </c>
      <c r="B1343" t="s">
        <v>17</v>
      </c>
      <c r="C1343">
        <v>12</v>
      </c>
      <c r="D1343" t="s">
        <v>128</v>
      </c>
      <c r="E1343" t="s">
        <v>389</v>
      </c>
      <c r="F1343">
        <v>11</v>
      </c>
      <c r="G1343">
        <v>2024</v>
      </c>
    </row>
    <row r="1344" spans="1:7" hidden="1" x14ac:dyDescent="0.2">
      <c r="A1344" t="s">
        <v>42</v>
      </c>
      <c r="B1344" t="s">
        <v>17</v>
      </c>
      <c r="C1344">
        <v>12</v>
      </c>
      <c r="D1344" t="s">
        <v>128</v>
      </c>
      <c r="E1344" t="s">
        <v>152</v>
      </c>
      <c r="F1344">
        <v>9.3000000000000007</v>
      </c>
      <c r="G1344">
        <v>2024</v>
      </c>
    </row>
    <row r="1345" spans="1:7" hidden="1" x14ac:dyDescent="0.2">
      <c r="A1345" t="s">
        <v>42</v>
      </c>
      <c r="B1345" t="s">
        <v>17</v>
      </c>
      <c r="C1345">
        <v>12</v>
      </c>
      <c r="D1345" t="s">
        <v>128</v>
      </c>
      <c r="E1345" t="s">
        <v>274</v>
      </c>
      <c r="F1345">
        <v>8.6999999999999993</v>
      </c>
      <c r="G1345">
        <v>2024</v>
      </c>
    </row>
    <row r="1346" spans="1:7" hidden="1" x14ac:dyDescent="0.2">
      <c r="A1346" t="s">
        <v>42</v>
      </c>
      <c r="B1346" t="s">
        <v>17</v>
      </c>
      <c r="C1346">
        <v>12</v>
      </c>
      <c r="D1346" t="s">
        <v>127</v>
      </c>
      <c r="E1346" t="s">
        <v>361</v>
      </c>
      <c r="F1346">
        <v>18.5</v>
      </c>
      <c r="G1346">
        <v>2024</v>
      </c>
    </row>
    <row r="1347" spans="1:7" hidden="1" x14ac:dyDescent="0.2">
      <c r="A1347" t="s">
        <v>42</v>
      </c>
      <c r="B1347" t="s">
        <v>17</v>
      </c>
      <c r="C1347">
        <v>12</v>
      </c>
      <c r="D1347" t="s">
        <v>127</v>
      </c>
      <c r="E1347" t="s">
        <v>154</v>
      </c>
      <c r="F1347">
        <v>14</v>
      </c>
      <c r="G1347">
        <v>2024</v>
      </c>
    </row>
    <row r="1348" spans="1:7" hidden="1" x14ac:dyDescent="0.2">
      <c r="A1348" t="s">
        <v>42</v>
      </c>
      <c r="B1348" t="s">
        <v>17</v>
      </c>
      <c r="C1348">
        <v>12</v>
      </c>
      <c r="D1348" t="s">
        <v>129</v>
      </c>
      <c r="E1348" t="s">
        <v>156</v>
      </c>
      <c r="F1348">
        <v>3.4</v>
      </c>
      <c r="G1348">
        <v>2024</v>
      </c>
    </row>
    <row r="1349" spans="1:7" hidden="1" x14ac:dyDescent="0.2">
      <c r="A1349" t="s">
        <v>42</v>
      </c>
      <c r="B1349" t="s">
        <v>17</v>
      </c>
      <c r="C1349">
        <v>12</v>
      </c>
      <c r="D1349" t="s">
        <v>131</v>
      </c>
      <c r="E1349" t="s">
        <v>339</v>
      </c>
      <c r="F1349">
        <v>5</v>
      </c>
      <c r="G1349">
        <v>2024</v>
      </c>
    </row>
    <row r="1350" spans="1:7" hidden="1" x14ac:dyDescent="0.2">
      <c r="A1350" t="s">
        <v>42</v>
      </c>
      <c r="B1350" t="s">
        <v>17</v>
      </c>
      <c r="C1350">
        <v>12</v>
      </c>
      <c r="D1350" t="s">
        <v>130</v>
      </c>
      <c r="E1350" t="s">
        <v>273</v>
      </c>
      <c r="F1350">
        <v>11</v>
      </c>
      <c r="G1350">
        <v>2024</v>
      </c>
    </row>
    <row r="1351" spans="1:7" hidden="1" x14ac:dyDescent="0.2">
      <c r="A1351" t="s">
        <v>42</v>
      </c>
      <c r="B1351" t="s">
        <v>17</v>
      </c>
      <c r="C1351">
        <v>12</v>
      </c>
      <c r="D1351" t="s">
        <v>293</v>
      </c>
      <c r="E1351" t="s">
        <v>313</v>
      </c>
      <c r="F1351">
        <v>10.199999999999999</v>
      </c>
      <c r="G1351">
        <v>2024</v>
      </c>
    </row>
    <row r="1352" spans="1:7" hidden="1" x14ac:dyDescent="0.2">
      <c r="A1352" t="s">
        <v>77</v>
      </c>
      <c r="B1352" t="s">
        <v>45</v>
      </c>
      <c r="C1352">
        <v>12</v>
      </c>
      <c r="D1352" t="s">
        <v>125</v>
      </c>
      <c r="E1352" t="s">
        <v>159</v>
      </c>
      <c r="F1352">
        <v>15.68</v>
      </c>
      <c r="G1352">
        <v>2024</v>
      </c>
    </row>
    <row r="1353" spans="1:7" hidden="1" x14ac:dyDescent="0.2">
      <c r="A1353" t="s">
        <v>77</v>
      </c>
      <c r="B1353" t="s">
        <v>45</v>
      </c>
      <c r="C1353">
        <v>12</v>
      </c>
      <c r="D1353" t="s">
        <v>128</v>
      </c>
      <c r="E1353" t="s">
        <v>346</v>
      </c>
      <c r="F1353">
        <v>12</v>
      </c>
      <c r="G1353">
        <v>2024</v>
      </c>
    </row>
    <row r="1354" spans="1:7" hidden="1" x14ac:dyDescent="0.2">
      <c r="A1354" t="s">
        <v>77</v>
      </c>
      <c r="B1354" t="s">
        <v>45</v>
      </c>
      <c r="C1354">
        <v>12</v>
      </c>
      <c r="D1354" t="s">
        <v>128</v>
      </c>
      <c r="E1354" t="s">
        <v>160</v>
      </c>
      <c r="F1354">
        <v>6.8</v>
      </c>
      <c r="G1354">
        <v>2024</v>
      </c>
    </row>
    <row r="1355" spans="1:7" hidden="1" x14ac:dyDescent="0.2">
      <c r="A1355" t="s">
        <v>77</v>
      </c>
      <c r="B1355" t="s">
        <v>45</v>
      </c>
      <c r="C1355">
        <v>12</v>
      </c>
      <c r="D1355" t="s">
        <v>128</v>
      </c>
      <c r="E1355" t="s">
        <v>162</v>
      </c>
      <c r="F1355">
        <v>6.2</v>
      </c>
      <c r="G1355">
        <v>2024</v>
      </c>
    </row>
    <row r="1356" spans="1:7" hidden="1" x14ac:dyDescent="0.2">
      <c r="A1356" t="s">
        <v>77</v>
      </c>
      <c r="B1356" t="s">
        <v>45</v>
      </c>
      <c r="C1356">
        <v>12</v>
      </c>
      <c r="D1356" t="s">
        <v>127</v>
      </c>
      <c r="E1356" t="s">
        <v>306</v>
      </c>
      <c r="F1356">
        <v>14.5</v>
      </c>
      <c r="G1356">
        <v>2024</v>
      </c>
    </row>
    <row r="1357" spans="1:7" hidden="1" x14ac:dyDescent="0.2">
      <c r="A1357" t="s">
        <v>77</v>
      </c>
      <c r="B1357" t="s">
        <v>45</v>
      </c>
      <c r="C1357">
        <v>12</v>
      </c>
      <c r="D1357" t="s">
        <v>127</v>
      </c>
      <c r="E1357" t="s">
        <v>163</v>
      </c>
      <c r="F1357">
        <v>7</v>
      </c>
      <c r="G1357">
        <v>2024</v>
      </c>
    </row>
    <row r="1358" spans="1:7" hidden="1" x14ac:dyDescent="0.2">
      <c r="A1358" t="s">
        <v>77</v>
      </c>
      <c r="B1358" t="s">
        <v>45</v>
      </c>
      <c r="C1358">
        <v>12</v>
      </c>
      <c r="D1358" t="s">
        <v>129</v>
      </c>
      <c r="E1358" t="s">
        <v>165</v>
      </c>
      <c r="F1358">
        <v>6.9</v>
      </c>
      <c r="G1358">
        <v>2024</v>
      </c>
    </row>
    <row r="1359" spans="1:7" hidden="1" x14ac:dyDescent="0.2">
      <c r="A1359" t="s">
        <v>77</v>
      </c>
      <c r="B1359" t="s">
        <v>45</v>
      </c>
      <c r="C1359">
        <v>12</v>
      </c>
      <c r="D1359" t="s">
        <v>131</v>
      </c>
      <c r="E1359" t="s">
        <v>166</v>
      </c>
      <c r="F1359">
        <v>7</v>
      </c>
      <c r="G1359">
        <v>2024</v>
      </c>
    </row>
    <row r="1360" spans="1:7" hidden="1" x14ac:dyDescent="0.2">
      <c r="A1360" t="s">
        <v>77</v>
      </c>
      <c r="B1360" t="s">
        <v>45</v>
      </c>
      <c r="C1360">
        <v>12</v>
      </c>
      <c r="D1360" t="s">
        <v>130</v>
      </c>
      <c r="E1360" t="s">
        <v>354</v>
      </c>
      <c r="F1360">
        <v>9</v>
      </c>
      <c r="G1360">
        <v>2024</v>
      </c>
    </row>
    <row r="1361" spans="1:7" hidden="1" x14ac:dyDescent="0.2">
      <c r="A1361" t="s">
        <v>77</v>
      </c>
      <c r="B1361" t="s">
        <v>45</v>
      </c>
      <c r="C1361">
        <v>12</v>
      </c>
      <c r="D1361" t="s">
        <v>293</v>
      </c>
      <c r="E1361" t="s">
        <v>252</v>
      </c>
      <c r="F1361">
        <v>6.4</v>
      </c>
      <c r="G1361">
        <v>2024</v>
      </c>
    </row>
    <row r="1362" spans="1:7" hidden="1" x14ac:dyDescent="0.2">
      <c r="A1362" t="s">
        <v>74</v>
      </c>
      <c r="B1362" t="s">
        <v>29</v>
      </c>
      <c r="C1362">
        <v>12</v>
      </c>
      <c r="D1362" t="s">
        <v>125</v>
      </c>
      <c r="E1362" t="s">
        <v>168</v>
      </c>
      <c r="F1362">
        <v>15.06</v>
      </c>
      <c r="G1362">
        <v>2024</v>
      </c>
    </row>
    <row r="1363" spans="1:7" hidden="1" x14ac:dyDescent="0.2">
      <c r="A1363" t="s">
        <v>74</v>
      </c>
      <c r="B1363" t="s">
        <v>29</v>
      </c>
      <c r="C1363">
        <v>12</v>
      </c>
      <c r="D1363" t="s">
        <v>128</v>
      </c>
      <c r="E1363" t="s">
        <v>172</v>
      </c>
      <c r="F1363">
        <v>23.4</v>
      </c>
      <c r="G1363">
        <v>2024</v>
      </c>
    </row>
    <row r="1364" spans="1:7" hidden="1" x14ac:dyDescent="0.2">
      <c r="A1364" t="s">
        <v>74</v>
      </c>
      <c r="B1364" t="s">
        <v>29</v>
      </c>
      <c r="C1364">
        <v>12</v>
      </c>
      <c r="D1364" t="s">
        <v>128</v>
      </c>
      <c r="E1364" t="s">
        <v>280</v>
      </c>
      <c r="F1364">
        <v>6.4</v>
      </c>
      <c r="G1364">
        <v>2024</v>
      </c>
    </row>
    <row r="1365" spans="1:7" hidden="1" x14ac:dyDescent="0.2">
      <c r="A1365" t="s">
        <v>74</v>
      </c>
      <c r="B1365" t="s">
        <v>29</v>
      </c>
      <c r="C1365">
        <v>12</v>
      </c>
      <c r="D1365" t="s">
        <v>128</v>
      </c>
      <c r="E1365" t="s">
        <v>310</v>
      </c>
      <c r="F1365">
        <v>7.6</v>
      </c>
      <c r="G1365">
        <v>2024</v>
      </c>
    </row>
    <row r="1366" spans="1:7" hidden="1" x14ac:dyDescent="0.2">
      <c r="A1366" t="s">
        <v>74</v>
      </c>
      <c r="B1366" t="s">
        <v>29</v>
      </c>
      <c r="C1366">
        <v>12</v>
      </c>
      <c r="D1366" t="s">
        <v>127</v>
      </c>
      <c r="E1366" t="s">
        <v>296</v>
      </c>
      <c r="F1366">
        <v>7.1</v>
      </c>
      <c r="G1366">
        <v>2024</v>
      </c>
    </row>
    <row r="1367" spans="1:7" hidden="1" x14ac:dyDescent="0.2">
      <c r="A1367" t="s">
        <v>74</v>
      </c>
      <c r="B1367" t="s">
        <v>29</v>
      </c>
      <c r="C1367">
        <v>12</v>
      </c>
      <c r="D1367" t="s">
        <v>127</v>
      </c>
      <c r="E1367" t="s">
        <v>155</v>
      </c>
      <c r="F1367">
        <v>0</v>
      </c>
      <c r="G1367">
        <v>2024</v>
      </c>
    </row>
    <row r="1368" spans="1:7" hidden="1" x14ac:dyDescent="0.2">
      <c r="A1368" t="s">
        <v>74</v>
      </c>
      <c r="B1368" t="s">
        <v>29</v>
      </c>
      <c r="C1368">
        <v>12</v>
      </c>
      <c r="D1368" t="s">
        <v>129</v>
      </c>
      <c r="E1368" t="s">
        <v>170</v>
      </c>
      <c r="F1368">
        <v>3.4</v>
      </c>
      <c r="G1368">
        <v>2024</v>
      </c>
    </row>
    <row r="1369" spans="1:7" hidden="1" x14ac:dyDescent="0.2">
      <c r="A1369" t="s">
        <v>74</v>
      </c>
      <c r="B1369" t="s">
        <v>29</v>
      </c>
      <c r="C1369">
        <v>12</v>
      </c>
      <c r="D1369" t="s">
        <v>131</v>
      </c>
      <c r="E1369" t="s">
        <v>139</v>
      </c>
      <c r="F1369">
        <v>0</v>
      </c>
      <c r="G1369">
        <v>2024</v>
      </c>
    </row>
    <row r="1370" spans="1:7" hidden="1" x14ac:dyDescent="0.2">
      <c r="A1370" t="s">
        <v>74</v>
      </c>
      <c r="B1370" t="s">
        <v>29</v>
      </c>
      <c r="C1370">
        <v>12</v>
      </c>
      <c r="D1370" t="s">
        <v>130</v>
      </c>
      <c r="E1370" t="s">
        <v>408</v>
      </c>
      <c r="F1370">
        <v>0</v>
      </c>
      <c r="G1370">
        <v>2024</v>
      </c>
    </row>
    <row r="1371" spans="1:7" hidden="1" x14ac:dyDescent="0.2">
      <c r="A1371" t="s">
        <v>74</v>
      </c>
      <c r="B1371" t="s">
        <v>29</v>
      </c>
      <c r="C1371">
        <v>12</v>
      </c>
      <c r="D1371" t="s">
        <v>294</v>
      </c>
      <c r="E1371" t="s">
        <v>171</v>
      </c>
      <c r="F1371">
        <v>3.7</v>
      </c>
      <c r="G1371">
        <v>2024</v>
      </c>
    </row>
    <row r="1372" spans="1:7" hidden="1" x14ac:dyDescent="0.2">
      <c r="A1372" t="s">
        <v>46</v>
      </c>
      <c r="B1372" t="s">
        <v>47</v>
      </c>
      <c r="C1372">
        <v>12</v>
      </c>
      <c r="D1372" t="s">
        <v>125</v>
      </c>
      <c r="E1372" t="s">
        <v>368</v>
      </c>
      <c r="F1372">
        <v>19.420000000000002</v>
      </c>
      <c r="G1372">
        <v>2024</v>
      </c>
    </row>
    <row r="1373" spans="1:7" hidden="1" x14ac:dyDescent="0.2">
      <c r="A1373" t="s">
        <v>46</v>
      </c>
      <c r="B1373" t="s">
        <v>47</v>
      </c>
      <c r="C1373">
        <v>12</v>
      </c>
      <c r="D1373" t="s">
        <v>128</v>
      </c>
      <c r="E1373" t="s">
        <v>177</v>
      </c>
      <c r="F1373">
        <v>11.8</v>
      </c>
      <c r="G1373">
        <v>2024</v>
      </c>
    </row>
    <row r="1374" spans="1:7" hidden="1" x14ac:dyDescent="0.2">
      <c r="A1374" t="s">
        <v>46</v>
      </c>
      <c r="B1374" t="s">
        <v>47</v>
      </c>
      <c r="C1374">
        <v>12</v>
      </c>
      <c r="D1374" t="s">
        <v>128</v>
      </c>
      <c r="E1374" t="s">
        <v>179</v>
      </c>
      <c r="F1374">
        <v>16.2</v>
      </c>
      <c r="G1374">
        <v>2024</v>
      </c>
    </row>
    <row r="1375" spans="1:7" hidden="1" x14ac:dyDescent="0.2">
      <c r="A1375" t="s">
        <v>46</v>
      </c>
      <c r="B1375" t="s">
        <v>47</v>
      </c>
      <c r="C1375">
        <v>12</v>
      </c>
      <c r="D1375" t="s">
        <v>128</v>
      </c>
      <c r="E1375" t="s">
        <v>178</v>
      </c>
      <c r="F1375">
        <v>24.4</v>
      </c>
      <c r="G1375">
        <v>2024</v>
      </c>
    </row>
    <row r="1376" spans="1:7" hidden="1" x14ac:dyDescent="0.2">
      <c r="A1376" t="s">
        <v>46</v>
      </c>
      <c r="B1376" t="s">
        <v>47</v>
      </c>
      <c r="C1376">
        <v>12</v>
      </c>
      <c r="D1376" t="s">
        <v>127</v>
      </c>
      <c r="E1376" t="s">
        <v>180</v>
      </c>
      <c r="F1376">
        <v>28.6</v>
      </c>
      <c r="G1376">
        <v>2024</v>
      </c>
    </row>
    <row r="1377" spans="1:7" hidden="1" x14ac:dyDescent="0.2">
      <c r="A1377" t="s">
        <v>46</v>
      </c>
      <c r="B1377" t="s">
        <v>47</v>
      </c>
      <c r="C1377">
        <v>12</v>
      </c>
      <c r="D1377" t="s">
        <v>127</v>
      </c>
      <c r="E1377" t="s">
        <v>181</v>
      </c>
      <c r="F1377">
        <v>14.8</v>
      </c>
      <c r="G1377">
        <v>2024</v>
      </c>
    </row>
    <row r="1378" spans="1:7" hidden="1" x14ac:dyDescent="0.2">
      <c r="A1378" t="s">
        <v>46</v>
      </c>
      <c r="B1378" t="s">
        <v>47</v>
      </c>
      <c r="C1378">
        <v>12</v>
      </c>
      <c r="D1378" t="s">
        <v>129</v>
      </c>
      <c r="E1378" t="s">
        <v>182</v>
      </c>
      <c r="F1378">
        <v>5.8</v>
      </c>
      <c r="G1378">
        <v>2024</v>
      </c>
    </row>
    <row r="1379" spans="1:7" hidden="1" x14ac:dyDescent="0.2">
      <c r="A1379" t="s">
        <v>46</v>
      </c>
      <c r="B1379" t="s">
        <v>47</v>
      </c>
      <c r="C1379">
        <v>12</v>
      </c>
      <c r="D1379" t="s">
        <v>131</v>
      </c>
      <c r="E1379" t="s">
        <v>319</v>
      </c>
      <c r="F1379">
        <v>7</v>
      </c>
      <c r="G1379">
        <v>2024</v>
      </c>
    </row>
    <row r="1380" spans="1:7" hidden="1" x14ac:dyDescent="0.2">
      <c r="A1380" t="s">
        <v>46</v>
      </c>
      <c r="B1380" t="s">
        <v>47</v>
      </c>
      <c r="C1380">
        <v>12</v>
      </c>
      <c r="D1380" t="s">
        <v>130</v>
      </c>
      <c r="E1380" t="s">
        <v>287</v>
      </c>
      <c r="F1380">
        <v>1</v>
      </c>
      <c r="G1380">
        <v>2024</v>
      </c>
    </row>
    <row r="1381" spans="1:7" hidden="1" x14ac:dyDescent="0.2">
      <c r="A1381" t="s">
        <v>46</v>
      </c>
      <c r="B1381" t="s">
        <v>47</v>
      </c>
      <c r="C1381">
        <v>12</v>
      </c>
      <c r="D1381" t="s">
        <v>293</v>
      </c>
      <c r="E1381" t="s">
        <v>318</v>
      </c>
      <c r="F1381">
        <v>9.3000000000000007</v>
      </c>
      <c r="G1381">
        <v>2024</v>
      </c>
    </row>
    <row r="1382" spans="1:7" hidden="1" x14ac:dyDescent="0.2">
      <c r="A1382" t="s">
        <v>75</v>
      </c>
      <c r="B1382" t="s">
        <v>36</v>
      </c>
      <c r="C1382">
        <v>12</v>
      </c>
      <c r="D1382" t="s">
        <v>125</v>
      </c>
      <c r="E1382" t="s">
        <v>247</v>
      </c>
      <c r="F1382">
        <v>12.36</v>
      </c>
      <c r="G1382">
        <v>2024</v>
      </c>
    </row>
    <row r="1383" spans="1:7" hidden="1" x14ac:dyDescent="0.2">
      <c r="A1383" t="s">
        <v>75</v>
      </c>
      <c r="B1383" t="s">
        <v>36</v>
      </c>
      <c r="C1383">
        <v>12</v>
      </c>
      <c r="D1383" t="s">
        <v>128</v>
      </c>
      <c r="E1383" t="s">
        <v>248</v>
      </c>
      <c r="F1383">
        <v>16.7</v>
      </c>
      <c r="G1383">
        <v>2024</v>
      </c>
    </row>
    <row r="1384" spans="1:7" hidden="1" x14ac:dyDescent="0.2">
      <c r="A1384" t="s">
        <v>75</v>
      </c>
      <c r="B1384" t="s">
        <v>36</v>
      </c>
      <c r="C1384">
        <v>12</v>
      </c>
      <c r="D1384" t="s">
        <v>128</v>
      </c>
      <c r="E1384" t="s">
        <v>187</v>
      </c>
      <c r="F1384">
        <v>9.1999999999999993</v>
      </c>
      <c r="G1384">
        <v>2024</v>
      </c>
    </row>
    <row r="1385" spans="1:7" hidden="1" x14ac:dyDescent="0.2">
      <c r="A1385" t="s">
        <v>75</v>
      </c>
      <c r="B1385" t="s">
        <v>36</v>
      </c>
      <c r="C1385">
        <v>12</v>
      </c>
      <c r="D1385" t="s">
        <v>128</v>
      </c>
      <c r="E1385" t="s">
        <v>186</v>
      </c>
      <c r="F1385">
        <v>11.3</v>
      </c>
      <c r="G1385">
        <v>2024</v>
      </c>
    </row>
    <row r="1386" spans="1:7" hidden="1" x14ac:dyDescent="0.2">
      <c r="A1386" t="s">
        <v>75</v>
      </c>
      <c r="B1386" t="s">
        <v>36</v>
      </c>
      <c r="C1386">
        <v>12</v>
      </c>
      <c r="D1386" t="s">
        <v>127</v>
      </c>
      <c r="E1386" t="s">
        <v>343</v>
      </c>
      <c r="F1386">
        <v>20.399999999999999</v>
      </c>
      <c r="G1386">
        <v>2024</v>
      </c>
    </row>
    <row r="1387" spans="1:7" hidden="1" x14ac:dyDescent="0.2">
      <c r="A1387" t="s">
        <v>75</v>
      </c>
      <c r="B1387" t="s">
        <v>36</v>
      </c>
      <c r="C1387">
        <v>12</v>
      </c>
      <c r="D1387" t="s">
        <v>127</v>
      </c>
      <c r="E1387" t="s">
        <v>322</v>
      </c>
      <c r="F1387">
        <v>3.4</v>
      </c>
      <c r="G1387">
        <v>2024</v>
      </c>
    </row>
    <row r="1388" spans="1:7" hidden="1" x14ac:dyDescent="0.2">
      <c r="A1388" t="s">
        <v>75</v>
      </c>
      <c r="B1388" t="s">
        <v>36</v>
      </c>
      <c r="C1388">
        <v>12</v>
      </c>
      <c r="D1388" t="s">
        <v>129</v>
      </c>
      <c r="E1388" t="s">
        <v>249</v>
      </c>
      <c r="F1388">
        <v>9.1999999999999993</v>
      </c>
      <c r="G1388">
        <v>2024</v>
      </c>
    </row>
    <row r="1389" spans="1:7" hidden="1" x14ac:dyDescent="0.2">
      <c r="A1389" t="s">
        <v>75</v>
      </c>
      <c r="B1389" t="s">
        <v>36</v>
      </c>
      <c r="C1389">
        <v>12</v>
      </c>
      <c r="D1389" t="s">
        <v>131</v>
      </c>
      <c r="E1389" t="s">
        <v>169</v>
      </c>
      <c r="F1389">
        <v>5</v>
      </c>
      <c r="G1389">
        <v>2024</v>
      </c>
    </row>
    <row r="1390" spans="1:7" hidden="1" x14ac:dyDescent="0.2">
      <c r="A1390" t="s">
        <v>75</v>
      </c>
      <c r="B1390" t="s">
        <v>36</v>
      </c>
      <c r="C1390">
        <v>12</v>
      </c>
      <c r="D1390" t="s">
        <v>130</v>
      </c>
      <c r="E1390" t="s">
        <v>193</v>
      </c>
      <c r="F1390">
        <v>18</v>
      </c>
      <c r="G1390">
        <v>2024</v>
      </c>
    </row>
    <row r="1391" spans="1:7" hidden="1" x14ac:dyDescent="0.2">
      <c r="A1391" t="s">
        <v>75</v>
      </c>
      <c r="B1391" t="s">
        <v>36</v>
      </c>
      <c r="C1391">
        <v>12</v>
      </c>
      <c r="D1391" t="s">
        <v>294</v>
      </c>
      <c r="E1391" t="s">
        <v>336</v>
      </c>
      <c r="F1391">
        <v>4.2</v>
      </c>
      <c r="G1391">
        <v>2024</v>
      </c>
    </row>
    <row r="1392" spans="1:7" hidden="1" x14ac:dyDescent="0.2">
      <c r="A1392" t="s">
        <v>31</v>
      </c>
      <c r="B1392" t="s">
        <v>33</v>
      </c>
      <c r="C1392">
        <v>12</v>
      </c>
      <c r="D1392" t="s">
        <v>125</v>
      </c>
      <c r="E1392" t="s">
        <v>202</v>
      </c>
      <c r="F1392">
        <v>22.58</v>
      </c>
      <c r="G1392">
        <v>2024</v>
      </c>
    </row>
    <row r="1393" spans="1:7" hidden="1" x14ac:dyDescent="0.2">
      <c r="A1393" t="s">
        <v>31</v>
      </c>
      <c r="B1393" t="s">
        <v>33</v>
      </c>
      <c r="C1393">
        <v>12</v>
      </c>
      <c r="D1393" t="s">
        <v>128</v>
      </c>
      <c r="E1393" t="s">
        <v>292</v>
      </c>
      <c r="F1393">
        <v>6.5</v>
      </c>
      <c r="G1393">
        <v>2024</v>
      </c>
    </row>
    <row r="1394" spans="1:7" hidden="1" x14ac:dyDescent="0.2">
      <c r="A1394" t="s">
        <v>31</v>
      </c>
      <c r="B1394" t="s">
        <v>33</v>
      </c>
      <c r="C1394">
        <v>12</v>
      </c>
      <c r="D1394" t="s">
        <v>128</v>
      </c>
      <c r="E1394" t="s">
        <v>390</v>
      </c>
      <c r="F1394">
        <v>1.1000000000000001</v>
      </c>
      <c r="G1394">
        <v>2024</v>
      </c>
    </row>
    <row r="1395" spans="1:7" hidden="1" x14ac:dyDescent="0.2">
      <c r="A1395" t="s">
        <v>31</v>
      </c>
      <c r="B1395" t="s">
        <v>33</v>
      </c>
      <c r="C1395">
        <v>12</v>
      </c>
      <c r="D1395" t="s">
        <v>128</v>
      </c>
      <c r="E1395" t="s">
        <v>391</v>
      </c>
      <c r="F1395">
        <v>3.6</v>
      </c>
      <c r="G1395">
        <v>2024</v>
      </c>
    </row>
    <row r="1396" spans="1:7" hidden="1" x14ac:dyDescent="0.2">
      <c r="A1396" t="s">
        <v>31</v>
      </c>
      <c r="B1396" t="s">
        <v>33</v>
      </c>
      <c r="C1396">
        <v>12</v>
      </c>
      <c r="D1396" t="s">
        <v>127</v>
      </c>
      <c r="E1396" t="s">
        <v>291</v>
      </c>
      <c r="F1396">
        <v>2.9</v>
      </c>
      <c r="G1396">
        <v>2024</v>
      </c>
    </row>
    <row r="1397" spans="1:7" hidden="1" x14ac:dyDescent="0.2">
      <c r="A1397" t="s">
        <v>31</v>
      </c>
      <c r="B1397" t="s">
        <v>33</v>
      </c>
      <c r="C1397">
        <v>12</v>
      </c>
      <c r="D1397" t="s">
        <v>127</v>
      </c>
      <c r="E1397" t="s">
        <v>198</v>
      </c>
      <c r="F1397">
        <v>3.5</v>
      </c>
      <c r="G1397">
        <v>2024</v>
      </c>
    </row>
    <row r="1398" spans="1:7" hidden="1" x14ac:dyDescent="0.2">
      <c r="A1398" t="s">
        <v>31</v>
      </c>
      <c r="B1398" t="s">
        <v>33</v>
      </c>
      <c r="C1398">
        <v>12</v>
      </c>
      <c r="D1398" t="s">
        <v>129</v>
      </c>
      <c r="E1398" t="s">
        <v>317</v>
      </c>
      <c r="F1398">
        <v>12.8</v>
      </c>
      <c r="G1398">
        <v>2024</v>
      </c>
    </row>
    <row r="1399" spans="1:7" hidden="1" x14ac:dyDescent="0.2">
      <c r="A1399" t="s">
        <v>31</v>
      </c>
      <c r="B1399" t="s">
        <v>33</v>
      </c>
      <c r="C1399">
        <v>12</v>
      </c>
      <c r="D1399" t="s">
        <v>131</v>
      </c>
      <c r="E1399" t="s">
        <v>195</v>
      </c>
      <c r="F1399">
        <v>10</v>
      </c>
      <c r="G1399">
        <v>2024</v>
      </c>
    </row>
    <row r="1400" spans="1:7" hidden="1" x14ac:dyDescent="0.2">
      <c r="A1400" t="s">
        <v>31</v>
      </c>
      <c r="B1400" t="s">
        <v>33</v>
      </c>
      <c r="C1400">
        <v>12</v>
      </c>
      <c r="D1400" t="s">
        <v>130</v>
      </c>
      <c r="E1400" t="s">
        <v>251</v>
      </c>
      <c r="F1400">
        <v>6</v>
      </c>
      <c r="G1400">
        <v>2024</v>
      </c>
    </row>
    <row r="1401" spans="1:7" hidden="1" x14ac:dyDescent="0.2">
      <c r="A1401" t="s">
        <v>31</v>
      </c>
      <c r="B1401" t="s">
        <v>33</v>
      </c>
      <c r="C1401">
        <v>12</v>
      </c>
      <c r="D1401" t="s">
        <v>294</v>
      </c>
      <c r="E1401" t="s">
        <v>298</v>
      </c>
      <c r="F1401">
        <v>0</v>
      </c>
      <c r="G1401">
        <v>2024</v>
      </c>
    </row>
    <row r="1402" spans="1:7" hidden="1" x14ac:dyDescent="0.2">
      <c r="A1402" t="s">
        <v>18</v>
      </c>
      <c r="B1402" t="s">
        <v>20</v>
      </c>
      <c r="C1402">
        <v>12</v>
      </c>
      <c r="D1402" t="s">
        <v>125</v>
      </c>
      <c r="E1402" t="s">
        <v>250</v>
      </c>
      <c r="F1402">
        <v>30.4</v>
      </c>
      <c r="G1402">
        <v>2024</v>
      </c>
    </row>
    <row r="1403" spans="1:7" hidden="1" x14ac:dyDescent="0.2">
      <c r="A1403" t="s">
        <v>18</v>
      </c>
      <c r="B1403" t="s">
        <v>20</v>
      </c>
      <c r="C1403">
        <v>12</v>
      </c>
      <c r="D1403" t="s">
        <v>128</v>
      </c>
      <c r="E1403" t="s">
        <v>295</v>
      </c>
      <c r="F1403">
        <v>18.7</v>
      </c>
      <c r="G1403">
        <v>2024</v>
      </c>
    </row>
    <row r="1404" spans="1:7" hidden="1" x14ac:dyDescent="0.2">
      <c r="A1404" t="s">
        <v>18</v>
      </c>
      <c r="B1404" t="s">
        <v>20</v>
      </c>
      <c r="C1404">
        <v>12</v>
      </c>
      <c r="D1404" t="s">
        <v>128</v>
      </c>
      <c r="E1404" t="s">
        <v>204</v>
      </c>
      <c r="F1404">
        <v>16</v>
      </c>
      <c r="G1404">
        <v>2024</v>
      </c>
    </row>
    <row r="1405" spans="1:7" hidden="1" x14ac:dyDescent="0.2">
      <c r="A1405" t="s">
        <v>18</v>
      </c>
      <c r="B1405" t="s">
        <v>20</v>
      </c>
      <c r="C1405">
        <v>12</v>
      </c>
      <c r="D1405" t="s">
        <v>128</v>
      </c>
      <c r="E1405" t="s">
        <v>384</v>
      </c>
      <c r="F1405">
        <v>11.3</v>
      </c>
      <c r="G1405">
        <v>2024</v>
      </c>
    </row>
    <row r="1406" spans="1:7" hidden="1" x14ac:dyDescent="0.2">
      <c r="A1406" t="s">
        <v>18</v>
      </c>
      <c r="B1406" t="s">
        <v>20</v>
      </c>
      <c r="C1406">
        <v>12</v>
      </c>
      <c r="D1406" t="s">
        <v>127</v>
      </c>
      <c r="E1406" t="s">
        <v>207</v>
      </c>
      <c r="F1406">
        <v>23.4</v>
      </c>
      <c r="G1406">
        <v>2024</v>
      </c>
    </row>
    <row r="1407" spans="1:7" hidden="1" x14ac:dyDescent="0.2">
      <c r="A1407" t="s">
        <v>18</v>
      </c>
      <c r="B1407" t="s">
        <v>20</v>
      </c>
      <c r="C1407">
        <v>12</v>
      </c>
      <c r="D1407" t="s">
        <v>127</v>
      </c>
      <c r="E1407" t="s">
        <v>175</v>
      </c>
      <c r="F1407">
        <v>13.9</v>
      </c>
      <c r="G1407">
        <v>2024</v>
      </c>
    </row>
    <row r="1408" spans="1:7" hidden="1" x14ac:dyDescent="0.2">
      <c r="A1408" t="s">
        <v>18</v>
      </c>
      <c r="B1408" t="s">
        <v>20</v>
      </c>
      <c r="C1408">
        <v>12</v>
      </c>
      <c r="D1408" t="s">
        <v>129</v>
      </c>
      <c r="E1408" t="s">
        <v>393</v>
      </c>
      <c r="F1408">
        <v>6.7</v>
      </c>
      <c r="G1408">
        <v>2024</v>
      </c>
    </row>
    <row r="1409" spans="1:7" hidden="1" x14ac:dyDescent="0.2">
      <c r="A1409" t="s">
        <v>18</v>
      </c>
      <c r="B1409" t="s">
        <v>20</v>
      </c>
      <c r="C1409">
        <v>12</v>
      </c>
      <c r="D1409" t="s">
        <v>131</v>
      </c>
      <c r="E1409" t="s">
        <v>210</v>
      </c>
      <c r="F1409">
        <v>10</v>
      </c>
      <c r="G1409">
        <v>2024</v>
      </c>
    </row>
    <row r="1410" spans="1:7" hidden="1" x14ac:dyDescent="0.2">
      <c r="A1410" t="s">
        <v>18</v>
      </c>
      <c r="B1410" t="s">
        <v>20</v>
      </c>
      <c r="C1410">
        <v>12</v>
      </c>
      <c r="D1410" t="s">
        <v>130</v>
      </c>
      <c r="E1410" t="s">
        <v>323</v>
      </c>
      <c r="F1410">
        <v>9</v>
      </c>
      <c r="G1410">
        <v>2024</v>
      </c>
    </row>
    <row r="1411" spans="1:7" hidden="1" x14ac:dyDescent="0.2">
      <c r="A1411" t="s">
        <v>18</v>
      </c>
      <c r="B1411" t="s">
        <v>20</v>
      </c>
      <c r="C1411">
        <v>12</v>
      </c>
      <c r="D1411" t="s">
        <v>294</v>
      </c>
      <c r="E1411" t="s">
        <v>173</v>
      </c>
      <c r="F1411">
        <v>8.8000000000000007</v>
      </c>
      <c r="G1411">
        <v>2024</v>
      </c>
    </row>
    <row r="1412" spans="1:7" hidden="1" x14ac:dyDescent="0.2">
      <c r="A1412" t="s">
        <v>26</v>
      </c>
      <c r="B1412" t="s">
        <v>28</v>
      </c>
      <c r="C1412">
        <v>12</v>
      </c>
      <c r="D1412" t="s">
        <v>125</v>
      </c>
      <c r="E1412" t="s">
        <v>392</v>
      </c>
      <c r="F1412">
        <v>10.76</v>
      </c>
      <c r="G1412">
        <v>2024</v>
      </c>
    </row>
    <row r="1413" spans="1:7" hidden="1" x14ac:dyDescent="0.2">
      <c r="A1413" t="s">
        <v>26</v>
      </c>
      <c r="B1413" t="s">
        <v>28</v>
      </c>
      <c r="C1413">
        <v>12</v>
      </c>
      <c r="D1413" t="s">
        <v>128</v>
      </c>
      <c r="E1413" t="s">
        <v>218</v>
      </c>
      <c r="F1413">
        <v>9.4</v>
      </c>
      <c r="G1413">
        <v>2024</v>
      </c>
    </row>
    <row r="1414" spans="1:7" hidden="1" x14ac:dyDescent="0.2">
      <c r="A1414" t="s">
        <v>26</v>
      </c>
      <c r="B1414" t="s">
        <v>28</v>
      </c>
      <c r="C1414">
        <v>12</v>
      </c>
      <c r="D1414" t="s">
        <v>128</v>
      </c>
      <c r="E1414" t="s">
        <v>219</v>
      </c>
      <c r="F1414">
        <v>7.9</v>
      </c>
      <c r="G1414">
        <v>2024</v>
      </c>
    </row>
    <row r="1415" spans="1:7" hidden="1" x14ac:dyDescent="0.2">
      <c r="A1415" t="s">
        <v>26</v>
      </c>
      <c r="B1415" t="s">
        <v>28</v>
      </c>
      <c r="C1415">
        <v>12</v>
      </c>
      <c r="D1415" t="s">
        <v>128</v>
      </c>
      <c r="E1415" t="s">
        <v>257</v>
      </c>
      <c r="F1415">
        <v>7.1</v>
      </c>
      <c r="G1415">
        <v>2024</v>
      </c>
    </row>
    <row r="1416" spans="1:7" hidden="1" x14ac:dyDescent="0.2">
      <c r="A1416" t="s">
        <v>26</v>
      </c>
      <c r="B1416" t="s">
        <v>28</v>
      </c>
      <c r="C1416">
        <v>12</v>
      </c>
      <c r="D1416" t="s">
        <v>127</v>
      </c>
      <c r="E1416" t="s">
        <v>216</v>
      </c>
      <c r="F1416">
        <v>44.2</v>
      </c>
      <c r="G1416">
        <v>2024</v>
      </c>
    </row>
    <row r="1417" spans="1:7" hidden="1" x14ac:dyDescent="0.2">
      <c r="A1417" t="s">
        <v>26</v>
      </c>
      <c r="B1417" t="s">
        <v>28</v>
      </c>
      <c r="C1417">
        <v>12</v>
      </c>
      <c r="D1417" t="s">
        <v>127</v>
      </c>
      <c r="E1417" t="s">
        <v>256</v>
      </c>
      <c r="F1417">
        <v>11.2</v>
      </c>
      <c r="G1417">
        <v>2024</v>
      </c>
    </row>
    <row r="1418" spans="1:7" hidden="1" x14ac:dyDescent="0.2">
      <c r="A1418" t="s">
        <v>26</v>
      </c>
      <c r="B1418" t="s">
        <v>28</v>
      </c>
      <c r="C1418">
        <v>12</v>
      </c>
      <c r="D1418" t="s">
        <v>129</v>
      </c>
      <c r="E1418" t="s">
        <v>196</v>
      </c>
      <c r="F1418">
        <v>13.1</v>
      </c>
      <c r="G1418">
        <v>2024</v>
      </c>
    </row>
    <row r="1419" spans="1:7" hidden="1" x14ac:dyDescent="0.2">
      <c r="A1419" t="s">
        <v>26</v>
      </c>
      <c r="B1419" t="s">
        <v>28</v>
      </c>
      <c r="C1419">
        <v>12</v>
      </c>
      <c r="D1419" t="s">
        <v>131</v>
      </c>
      <c r="E1419" t="s">
        <v>192</v>
      </c>
      <c r="F1419">
        <v>5</v>
      </c>
      <c r="G1419">
        <v>2024</v>
      </c>
    </row>
    <row r="1420" spans="1:7" hidden="1" x14ac:dyDescent="0.2">
      <c r="A1420" t="s">
        <v>26</v>
      </c>
      <c r="B1420" t="s">
        <v>28</v>
      </c>
      <c r="C1420">
        <v>12</v>
      </c>
      <c r="D1420" t="s">
        <v>130</v>
      </c>
      <c r="E1420" t="s">
        <v>167</v>
      </c>
      <c r="F1420">
        <v>6</v>
      </c>
      <c r="G1420">
        <v>2024</v>
      </c>
    </row>
    <row r="1421" spans="1:7" hidden="1" x14ac:dyDescent="0.2">
      <c r="A1421" t="s">
        <v>26</v>
      </c>
      <c r="B1421" t="s">
        <v>28</v>
      </c>
      <c r="C1421">
        <v>12</v>
      </c>
      <c r="D1421" t="s">
        <v>293</v>
      </c>
      <c r="E1421" t="s">
        <v>217</v>
      </c>
      <c r="F1421">
        <v>11.2</v>
      </c>
      <c r="G1421">
        <v>2024</v>
      </c>
    </row>
    <row r="1422" spans="1:7" hidden="1" x14ac:dyDescent="0.2">
      <c r="A1422" t="s">
        <v>35</v>
      </c>
      <c r="B1422" t="s">
        <v>49</v>
      </c>
      <c r="C1422">
        <v>12</v>
      </c>
      <c r="D1422" t="s">
        <v>125</v>
      </c>
      <c r="E1422" t="s">
        <v>394</v>
      </c>
      <c r="F1422">
        <v>10.76</v>
      </c>
      <c r="G1422">
        <v>2024</v>
      </c>
    </row>
    <row r="1423" spans="1:7" hidden="1" x14ac:dyDescent="0.2">
      <c r="A1423" t="s">
        <v>35</v>
      </c>
      <c r="B1423" t="s">
        <v>49</v>
      </c>
      <c r="C1423">
        <v>12</v>
      </c>
      <c r="D1423" t="s">
        <v>128</v>
      </c>
      <c r="E1423" t="s">
        <v>304</v>
      </c>
      <c r="F1423">
        <v>19.100000000000001</v>
      </c>
      <c r="G1423">
        <v>2024</v>
      </c>
    </row>
    <row r="1424" spans="1:7" hidden="1" x14ac:dyDescent="0.2">
      <c r="A1424" t="s">
        <v>35</v>
      </c>
      <c r="B1424" t="s">
        <v>49</v>
      </c>
      <c r="C1424">
        <v>12</v>
      </c>
      <c r="D1424" t="s">
        <v>128</v>
      </c>
      <c r="E1424" t="s">
        <v>254</v>
      </c>
      <c r="F1424">
        <v>12.6</v>
      </c>
      <c r="G1424">
        <v>2024</v>
      </c>
    </row>
    <row r="1425" spans="1:7" hidden="1" x14ac:dyDescent="0.2">
      <c r="A1425" t="s">
        <v>35</v>
      </c>
      <c r="B1425" t="s">
        <v>49</v>
      </c>
      <c r="C1425">
        <v>12</v>
      </c>
      <c r="D1425" t="s">
        <v>128</v>
      </c>
      <c r="E1425" t="s">
        <v>222</v>
      </c>
      <c r="F1425">
        <v>9.3000000000000007</v>
      </c>
      <c r="G1425">
        <v>2024</v>
      </c>
    </row>
    <row r="1426" spans="1:7" hidden="1" x14ac:dyDescent="0.2">
      <c r="A1426" t="s">
        <v>35</v>
      </c>
      <c r="B1426" t="s">
        <v>49</v>
      </c>
      <c r="C1426">
        <v>12</v>
      </c>
      <c r="D1426" t="s">
        <v>127</v>
      </c>
      <c r="E1426" t="s">
        <v>255</v>
      </c>
      <c r="F1426">
        <v>24.2</v>
      </c>
      <c r="G1426">
        <v>2024</v>
      </c>
    </row>
    <row r="1427" spans="1:7" hidden="1" x14ac:dyDescent="0.2">
      <c r="A1427" t="s">
        <v>35</v>
      </c>
      <c r="B1427" t="s">
        <v>49</v>
      </c>
      <c r="C1427">
        <v>12</v>
      </c>
      <c r="D1427" t="s">
        <v>127</v>
      </c>
      <c r="E1427" t="s">
        <v>225</v>
      </c>
      <c r="F1427">
        <v>11.3</v>
      </c>
      <c r="G1427">
        <v>2024</v>
      </c>
    </row>
    <row r="1428" spans="1:7" hidden="1" x14ac:dyDescent="0.2">
      <c r="A1428" t="s">
        <v>35</v>
      </c>
      <c r="B1428" t="s">
        <v>49</v>
      </c>
      <c r="C1428">
        <v>12</v>
      </c>
      <c r="D1428" t="s">
        <v>129</v>
      </c>
      <c r="E1428" t="s">
        <v>227</v>
      </c>
      <c r="F1428">
        <v>3.9</v>
      </c>
      <c r="G1428">
        <v>2024</v>
      </c>
    </row>
    <row r="1429" spans="1:7" hidden="1" x14ac:dyDescent="0.2">
      <c r="A1429" t="s">
        <v>35</v>
      </c>
      <c r="B1429" t="s">
        <v>49</v>
      </c>
      <c r="C1429">
        <v>12</v>
      </c>
      <c r="D1429" t="s">
        <v>131</v>
      </c>
      <c r="E1429" t="s">
        <v>350</v>
      </c>
      <c r="F1429">
        <v>16</v>
      </c>
      <c r="G1429">
        <v>2024</v>
      </c>
    </row>
    <row r="1430" spans="1:7" hidden="1" x14ac:dyDescent="0.2">
      <c r="A1430" t="s">
        <v>35</v>
      </c>
      <c r="B1430" t="s">
        <v>49</v>
      </c>
      <c r="C1430">
        <v>12</v>
      </c>
      <c r="D1430" t="s">
        <v>130</v>
      </c>
      <c r="E1430" t="s">
        <v>289</v>
      </c>
      <c r="F1430">
        <v>13</v>
      </c>
      <c r="G1430">
        <v>2024</v>
      </c>
    </row>
    <row r="1431" spans="1:7" hidden="1" x14ac:dyDescent="0.2">
      <c r="A1431" t="s">
        <v>35</v>
      </c>
      <c r="B1431" t="s">
        <v>49</v>
      </c>
      <c r="C1431">
        <v>12</v>
      </c>
      <c r="D1431" t="s">
        <v>294</v>
      </c>
      <c r="E1431" t="s">
        <v>223</v>
      </c>
      <c r="F1431">
        <v>0.4</v>
      </c>
      <c r="G1431">
        <v>2024</v>
      </c>
    </row>
    <row r="1432" spans="1:7" hidden="1" x14ac:dyDescent="0.2">
      <c r="A1432" t="s">
        <v>76</v>
      </c>
      <c r="B1432" t="s">
        <v>32</v>
      </c>
      <c r="C1432">
        <v>12</v>
      </c>
      <c r="D1432" t="s">
        <v>125</v>
      </c>
      <c r="E1432" t="s">
        <v>258</v>
      </c>
      <c r="F1432">
        <v>10.3</v>
      </c>
      <c r="G1432">
        <v>2024</v>
      </c>
    </row>
    <row r="1433" spans="1:7" hidden="1" x14ac:dyDescent="0.2">
      <c r="A1433" t="s">
        <v>76</v>
      </c>
      <c r="B1433" t="s">
        <v>32</v>
      </c>
      <c r="C1433">
        <v>12</v>
      </c>
      <c r="D1433" t="s">
        <v>128</v>
      </c>
      <c r="E1433" t="s">
        <v>303</v>
      </c>
      <c r="F1433">
        <v>17.100000000000001</v>
      </c>
      <c r="G1433">
        <v>2024</v>
      </c>
    </row>
    <row r="1434" spans="1:7" hidden="1" x14ac:dyDescent="0.2">
      <c r="A1434" t="s">
        <v>76</v>
      </c>
      <c r="B1434" t="s">
        <v>32</v>
      </c>
      <c r="C1434">
        <v>12</v>
      </c>
      <c r="D1434" t="s">
        <v>128</v>
      </c>
      <c r="E1434" t="s">
        <v>232</v>
      </c>
      <c r="F1434">
        <v>17.7</v>
      </c>
      <c r="G1434">
        <v>2024</v>
      </c>
    </row>
    <row r="1435" spans="1:7" hidden="1" x14ac:dyDescent="0.2">
      <c r="A1435" t="s">
        <v>76</v>
      </c>
      <c r="B1435" t="s">
        <v>32</v>
      </c>
      <c r="C1435">
        <v>12</v>
      </c>
      <c r="D1435" t="s">
        <v>128</v>
      </c>
      <c r="E1435" t="s">
        <v>315</v>
      </c>
      <c r="F1435">
        <v>7.2</v>
      </c>
      <c r="G1435">
        <v>2024</v>
      </c>
    </row>
    <row r="1436" spans="1:7" hidden="1" x14ac:dyDescent="0.2">
      <c r="A1436" t="s">
        <v>76</v>
      </c>
      <c r="B1436" t="s">
        <v>32</v>
      </c>
      <c r="C1436">
        <v>12</v>
      </c>
      <c r="D1436" t="s">
        <v>127</v>
      </c>
      <c r="E1436" t="s">
        <v>235</v>
      </c>
      <c r="F1436">
        <v>18.399999999999999</v>
      </c>
      <c r="G1436">
        <v>2024</v>
      </c>
    </row>
    <row r="1437" spans="1:7" hidden="1" x14ac:dyDescent="0.2">
      <c r="A1437" t="s">
        <v>76</v>
      </c>
      <c r="B1437" t="s">
        <v>32</v>
      </c>
      <c r="C1437">
        <v>12</v>
      </c>
      <c r="D1437" t="s">
        <v>127</v>
      </c>
      <c r="E1437" t="s">
        <v>259</v>
      </c>
      <c r="F1437">
        <v>7.4</v>
      </c>
      <c r="G1437">
        <v>2024</v>
      </c>
    </row>
    <row r="1438" spans="1:7" hidden="1" x14ac:dyDescent="0.2">
      <c r="A1438" t="s">
        <v>76</v>
      </c>
      <c r="B1438" t="s">
        <v>32</v>
      </c>
      <c r="C1438">
        <v>12</v>
      </c>
      <c r="D1438" t="s">
        <v>129</v>
      </c>
      <c r="E1438" t="s">
        <v>236</v>
      </c>
      <c r="F1438">
        <v>17.2</v>
      </c>
      <c r="G1438">
        <v>2024</v>
      </c>
    </row>
    <row r="1439" spans="1:7" hidden="1" x14ac:dyDescent="0.2">
      <c r="A1439" t="s">
        <v>76</v>
      </c>
      <c r="B1439" t="s">
        <v>32</v>
      </c>
      <c r="C1439">
        <v>12</v>
      </c>
      <c r="D1439" t="s">
        <v>131</v>
      </c>
      <c r="E1439" t="s">
        <v>158</v>
      </c>
      <c r="F1439">
        <v>12</v>
      </c>
      <c r="G1439">
        <v>2024</v>
      </c>
    </row>
    <row r="1440" spans="1:7" hidden="1" x14ac:dyDescent="0.2">
      <c r="A1440" t="s">
        <v>76</v>
      </c>
      <c r="B1440" t="s">
        <v>32</v>
      </c>
      <c r="C1440">
        <v>12</v>
      </c>
      <c r="D1440" t="s">
        <v>130</v>
      </c>
      <c r="E1440" t="s">
        <v>385</v>
      </c>
      <c r="F1440">
        <v>3</v>
      </c>
      <c r="G1440">
        <v>2024</v>
      </c>
    </row>
    <row r="1441" spans="1:7" hidden="1" x14ac:dyDescent="0.2">
      <c r="A1441" t="s">
        <v>76</v>
      </c>
      <c r="B1441" t="s">
        <v>32</v>
      </c>
      <c r="C1441">
        <v>12</v>
      </c>
      <c r="D1441" t="s">
        <v>293</v>
      </c>
      <c r="E1441" t="s">
        <v>234</v>
      </c>
      <c r="F1441">
        <v>3.3</v>
      </c>
      <c r="G1441">
        <v>2024</v>
      </c>
    </row>
    <row r="1442" spans="1:7" hidden="1" x14ac:dyDescent="0.2">
      <c r="A1442" t="s">
        <v>14</v>
      </c>
      <c r="B1442" t="s">
        <v>16</v>
      </c>
      <c r="C1442">
        <v>13</v>
      </c>
      <c r="D1442" t="s">
        <v>127</v>
      </c>
      <c r="E1442" t="s">
        <v>348</v>
      </c>
      <c r="F1442">
        <v>13.5</v>
      </c>
      <c r="G1442">
        <v>2024</v>
      </c>
    </row>
    <row r="1443" spans="1:7" hidden="1" x14ac:dyDescent="0.2">
      <c r="A1443" t="s">
        <v>14</v>
      </c>
      <c r="B1443" t="s">
        <v>16</v>
      </c>
      <c r="C1443">
        <v>13</v>
      </c>
      <c r="D1443" t="s">
        <v>125</v>
      </c>
      <c r="E1443" t="s">
        <v>241</v>
      </c>
      <c r="F1443">
        <v>10.199999999999999</v>
      </c>
      <c r="G1443">
        <v>2024</v>
      </c>
    </row>
    <row r="1444" spans="1:7" hidden="1" x14ac:dyDescent="0.2">
      <c r="A1444" t="s">
        <v>14</v>
      </c>
      <c r="B1444" t="s">
        <v>16</v>
      </c>
      <c r="C1444">
        <v>13</v>
      </c>
      <c r="D1444" t="s">
        <v>128</v>
      </c>
      <c r="E1444" t="s">
        <v>288</v>
      </c>
      <c r="F1444">
        <v>13.2</v>
      </c>
      <c r="G1444">
        <v>2024</v>
      </c>
    </row>
    <row r="1445" spans="1:7" hidden="1" x14ac:dyDescent="0.2">
      <c r="A1445" t="s">
        <v>14</v>
      </c>
      <c r="B1445" t="s">
        <v>16</v>
      </c>
      <c r="C1445">
        <v>13</v>
      </c>
      <c r="D1445" t="s">
        <v>128</v>
      </c>
      <c r="E1445" t="s">
        <v>133</v>
      </c>
      <c r="F1445">
        <v>17.3</v>
      </c>
      <c r="G1445">
        <v>2024</v>
      </c>
    </row>
    <row r="1446" spans="1:7" hidden="1" x14ac:dyDescent="0.2">
      <c r="A1446" t="s">
        <v>14</v>
      </c>
      <c r="B1446" t="s">
        <v>16</v>
      </c>
      <c r="C1446">
        <v>13</v>
      </c>
      <c r="D1446" t="s">
        <v>128</v>
      </c>
      <c r="E1446" t="s">
        <v>134</v>
      </c>
      <c r="F1446">
        <v>8.6</v>
      </c>
      <c r="G1446">
        <v>2024</v>
      </c>
    </row>
    <row r="1447" spans="1:7" hidden="1" x14ac:dyDescent="0.2">
      <c r="A1447" t="s">
        <v>14</v>
      </c>
      <c r="B1447" t="s">
        <v>16</v>
      </c>
      <c r="C1447">
        <v>13</v>
      </c>
      <c r="D1447" t="s">
        <v>129</v>
      </c>
      <c r="E1447" t="s">
        <v>379</v>
      </c>
      <c r="F1447">
        <v>16.3</v>
      </c>
      <c r="G1447">
        <v>2024</v>
      </c>
    </row>
    <row r="1448" spans="1:7" hidden="1" x14ac:dyDescent="0.2">
      <c r="A1448" t="s">
        <v>14</v>
      </c>
      <c r="B1448" t="s">
        <v>16</v>
      </c>
      <c r="C1448">
        <v>13</v>
      </c>
      <c r="D1448" t="s">
        <v>131</v>
      </c>
      <c r="E1448" t="s">
        <v>183</v>
      </c>
      <c r="F1448">
        <v>6</v>
      </c>
      <c r="G1448">
        <v>2024</v>
      </c>
    </row>
    <row r="1449" spans="1:7" hidden="1" x14ac:dyDescent="0.2">
      <c r="A1449" t="s">
        <v>14</v>
      </c>
      <c r="B1449" t="s">
        <v>16</v>
      </c>
      <c r="C1449">
        <v>13</v>
      </c>
      <c r="D1449" t="s">
        <v>130</v>
      </c>
      <c r="E1449" t="s">
        <v>358</v>
      </c>
      <c r="F1449">
        <v>5</v>
      </c>
      <c r="G1449">
        <v>2024</v>
      </c>
    </row>
    <row r="1450" spans="1:7" hidden="1" x14ac:dyDescent="0.2">
      <c r="A1450" t="s">
        <v>14</v>
      </c>
      <c r="B1450" t="s">
        <v>16</v>
      </c>
      <c r="C1450">
        <v>13</v>
      </c>
      <c r="D1450" t="s">
        <v>297</v>
      </c>
      <c r="E1450" t="s">
        <v>137</v>
      </c>
      <c r="F1450">
        <v>15.6</v>
      </c>
      <c r="G1450">
        <v>2024</v>
      </c>
    </row>
    <row r="1451" spans="1:7" hidden="1" x14ac:dyDescent="0.2">
      <c r="A1451" t="s">
        <v>14</v>
      </c>
      <c r="B1451" t="s">
        <v>16</v>
      </c>
      <c r="C1451">
        <v>13</v>
      </c>
      <c r="D1451" t="s">
        <v>127</v>
      </c>
      <c r="E1451" t="s">
        <v>372</v>
      </c>
      <c r="F1451">
        <v>7.7</v>
      </c>
      <c r="G1451">
        <v>2024</v>
      </c>
    </row>
    <row r="1452" spans="1:7" hidden="1" x14ac:dyDescent="0.2">
      <c r="A1452" t="s">
        <v>42</v>
      </c>
      <c r="B1452" t="s">
        <v>17</v>
      </c>
      <c r="C1452">
        <v>13</v>
      </c>
      <c r="D1452" t="s">
        <v>125</v>
      </c>
      <c r="E1452" t="s">
        <v>150</v>
      </c>
      <c r="F1452">
        <v>16.64</v>
      </c>
      <c r="G1452">
        <v>2024</v>
      </c>
    </row>
    <row r="1453" spans="1:7" hidden="1" x14ac:dyDescent="0.2">
      <c r="A1453" t="s">
        <v>42</v>
      </c>
      <c r="B1453" t="s">
        <v>17</v>
      </c>
      <c r="C1453">
        <v>13</v>
      </c>
      <c r="D1453" t="s">
        <v>128</v>
      </c>
      <c r="E1453" t="s">
        <v>152</v>
      </c>
      <c r="F1453">
        <v>21.8</v>
      </c>
      <c r="G1453">
        <v>2024</v>
      </c>
    </row>
    <row r="1454" spans="1:7" hidden="1" x14ac:dyDescent="0.2">
      <c r="A1454" t="s">
        <v>42</v>
      </c>
      <c r="B1454" t="s">
        <v>17</v>
      </c>
      <c r="C1454">
        <v>13</v>
      </c>
      <c r="D1454" t="s">
        <v>128</v>
      </c>
      <c r="E1454" t="s">
        <v>153</v>
      </c>
      <c r="F1454">
        <v>5</v>
      </c>
      <c r="G1454">
        <v>2024</v>
      </c>
    </row>
    <row r="1455" spans="1:7" hidden="1" x14ac:dyDescent="0.2">
      <c r="A1455" t="s">
        <v>42</v>
      </c>
      <c r="B1455" t="s">
        <v>17</v>
      </c>
      <c r="C1455">
        <v>13</v>
      </c>
      <c r="D1455" t="s">
        <v>128</v>
      </c>
      <c r="E1455" t="s">
        <v>274</v>
      </c>
      <c r="F1455">
        <v>2.8</v>
      </c>
      <c r="G1455">
        <v>2024</v>
      </c>
    </row>
    <row r="1456" spans="1:7" hidden="1" x14ac:dyDescent="0.2">
      <c r="A1456" t="s">
        <v>42</v>
      </c>
      <c r="B1456" t="s">
        <v>17</v>
      </c>
      <c r="C1456">
        <v>13</v>
      </c>
      <c r="D1456" t="s">
        <v>127</v>
      </c>
      <c r="E1456" t="s">
        <v>314</v>
      </c>
      <c r="F1456">
        <v>17.5</v>
      </c>
      <c r="G1456">
        <v>2024</v>
      </c>
    </row>
    <row r="1457" spans="1:7" hidden="1" x14ac:dyDescent="0.2">
      <c r="A1457" t="s">
        <v>42</v>
      </c>
      <c r="B1457" t="s">
        <v>17</v>
      </c>
      <c r="C1457">
        <v>13</v>
      </c>
      <c r="D1457" t="s">
        <v>127</v>
      </c>
      <c r="E1457" t="s">
        <v>154</v>
      </c>
      <c r="F1457">
        <v>12.6</v>
      </c>
      <c r="G1457">
        <v>2024</v>
      </c>
    </row>
    <row r="1458" spans="1:7" hidden="1" x14ac:dyDescent="0.2">
      <c r="A1458" t="s">
        <v>42</v>
      </c>
      <c r="B1458" t="s">
        <v>17</v>
      </c>
      <c r="C1458">
        <v>13</v>
      </c>
      <c r="D1458" t="s">
        <v>129</v>
      </c>
      <c r="E1458" t="s">
        <v>156</v>
      </c>
      <c r="F1458">
        <v>14.1</v>
      </c>
      <c r="G1458">
        <v>2024</v>
      </c>
    </row>
    <row r="1459" spans="1:7" hidden="1" x14ac:dyDescent="0.2">
      <c r="A1459" t="s">
        <v>42</v>
      </c>
      <c r="B1459" t="s">
        <v>17</v>
      </c>
      <c r="C1459">
        <v>13</v>
      </c>
      <c r="D1459" t="s">
        <v>131</v>
      </c>
      <c r="E1459" t="s">
        <v>339</v>
      </c>
      <c r="F1459">
        <v>16</v>
      </c>
      <c r="G1459">
        <v>2024</v>
      </c>
    </row>
    <row r="1460" spans="1:7" hidden="1" x14ac:dyDescent="0.2">
      <c r="A1460" t="s">
        <v>42</v>
      </c>
      <c r="B1460" t="s">
        <v>17</v>
      </c>
      <c r="C1460">
        <v>13</v>
      </c>
      <c r="D1460" t="s">
        <v>130</v>
      </c>
      <c r="E1460" t="s">
        <v>273</v>
      </c>
      <c r="F1460">
        <v>2</v>
      </c>
      <c r="G1460">
        <v>2024</v>
      </c>
    </row>
    <row r="1461" spans="1:7" hidden="1" x14ac:dyDescent="0.2">
      <c r="A1461" t="s">
        <v>42</v>
      </c>
      <c r="B1461" t="s">
        <v>17</v>
      </c>
      <c r="C1461">
        <v>13</v>
      </c>
      <c r="D1461" t="s">
        <v>293</v>
      </c>
      <c r="E1461" t="s">
        <v>361</v>
      </c>
      <c r="F1461">
        <v>11.5</v>
      </c>
      <c r="G1461">
        <v>2024</v>
      </c>
    </row>
    <row r="1462" spans="1:7" hidden="1" x14ac:dyDescent="0.2">
      <c r="A1462" t="s">
        <v>73</v>
      </c>
      <c r="B1462" t="s">
        <v>21</v>
      </c>
      <c r="C1462">
        <v>13</v>
      </c>
      <c r="D1462" t="s">
        <v>125</v>
      </c>
      <c r="E1462" t="s">
        <v>325</v>
      </c>
      <c r="F1462">
        <v>19.600000000000001</v>
      </c>
      <c r="G1462">
        <v>2024</v>
      </c>
    </row>
    <row r="1463" spans="1:7" hidden="1" x14ac:dyDescent="0.2">
      <c r="A1463" t="s">
        <v>73</v>
      </c>
      <c r="B1463" t="s">
        <v>21</v>
      </c>
      <c r="C1463">
        <v>13</v>
      </c>
      <c r="D1463" t="s">
        <v>128</v>
      </c>
      <c r="E1463" t="s">
        <v>277</v>
      </c>
      <c r="F1463">
        <v>16.7</v>
      </c>
      <c r="G1463">
        <v>2024</v>
      </c>
    </row>
    <row r="1464" spans="1:7" hidden="1" x14ac:dyDescent="0.2">
      <c r="A1464" t="s">
        <v>73</v>
      </c>
      <c r="B1464" t="s">
        <v>21</v>
      </c>
      <c r="C1464">
        <v>13</v>
      </c>
      <c r="D1464" t="s">
        <v>128</v>
      </c>
      <c r="E1464" t="s">
        <v>145</v>
      </c>
      <c r="F1464">
        <v>9.1</v>
      </c>
      <c r="G1464">
        <v>2024</v>
      </c>
    </row>
    <row r="1465" spans="1:7" hidden="1" x14ac:dyDescent="0.2">
      <c r="A1465" t="s">
        <v>73</v>
      </c>
      <c r="B1465" t="s">
        <v>21</v>
      </c>
      <c r="C1465">
        <v>13</v>
      </c>
      <c r="D1465" t="s">
        <v>128</v>
      </c>
      <c r="E1465" t="s">
        <v>328</v>
      </c>
      <c r="F1465">
        <v>3.5</v>
      </c>
      <c r="G1465">
        <v>2024</v>
      </c>
    </row>
    <row r="1466" spans="1:7" hidden="1" x14ac:dyDescent="0.2">
      <c r="A1466" t="s">
        <v>73</v>
      </c>
      <c r="B1466" t="s">
        <v>21</v>
      </c>
      <c r="C1466">
        <v>13</v>
      </c>
      <c r="D1466" t="s">
        <v>127</v>
      </c>
      <c r="E1466" t="s">
        <v>148</v>
      </c>
      <c r="F1466">
        <v>17</v>
      </c>
      <c r="G1466">
        <v>2024</v>
      </c>
    </row>
    <row r="1467" spans="1:7" hidden="1" x14ac:dyDescent="0.2">
      <c r="A1467" t="s">
        <v>73</v>
      </c>
      <c r="B1467" t="s">
        <v>21</v>
      </c>
      <c r="C1467">
        <v>13</v>
      </c>
      <c r="D1467" t="s">
        <v>127</v>
      </c>
      <c r="E1467" t="s">
        <v>149</v>
      </c>
      <c r="F1467">
        <v>9.6</v>
      </c>
      <c r="G1467">
        <v>2024</v>
      </c>
    </row>
    <row r="1468" spans="1:7" hidden="1" x14ac:dyDescent="0.2">
      <c r="A1468" t="s">
        <v>73</v>
      </c>
      <c r="B1468" t="s">
        <v>21</v>
      </c>
      <c r="C1468">
        <v>13</v>
      </c>
      <c r="D1468" t="s">
        <v>129</v>
      </c>
      <c r="E1468" t="s">
        <v>327</v>
      </c>
      <c r="F1468">
        <v>10.8</v>
      </c>
      <c r="G1468">
        <v>2024</v>
      </c>
    </row>
    <row r="1469" spans="1:7" hidden="1" x14ac:dyDescent="0.2">
      <c r="A1469" t="s">
        <v>73</v>
      </c>
      <c r="B1469" t="s">
        <v>21</v>
      </c>
      <c r="C1469">
        <v>13</v>
      </c>
      <c r="D1469" t="s">
        <v>131</v>
      </c>
      <c r="E1469" t="s">
        <v>242</v>
      </c>
      <c r="F1469">
        <v>15</v>
      </c>
      <c r="G1469">
        <v>2024</v>
      </c>
    </row>
    <row r="1470" spans="1:7" hidden="1" x14ac:dyDescent="0.2">
      <c r="A1470" t="s">
        <v>73</v>
      </c>
      <c r="B1470" t="s">
        <v>21</v>
      </c>
      <c r="C1470">
        <v>13</v>
      </c>
      <c r="D1470" t="s">
        <v>130</v>
      </c>
      <c r="E1470" t="s">
        <v>211</v>
      </c>
      <c r="F1470">
        <v>18</v>
      </c>
      <c r="G1470">
        <v>2024</v>
      </c>
    </row>
    <row r="1471" spans="1:7" hidden="1" x14ac:dyDescent="0.2">
      <c r="A1471" t="s">
        <v>73</v>
      </c>
      <c r="B1471" t="s">
        <v>21</v>
      </c>
      <c r="C1471">
        <v>13</v>
      </c>
      <c r="D1471" t="s">
        <v>294</v>
      </c>
      <c r="E1471" t="s">
        <v>146</v>
      </c>
      <c r="F1471">
        <v>2</v>
      </c>
      <c r="G1471">
        <v>2024</v>
      </c>
    </row>
    <row r="1472" spans="1:7" hidden="1" x14ac:dyDescent="0.2">
      <c r="A1472" t="s">
        <v>31</v>
      </c>
      <c r="B1472" t="s">
        <v>33</v>
      </c>
      <c r="C1472">
        <v>13</v>
      </c>
      <c r="D1472" t="s">
        <v>125</v>
      </c>
      <c r="E1472" t="s">
        <v>202</v>
      </c>
      <c r="F1472">
        <v>25.38</v>
      </c>
      <c r="G1472">
        <v>2024</v>
      </c>
    </row>
    <row r="1473" spans="1:7" hidden="1" x14ac:dyDescent="0.2">
      <c r="A1473" t="s">
        <v>31</v>
      </c>
      <c r="B1473" t="s">
        <v>33</v>
      </c>
      <c r="C1473">
        <v>13</v>
      </c>
      <c r="D1473" t="s">
        <v>128</v>
      </c>
      <c r="E1473" t="s">
        <v>276</v>
      </c>
      <c r="F1473">
        <v>15.4</v>
      </c>
      <c r="G1473">
        <v>2024</v>
      </c>
    </row>
    <row r="1474" spans="1:7" hidden="1" x14ac:dyDescent="0.2">
      <c r="A1474" t="s">
        <v>31</v>
      </c>
      <c r="B1474" t="s">
        <v>33</v>
      </c>
      <c r="C1474">
        <v>13</v>
      </c>
      <c r="D1474" t="s">
        <v>128</v>
      </c>
      <c r="E1474" t="s">
        <v>292</v>
      </c>
      <c r="F1474">
        <v>7.1</v>
      </c>
      <c r="G1474">
        <v>2024</v>
      </c>
    </row>
    <row r="1475" spans="1:7" hidden="1" x14ac:dyDescent="0.2">
      <c r="A1475" t="s">
        <v>31</v>
      </c>
      <c r="B1475" t="s">
        <v>33</v>
      </c>
      <c r="C1475">
        <v>13</v>
      </c>
      <c r="D1475" t="s">
        <v>128</v>
      </c>
      <c r="E1475" t="s">
        <v>201</v>
      </c>
      <c r="F1475">
        <v>2.7</v>
      </c>
      <c r="G1475">
        <v>2024</v>
      </c>
    </row>
    <row r="1476" spans="1:7" hidden="1" x14ac:dyDescent="0.2">
      <c r="A1476" t="s">
        <v>31</v>
      </c>
      <c r="B1476" t="s">
        <v>33</v>
      </c>
      <c r="C1476">
        <v>13</v>
      </c>
      <c r="D1476" t="s">
        <v>127</v>
      </c>
      <c r="E1476" t="s">
        <v>198</v>
      </c>
      <c r="F1476">
        <v>16.8</v>
      </c>
      <c r="G1476">
        <v>2024</v>
      </c>
    </row>
    <row r="1477" spans="1:7" hidden="1" x14ac:dyDescent="0.2">
      <c r="A1477" t="s">
        <v>31</v>
      </c>
      <c r="B1477" t="s">
        <v>33</v>
      </c>
      <c r="C1477">
        <v>13</v>
      </c>
      <c r="D1477" t="s">
        <v>127</v>
      </c>
      <c r="E1477" t="s">
        <v>291</v>
      </c>
      <c r="F1477">
        <v>17.399999999999999</v>
      </c>
      <c r="G1477">
        <v>2024</v>
      </c>
    </row>
    <row r="1478" spans="1:7" hidden="1" x14ac:dyDescent="0.2">
      <c r="A1478" t="s">
        <v>31</v>
      </c>
      <c r="B1478" t="s">
        <v>33</v>
      </c>
      <c r="C1478">
        <v>13</v>
      </c>
      <c r="D1478" t="s">
        <v>129</v>
      </c>
      <c r="E1478" t="s">
        <v>317</v>
      </c>
      <c r="F1478">
        <v>11</v>
      </c>
      <c r="G1478">
        <v>2024</v>
      </c>
    </row>
    <row r="1479" spans="1:7" hidden="1" x14ac:dyDescent="0.2">
      <c r="A1479" t="s">
        <v>31</v>
      </c>
      <c r="B1479" t="s">
        <v>33</v>
      </c>
      <c r="C1479">
        <v>13</v>
      </c>
      <c r="D1479" t="s">
        <v>131</v>
      </c>
      <c r="E1479" t="s">
        <v>195</v>
      </c>
      <c r="F1479">
        <v>13</v>
      </c>
      <c r="G1479">
        <v>2024</v>
      </c>
    </row>
    <row r="1480" spans="1:7" hidden="1" x14ac:dyDescent="0.2">
      <c r="A1480" t="s">
        <v>31</v>
      </c>
      <c r="B1480" t="s">
        <v>33</v>
      </c>
      <c r="C1480">
        <v>13</v>
      </c>
      <c r="D1480" t="s">
        <v>130</v>
      </c>
      <c r="E1480" t="s">
        <v>395</v>
      </c>
      <c r="F1480">
        <v>0</v>
      </c>
      <c r="G1480">
        <v>2024</v>
      </c>
    </row>
    <row r="1481" spans="1:7" hidden="1" x14ac:dyDescent="0.2">
      <c r="A1481" t="s">
        <v>31</v>
      </c>
      <c r="B1481" t="s">
        <v>33</v>
      </c>
      <c r="C1481">
        <v>13</v>
      </c>
      <c r="D1481" t="s">
        <v>293</v>
      </c>
      <c r="E1481" t="s">
        <v>197</v>
      </c>
      <c r="F1481">
        <v>13.9</v>
      </c>
      <c r="G1481">
        <v>2024</v>
      </c>
    </row>
    <row r="1482" spans="1:7" hidden="1" x14ac:dyDescent="0.2">
      <c r="A1482" t="s">
        <v>74</v>
      </c>
      <c r="B1482" t="s">
        <v>29</v>
      </c>
      <c r="C1482">
        <v>13</v>
      </c>
      <c r="D1482" t="s">
        <v>125</v>
      </c>
      <c r="E1482" t="s">
        <v>168</v>
      </c>
      <c r="F1482">
        <v>17.62</v>
      </c>
      <c r="G1482">
        <v>2024</v>
      </c>
    </row>
    <row r="1483" spans="1:7" hidden="1" x14ac:dyDescent="0.2">
      <c r="A1483" t="s">
        <v>74</v>
      </c>
      <c r="B1483" t="s">
        <v>29</v>
      </c>
      <c r="C1483">
        <v>13</v>
      </c>
      <c r="D1483" t="s">
        <v>128</v>
      </c>
      <c r="E1483" t="s">
        <v>172</v>
      </c>
      <c r="F1483">
        <v>19.7</v>
      </c>
      <c r="G1483">
        <v>2024</v>
      </c>
    </row>
    <row r="1484" spans="1:7" hidden="1" x14ac:dyDescent="0.2">
      <c r="A1484" t="s">
        <v>74</v>
      </c>
      <c r="B1484" t="s">
        <v>29</v>
      </c>
      <c r="C1484">
        <v>13</v>
      </c>
      <c r="D1484" t="s">
        <v>128</v>
      </c>
      <c r="E1484" t="s">
        <v>171</v>
      </c>
      <c r="F1484">
        <v>13.4</v>
      </c>
      <c r="G1484">
        <v>2024</v>
      </c>
    </row>
    <row r="1485" spans="1:7" hidden="1" x14ac:dyDescent="0.2">
      <c r="A1485" t="s">
        <v>74</v>
      </c>
      <c r="B1485" t="s">
        <v>29</v>
      </c>
      <c r="C1485">
        <v>13</v>
      </c>
      <c r="D1485" t="s">
        <v>128</v>
      </c>
      <c r="E1485" t="s">
        <v>310</v>
      </c>
      <c r="F1485">
        <v>7.3</v>
      </c>
      <c r="G1485">
        <v>2024</v>
      </c>
    </row>
    <row r="1486" spans="1:7" hidden="1" x14ac:dyDescent="0.2">
      <c r="A1486" t="s">
        <v>74</v>
      </c>
      <c r="B1486" t="s">
        <v>29</v>
      </c>
      <c r="C1486">
        <v>13</v>
      </c>
      <c r="D1486" t="s">
        <v>127</v>
      </c>
      <c r="E1486" t="s">
        <v>174</v>
      </c>
      <c r="F1486">
        <v>22.5</v>
      </c>
      <c r="G1486">
        <v>2024</v>
      </c>
    </row>
    <row r="1487" spans="1:7" hidden="1" x14ac:dyDescent="0.2">
      <c r="A1487" t="s">
        <v>74</v>
      </c>
      <c r="B1487" t="s">
        <v>29</v>
      </c>
      <c r="C1487">
        <v>13</v>
      </c>
      <c r="D1487" t="s">
        <v>127</v>
      </c>
      <c r="E1487" t="s">
        <v>296</v>
      </c>
      <c r="F1487">
        <v>3.8</v>
      </c>
      <c r="G1487">
        <v>2024</v>
      </c>
    </row>
    <row r="1488" spans="1:7" hidden="1" x14ac:dyDescent="0.2">
      <c r="A1488" t="s">
        <v>74</v>
      </c>
      <c r="B1488" t="s">
        <v>29</v>
      </c>
      <c r="C1488">
        <v>13</v>
      </c>
      <c r="D1488" t="s">
        <v>129</v>
      </c>
      <c r="E1488" t="s">
        <v>170</v>
      </c>
      <c r="F1488">
        <v>21.7</v>
      </c>
      <c r="G1488">
        <v>2024</v>
      </c>
    </row>
    <row r="1489" spans="1:7" hidden="1" x14ac:dyDescent="0.2">
      <c r="A1489" t="s">
        <v>74</v>
      </c>
      <c r="B1489" t="s">
        <v>29</v>
      </c>
      <c r="C1489">
        <v>13</v>
      </c>
      <c r="D1489" t="s">
        <v>131</v>
      </c>
      <c r="E1489" t="s">
        <v>139</v>
      </c>
      <c r="F1489">
        <v>4</v>
      </c>
      <c r="G1489">
        <v>2024</v>
      </c>
    </row>
    <row r="1490" spans="1:7" hidden="1" x14ac:dyDescent="0.2">
      <c r="A1490" t="s">
        <v>74</v>
      </c>
      <c r="B1490" t="s">
        <v>29</v>
      </c>
      <c r="C1490">
        <v>13</v>
      </c>
      <c r="D1490" t="s">
        <v>130</v>
      </c>
      <c r="E1490" t="s">
        <v>408</v>
      </c>
      <c r="F1490">
        <v>17</v>
      </c>
      <c r="G1490">
        <v>2024</v>
      </c>
    </row>
    <row r="1491" spans="1:7" hidden="1" x14ac:dyDescent="0.2">
      <c r="A1491" t="s">
        <v>74</v>
      </c>
      <c r="B1491" t="s">
        <v>29</v>
      </c>
      <c r="C1491">
        <v>13</v>
      </c>
      <c r="D1491" t="s">
        <v>294</v>
      </c>
      <c r="E1491" t="s">
        <v>280</v>
      </c>
      <c r="F1491">
        <v>3.5</v>
      </c>
      <c r="G1491">
        <v>2024</v>
      </c>
    </row>
    <row r="1492" spans="1:7" hidden="1" x14ac:dyDescent="0.2">
      <c r="A1492" t="s">
        <v>75</v>
      </c>
      <c r="B1492" t="s">
        <v>36</v>
      </c>
      <c r="C1492">
        <v>13</v>
      </c>
      <c r="D1492" t="s">
        <v>125</v>
      </c>
      <c r="E1492" t="s">
        <v>185</v>
      </c>
      <c r="F1492">
        <v>26.14</v>
      </c>
      <c r="G1492">
        <v>2024</v>
      </c>
    </row>
    <row r="1493" spans="1:7" hidden="1" x14ac:dyDescent="0.2">
      <c r="A1493" t="s">
        <v>75</v>
      </c>
      <c r="B1493" t="s">
        <v>36</v>
      </c>
      <c r="C1493">
        <v>13</v>
      </c>
      <c r="D1493" t="s">
        <v>128</v>
      </c>
      <c r="E1493" t="s">
        <v>186</v>
      </c>
      <c r="F1493">
        <v>16.2</v>
      </c>
      <c r="G1493">
        <v>2024</v>
      </c>
    </row>
    <row r="1494" spans="1:7" hidden="1" x14ac:dyDescent="0.2">
      <c r="A1494" t="s">
        <v>75</v>
      </c>
      <c r="B1494" t="s">
        <v>36</v>
      </c>
      <c r="C1494">
        <v>13</v>
      </c>
      <c r="D1494" t="s">
        <v>128</v>
      </c>
      <c r="E1494" t="s">
        <v>188</v>
      </c>
      <c r="F1494">
        <v>12.8</v>
      </c>
      <c r="G1494">
        <v>2024</v>
      </c>
    </row>
    <row r="1495" spans="1:7" hidden="1" x14ac:dyDescent="0.2">
      <c r="A1495" t="s">
        <v>75</v>
      </c>
      <c r="B1495" t="s">
        <v>36</v>
      </c>
      <c r="C1495">
        <v>13</v>
      </c>
      <c r="D1495" t="s">
        <v>128</v>
      </c>
      <c r="E1495" t="s">
        <v>248</v>
      </c>
      <c r="F1495">
        <v>9.9</v>
      </c>
      <c r="G1495">
        <v>2024</v>
      </c>
    </row>
    <row r="1496" spans="1:7" hidden="1" x14ac:dyDescent="0.2">
      <c r="A1496" t="s">
        <v>75</v>
      </c>
      <c r="B1496" t="s">
        <v>36</v>
      </c>
      <c r="C1496">
        <v>13</v>
      </c>
      <c r="D1496" t="s">
        <v>127</v>
      </c>
      <c r="E1496" t="s">
        <v>343</v>
      </c>
      <c r="F1496">
        <v>6.8</v>
      </c>
      <c r="G1496">
        <v>2024</v>
      </c>
    </row>
    <row r="1497" spans="1:7" hidden="1" x14ac:dyDescent="0.2">
      <c r="A1497" t="s">
        <v>75</v>
      </c>
      <c r="B1497" t="s">
        <v>36</v>
      </c>
      <c r="C1497">
        <v>13</v>
      </c>
      <c r="D1497" t="s">
        <v>127</v>
      </c>
      <c r="E1497" t="s">
        <v>189</v>
      </c>
      <c r="F1497">
        <v>7.3</v>
      </c>
      <c r="G1497">
        <v>2024</v>
      </c>
    </row>
    <row r="1498" spans="1:7" hidden="1" x14ac:dyDescent="0.2">
      <c r="A1498" t="s">
        <v>75</v>
      </c>
      <c r="B1498" t="s">
        <v>36</v>
      </c>
      <c r="C1498">
        <v>13</v>
      </c>
      <c r="D1498" t="s">
        <v>129</v>
      </c>
      <c r="E1498" t="s">
        <v>249</v>
      </c>
      <c r="F1498">
        <v>10.3</v>
      </c>
      <c r="G1498">
        <v>2024</v>
      </c>
    </row>
    <row r="1499" spans="1:7" hidden="1" x14ac:dyDescent="0.2">
      <c r="A1499" t="s">
        <v>75</v>
      </c>
      <c r="B1499" t="s">
        <v>36</v>
      </c>
      <c r="C1499">
        <v>13</v>
      </c>
      <c r="D1499" t="s">
        <v>131</v>
      </c>
      <c r="E1499" t="s">
        <v>169</v>
      </c>
      <c r="F1499">
        <v>3</v>
      </c>
      <c r="G1499">
        <v>2024</v>
      </c>
    </row>
    <row r="1500" spans="1:7" hidden="1" x14ac:dyDescent="0.2">
      <c r="A1500" t="s">
        <v>75</v>
      </c>
      <c r="B1500" t="s">
        <v>36</v>
      </c>
      <c r="C1500">
        <v>13</v>
      </c>
      <c r="D1500" t="s">
        <v>130</v>
      </c>
      <c r="E1500" t="s">
        <v>193</v>
      </c>
      <c r="F1500">
        <v>2</v>
      </c>
      <c r="G1500">
        <v>2024</v>
      </c>
    </row>
    <row r="1501" spans="1:7" hidden="1" x14ac:dyDescent="0.2">
      <c r="A1501" t="s">
        <v>75</v>
      </c>
      <c r="B1501" t="s">
        <v>36</v>
      </c>
      <c r="C1501">
        <v>13</v>
      </c>
      <c r="D1501" t="s">
        <v>294</v>
      </c>
      <c r="E1501" t="s">
        <v>187</v>
      </c>
      <c r="F1501">
        <v>9.8000000000000007</v>
      </c>
      <c r="G1501">
        <v>2024</v>
      </c>
    </row>
    <row r="1502" spans="1:7" hidden="1" x14ac:dyDescent="0.2">
      <c r="A1502" t="s">
        <v>18</v>
      </c>
      <c r="B1502" t="s">
        <v>20</v>
      </c>
      <c r="C1502">
        <v>13</v>
      </c>
      <c r="D1502" t="s">
        <v>125</v>
      </c>
      <c r="E1502" t="s">
        <v>250</v>
      </c>
      <c r="F1502">
        <v>27.64</v>
      </c>
      <c r="G1502">
        <v>2024</v>
      </c>
    </row>
    <row r="1503" spans="1:7" hidden="1" x14ac:dyDescent="0.2">
      <c r="A1503" t="s">
        <v>18</v>
      </c>
      <c r="B1503" t="s">
        <v>20</v>
      </c>
      <c r="C1503">
        <v>13</v>
      </c>
      <c r="D1503" t="s">
        <v>128</v>
      </c>
      <c r="E1503" t="s">
        <v>295</v>
      </c>
      <c r="F1503">
        <v>23.3</v>
      </c>
      <c r="G1503">
        <v>2024</v>
      </c>
    </row>
    <row r="1504" spans="1:7" hidden="1" x14ac:dyDescent="0.2">
      <c r="A1504" t="s">
        <v>18</v>
      </c>
      <c r="B1504" t="s">
        <v>20</v>
      </c>
      <c r="C1504">
        <v>13</v>
      </c>
      <c r="D1504" t="s">
        <v>128</v>
      </c>
      <c r="E1504" t="s">
        <v>204</v>
      </c>
      <c r="F1504">
        <v>3.2</v>
      </c>
      <c r="G1504">
        <v>2024</v>
      </c>
    </row>
    <row r="1505" spans="1:7" hidden="1" x14ac:dyDescent="0.2">
      <c r="A1505" t="s">
        <v>18</v>
      </c>
      <c r="B1505" t="s">
        <v>20</v>
      </c>
      <c r="C1505">
        <v>13</v>
      </c>
      <c r="D1505" t="s">
        <v>128</v>
      </c>
      <c r="E1505" t="s">
        <v>384</v>
      </c>
      <c r="F1505">
        <v>0</v>
      </c>
      <c r="G1505">
        <v>2024</v>
      </c>
    </row>
    <row r="1506" spans="1:7" hidden="1" x14ac:dyDescent="0.2">
      <c r="A1506" t="s">
        <v>18</v>
      </c>
      <c r="B1506" t="s">
        <v>20</v>
      </c>
      <c r="C1506">
        <v>13</v>
      </c>
      <c r="D1506" t="s">
        <v>127</v>
      </c>
      <c r="E1506" t="s">
        <v>208</v>
      </c>
      <c r="F1506">
        <v>18.5</v>
      </c>
      <c r="G1506">
        <v>2024</v>
      </c>
    </row>
    <row r="1507" spans="1:7" hidden="1" x14ac:dyDescent="0.2">
      <c r="A1507" t="s">
        <v>18</v>
      </c>
      <c r="B1507" t="s">
        <v>20</v>
      </c>
      <c r="C1507">
        <v>13</v>
      </c>
      <c r="D1507" t="s">
        <v>127</v>
      </c>
      <c r="E1507" t="s">
        <v>207</v>
      </c>
      <c r="F1507">
        <v>9.4</v>
      </c>
      <c r="G1507">
        <v>2024</v>
      </c>
    </row>
    <row r="1508" spans="1:7" hidden="1" x14ac:dyDescent="0.2">
      <c r="A1508" t="s">
        <v>18</v>
      </c>
      <c r="B1508" t="s">
        <v>20</v>
      </c>
      <c r="C1508">
        <v>13</v>
      </c>
      <c r="D1508" t="s">
        <v>129</v>
      </c>
      <c r="E1508" t="s">
        <v>393</v>
      </c>
      <c r="F1508">
        <v>0</v>
      </c>
      <c r="G1508">
        <v>2024</v>
      </c>
    </row>
    <row r="1509" spans="1:7" hidden="1" x14ac:dyDescent="0.2">
      <c r="A1509" t="s">
        <v>18</v>
      </c>
      <c r="B1509" t="s">
        <v>20</v>
      </c>
      <c r="C1509">
        <v>13</v>
      </c>
      <c r="D1509" t="s">
        <v>131</v>
      </c>
      <c r="E1509" t="s">
        <v>210</v>
      </c>
      <c r="F1509">
        <v>9</v>
      </c>
      <c r="G1509">
        <v>2024</v>
      </c>
    </row>
    <row r="1510" spans="1:7" hidden="1" x14ac:dyDescent="0.2">
      <c r="A1510" t="s">
        <v>18</v>
      </c>
      <c r="B1510" t="s">
        <v>20</v>
      </c>
      <c r="C1510">
        <v>13</v>
      </c>
      <c r="D1510" t="s">
        <v>130</v>
      </c>
      <c r="E1510" t="s">
        <v>323</v>
      </c>
      <c r="F1510">
        <v>14</v>
      </c>
      <c r="G1510">
        <v>2024</v>
      </c>
    </row>
    <row r="1511" spans="1:7" hidden="1" x14ac:dyDescent="0.2">
      <c r="A1511" t="s">
        <v>18</v>
      </c>
      <c r="B1511" t="s">
        <v>20</v>
      </c>
      <c r="C1511">
        <v>13</v>
      </c>
      <c r="D1511" t="s">
        <v>293</v>
      </c>
      <c r="E1511" t="s">
        <v>175</v>
      </c>
      <c r="F1511">
        <v>8.4</v>
      </c>
      <c r="G1511">
        <v>2024</v>
      </c>
    </row>
    <row r="1512" spans="1:7" hidden="1" x14ac:dyDescent="0.2">
      <c r="A1512" t="s">
        <v>77</v>
      </c>
      <c r="B1512" t="s">
        <v>45</v>
      </c>
      <c r="C1512">
        <v>13</v>
      </c>
      <c r="D1512" t="s">
        <v>125</v>
      </c>
      <c r="E1512" t="s">
        <v>386</v>
      </c>
      <c r="F1512">
        <v>7.98</v>
      </c>
      <c r="G1512">
        <v>2024</v>
      </c>
    </row>
    <row r="1513" spans="1:7" hidden="1" x14ac:dyDescent="0.2">
      <c r="A1513" t="s">
        <v>77</v>
      </c>
      <c r="B1513" t="s">
        <v>45</v>
      </c>
      <c r="C1513">
        <v>13</v>
      </c>
      <c r="D1513" t="s">
        <v>128</v>
      </c>
      <c r="E1513" t="s">
        <v>346</v>
      </c>
      <c r="F1513">
        <v>11</v>
      </c>
      <c r="G1513">
        <v>2024</v>
      </c>
    </row>
    <row r="1514" spans="1:7" hidden="1" x14ac:dyDescent="0.2">
      <c r="A1514" t="s">
        <v>77</v>
      </c>
      <c r="B1514" t="s">
        <v>45</v>
      </c>
      <c r="C1514">
        <v>13</v>
      </c>
      <c r="D1514" t="s">
        <v>128</v>
      </c>
      <c r="E1514" t="s">
        <v>160</v>
      </c>
      <c r="F1514">
        <v>14.9</v>
      </c>
      <c r="G1514">
        <v>2024</v>
      </c>
    </row>
    <row r="1515" spans="1:7" hidden="1" x14ac:dyDescent="0.2">
      <c r="A1515" t="s">
        <v>77</v>
      </c>
      <c r="B1515" t="s">
        <v>45</v>
      </c>
      <c r="C1515">
        <v>13</v>
      </c>
      <c r="D1515" t="s">
        <v>128</v>
      </c>
      <c r="E1515" t="s">
        <v>162</v>
      </c>
      <c r="F1515">
        <v>14.5</v>
      </c>
      <c r="G1515">
        <v>2024</v>
      </c>
    </row>
    <row r="1516" spans="1:7" hidden="1" x14ac:dyDescent="0.2">
      <c r="A1516" t="s">
        <v>77</v>
      </c>
      <c r="B1516" t="s">
        <v>45</v>
      </c>
      <c r="C1516">
        <v>13</v>
      </c>
      <c r="D1516" t="s">
        <v>127</v>
      </c>
      <c r="E1516" t="s">
        <v>163</v>
      </c>
      <c r="F1516">
        <v>19.899999999999999</v>
      </c>
      <c r="G1516">
        <v>2024</v>
      </c>
    </row>
    <row r="1517" spans="1:7" hidden="1" x14ac:dyDescent="0.2">
      <c r="A1517" t="s">
        <v>77</v>
      </c>
      <c r="B1517" t="s">
        <v>45</v>
      </c>
      <c r="C1517">
        <v>13</v>
      </c>
      <c r="D1517" t="s">
        <v>127</v>
      </c>
      <c r="E1517" t="s">
        <v>164</v>
      </c>
      <c r="F1517">
        <v>5.4</v>
      </c>
      <c r="G1517">
        <v>2024</v>
      </c>
    </row>
    <row r="1518" spans="1:7" hidden="1" x14ac:dyDescent="0.2">
      <c r="A1518" t="s">
        <v>77</v>
      </c>
      <c r="B1518" t="s">
        <v>45</v>
      </c>
      <c r="C1518">
        <v>13</v>
      </c>
      <c r="D1518" t="s">
        <v>129</v>
      </c>
      <c r="E1518" t="s">
        <v>165</v>
      </c>
      <c r="F1518">
        <v>11</v>
      </c>
      <c r="G1518">
        <v>2024</v>
      </c>
    </row>
    <row r="1519" spans="1:7" hidden="1" x14ac:dyDescent="0.2">
      <c r="A1519" t="s">
        <v>77</v>
      </c>
      <c r="B1519" t="s">
        <v>45</v>
      </c>
      <c r="C1519">
        <v>13</v>
      </c>
      <c r="D1519" t="s">
        <v>131</v>
      </c>
      <c r="E1519" t="s">
        <v>166</v>
      </c>
      <c r="F1519">
        <v>7</v>
      </c>
      <c r="G1519">
        <v>2024</v>
      </c>
    </row>
    <row r="1520" spans="1:7" hidden="1" x14ac:dyDescent="0.2">
      <c r="A1520" t="s">
        <v>77</v>
      </c>
      <c r="B1520" t="s">
        <v>45</v>
      </c>
      <c r="C1520">
        <v>13</v>
      </c>
      <c r="D1520" t="s">
        <v>130</v>
      </c>
      <c r="E1520" t="s">
        <v>326</v>
      </c>
      <c r="F1520">
        <v>7</v>
      </c>
      <c r="G1520">
        <v>2024</v>
      </c>
    </row>
    <row r="1521" spans="1:7" hidden="1" x14ac:dyDescent="0.2">
      <c r="A1521" t="s">
        <v>77</v>
      </c>
      <c r="B1521" t="s">
        <v>45</v>
      </c>
      <c r="C1521">
        <v>13</v>
      </c>
      <c r="D1521" t="s">
        <v>293</v>
      </c>
      <c r="E1521" t="s">
        <v>306</v>
      </c>
      <c r="F1521">
        <v>2.2999999999999998</v>
      </c>
      <c r="G1521">
        <v>2024</v>
      </c>
    </row>
    <row r="1522" spans="1:7" hidden="1" x14ac:dyDescent="0.2">
      <c r="A1522" t="s">
        <v>35</v>
      </c>
      <c r="B1522" t="s">
        <v>49</v>
      </c>
      <c r="C1522">
        <v>13</v>
      </c>
      <c r="D1522" t="s">
        <v>125</v>
      </c>
      <c r="E1522" t="s">
        <v>345</v>
      </c>
      <c r="F1522">
        <v>2.1</v>
      </c>
      <c r="G1522">
        <v>2024</v>
      </c>
    </row>
    <row r="1523" spans="1:7" hidden="1" x14ac:dyDescent="0.2">
      <c r="A1523" t="s">
        <v>35</v>
      </c>
      <c r="B1523" t="s">
        <v>49</v>
      </c>
      <c r="C1523">
        <v>13</v>
      </c>
      <c r="D1523" t="s">
        <v>128</v>
      </c>
      <c r="E1523" t="s">
        <v>222</v>
      </c>
      <c r="F1523">
        <v>7.1</v>
      </c>
      <c r="G1523">
        <v>2024</v>
      </c>
    </row>
    <row r="1524" spans="1:7" hidden="1" x14ac:dyDescent="0.2">
      <c r="A1524" t="s">
        <v>35</v>
      </c>
      <c r="B1524" t="s">
        <v>49</v>
      </c>
      <c r="C1524">
        <v>13</v>
      </c>
      <c r="D1524" t="s">
        <v>128</v>
      </c>
      <c r="E1524" t="s">
        <v>254</v>
      </c>
      <c r="F1524">
        <v>6.7</v>
      </c>
      <c r="G1524">
        <v>2024</v>
      </c>
    </row>
    <row r="1525" spans="1:7" hidden="1" x14ac:dyDescent="0.2">
      <c r="A1525" t="s">
        <v>35</v>
      </c>
      <c r="B1525" t="s">
        <v>49</v>
      </c>
      <c r="C1525">
        <v>13</v>
      </c>
      <c r="D1525" t="s">
        <v>128</v>
      </c>
      <c r="E1525" t="s">
        <v>224</v>
      </c>
      <c r="F1525">
        <v>6.6</v>
      </c>
      <c r="G1525">
        <v>2024</v>
      </c>
    </row>
    <row r="1526" spans="1:7" hidden="1" x14ac:dyDescent="0.2">
      <c r="A1526" t="s">
        <v>35</v>
      </c>
      <c r="B1526" t="s">
        <v>49</v>
      </c>
      <c r="C1526">
        <v>13</v>
      </c>
      <c r="D1526" t="s">
        <v>127</v>
      </c>
      <c r="E1526" t="s">
        <v>255</v>
      </c>
      <c r="F1526">
        <v>26</v>
      </c>
      <c r="G1526">
        <v>2024</v>
      </c>
    </row>
    <row r="1527" spans="1:7" hidden="1" x14ac:dyDescent="0.2">
      <c r="A1527" t="s">
        <v>35</v>
      </c>
      <c r="B1527" t="s">
        <v>49</v>
      </c>
      <c r="C1527">
        <v>13</v>
      </c>
      <c r="D1527" t="s">
        <v>127</v>
      </c>
      <c r="E1527" t="s">
        <v>226</v>
      </c>
      <c r="F1527">
        <v>6</v>
      </c>
      <c r="G1527">
        <v>2024</v>
      </c>
    </row>
    <row r="1528" spans="1:7" hidden="1" x14ac:dyDescent="0.2">
      <c r="A1528" t="s">
        <v>35</v>
      </c>
      <c r="B1528" t="s">
        <v>49</v>
      </c>
      <c r="C1528">
        <v>13</v>
      </c>
      <c r="D1528" t="s">
        <v>129</v>
      </c>
      <c r="E1528" t="s">
        <v>362</v>
      </c>
      <c r="F1528">
        <v>7.2</v>
      </c>
      <c r="G1528">
        <v>2024</v>
      </c>
    </row>
    <row r="1529" spans="1:7" hidden="1" x14ac:dyDescent="0.2">
      <c r="A1529" t="s">
        <v>35</v>
      </c>
      <c r="B1529" t="s">
        <v>49</v>
      </c>
      <c r="C1529">
        <v>13</v>
      </c>
      <c r="D1529" t="s">
        <v>131</v>
      </c>
      <c r="E1529" t="s">
        <v>350</v>
      </c>
      <c r="F1529">
        <v>12</v>
      </c>
      <c r="G1529">
        <v>2024</v>
      </c>
    </row>
    <row r="1530" spans="1:7" hidden="1" x14ac:dyDescent="0.2">
      <c r="A1530" t="s">
        <v>35</v>
      </c>
      <c r="B1530" t="s">
        <v>49</v>
      </c>
      <c r="C1530">
        <v>13</v>
      </c>
      <c r="D1530" t="s">
        <v>130</v>
      </c>
      <c r="E1530" t="s">
        <v>253</v>
      </c>
      <c r="F1530">
        <v>2</v>
      </c>
      <c r="G1530">
        <v>2024</v>
      </c>
    </row>
    <row r="1531" spans="1:7" hidden="1" x14ac:dyDescent="0.2">
      <c r="A1531" t="s">
        <v>35</v>
      </c>
      <c r="B1531" t="s">
        <v>49</v>
      </c>
      <c r="C1531">
        <v>13</v>
      </c>
      <c r="D1531" t="s">
        <v>293</v>
      </c>
      <c r="E1531" t="s">
        <v>225</v>
      </c>
      <c r="F1531">
        <v>5.6</v>
      </c>
      <c r="G1531">
        <v>2024</v>
      </c>
    </row>
    <row r="1532" spans="1:7" hidden="1" x14ac:dyDescent="0.2">
      <c r="A1532" t="s">
        <v>26</v>
      </c>
      <c r="B1532" t="s">
        <v>28</v>
      </c>
      <c r="C1532">
        <v>13</v>
      </c>
      <c r="D1532" t="s">
        <v>125</v>
      </c>
      <c r="E1532" t="s">
        <v>212</v>
      </c>
      <c r="F1532">
        <v>28.42</v>
      </c>
      <c r="G1532">
        <v>2024</v>
      </c>
    </row>
    <row r="1533" spans="1:7" hidden="1" x14ac:dyDescent="0.2">
      <c r="A1533" t="s">
        <v>26</v>
      </c>
      <c r="B1533" t="s">
        <v>28</v>
      </c>
      <c r="C1533">
        <v>13</v>
      </c>
      <c r="D1533" t="s">
        <v>128</v>
      </c>
      <c r="E1533" t="s">
        <v>257</v>
      </c>
      <c r="F1533">
        <v>7.9</v>
      </c>
      <c r="G1533">
        <v>2024</v>
      </c>
    </row>
    <row r="1534" spans="1:7" hidden="1" x14ac:dyDescent="0.2">
      <c r="A1534" t="s">
        <v>26</v>
      </c>
      <c r="B1534" t="s">
        <v>28</v>
      </c>
      <c r="C1534">
        <v>13</v>
      </c>
      <c r="D1534" t="s">
        <v>128</v>
      </c>
      <c r="E1534" t="s">
        <v>219</v>
      </c>
      <c r="F1534">
        <v>8.6</v>
      </c>
      <c r="G1534">
        <v>2024</v>
      </c>
    </row>
    <row r="1535" spans="1:7" hidden="1" x14ac:dyDescent="0.2">
      <c r="A1535" t="s">
        <v>26</v>
      </c>
      <c r="B1535" t="s">
        <v>28</v>
      </c>
      <c r="C1535">
        <v>13</v>
      </c>
      <c r="D1535" t="s">
        <v>128</v>
      </c>
      <c r="E1535" t="s">
        <v>218</v>
      </c>
      <c r="F1535">
        <v>11.3</v>
      </c>
      <c r="G1535">
        <v>2024</v>
      </c>
    </row>
    <row r="1536" spans="1:7" hidden="1" x14ac:dyDescent="0.2">
      <c r="A1536" t="s">
        <v>26</v>
      </c>
      <c r="B1536" t="s">
        <v>28</v>
      </c>
      <c r="C1536">
        <v>13</v>
      </c>
      <c r="D1536" t="s">
        <v>127</v>
      </c>
      <c r="E1536" t="s">
        <v>216</v>
      </c>
      <c r="F1536">
        <v>18.7</v>
      </c>
      <c r="G1536">
        <v>2024</v>
      </c>
    </row>
    <row r="1537" spans="1:7" hidden="1" x14ac:dyDescent="0.2">
      <c r="A1537" t="s">
        <v>26</v>
      </c>
      <c r="B1537" t="s">
        <v>28</v>
      </c>
      <c r="C1537">
        <v>13</v>
      </c>
      <c r="D1537" t="s">
        <v>127</v>
      </c>
      <c r="E1537" t="s">
        <v>256</v>
      </c>
      <c r="F1537">
        <v>17.8</v>
      </c>
      <c r="G1537">
        <v>2024</v>
      </c>
    </row>
    <row r="1538" spans="1:7" hidden="1" x14ac:dyDescent="0.2">
      <c r="A1538" t="s">
        <v>26</v>
      </c>
      <c r="B1538" t="s">
        <v>28</v>
      </c>
      <c r="C1538">
        <v>13</v>
      </c>
      <c r="D1538" t="s">
        <v>129</v>
      </c>
      <c r="E1538" t="s">
        <v>196</v>
      </c>
      <c r="F1538">
        <v>15.9</v>
      </c>
      <c r="G1538">
        <v>2024</v>
      </c>
    </row>
    <row r="1539" spans="1:7" hidden="1" x14ac:dyDescent="0.2">
      <c r="A1539" t="s">
        <v>26</v>
      </c>
      <c r="B1539" t="s">
        <v>28</v>
      </c>
      <c r="C1539">
        <v>13</v>
      </c>
      <c r="D1539" t="s">
        <v>131</v>
      </c>
      <c r="E1539" t="s">
        <v>192</v>
      </c>
      <c r="F1539">
        <v>10</v>
      </c>
      <c r="G1539">
        <v>2024</v>
      </c>
    </row>
    <row r="1540" spans="1:7" hidden="1" x14ac:dyDescent="0.2">
      <c r="A1540" t="s">
        <v>26</v>
      </c>
      <c r="B1540" t="s">
        <v>28</v>
      </c>
      <c r="C1540">
        <v>13</v>
      </c>
      <c r="D1540" t="s">
        <v>130</v>
      </c>
      <c r="E1540" t="s">
        <v>167</v>
      </c>
      <c r="F1540">
        <v>1</v>
      </c>
      <c r="G1540">
        <v>2024</v>
      </c>
    </row>
    <row r="1541" spans="1:7" hidden="1" x14ac:dyDescent="0.2">
      <c r="A1541" t="s">
        <v>26</v>
      </c>
      <c r="B1541" t="s">
        <v>28</v>
      </c>
      <c r="C1541">
        <v>13</v>
      </c>
      <c r="D1541" t="s">
        <v>293</v>
      </c>
      <c r="E1541" t="s">
        <v>217</v>
      </c>
      <c r="F1541">
        <v>8.3000000000000007</v>
      </c>
      <c r="G1541">
        <v>2024</v>
      </c>
    </row>
    <row r="1542" spans="1:7" hidden="1" x14ac:dyDescent="0.2">
      <c r="A1542" t="s">
        <v>76</v>
      </c>
      <c r="B1542" t="s">
        <v>32</v>
      </c>
      <c r="C1542">
        <v>13</v>
      </c>
      <c r="D1542" t="s">
        <v>125</v>
      </c>
      <c r="E1542" t="s">
        <v>230</v>
      </c>
      <c r="F1542">
        <v>19.260000000000002</v>
      </c>
      <c r="G1542">
        <v>2024</v>
      </c>
    </row>
    <row r="1543" spans="1:7" hidden="1" x14ac:dyDescent="0.2">
      <c r="A1543" t="s">
        <v>76</v>
      </c>
      <c r="B1543" t="s">
        <v>32</v>
      </c>
      <c r="C1543">
        <v>13</v>
      </c>
      <c r="D1543" t="s">
        <v>128</v>
      </c>
      <c r="E1543" t="s">
        <v>303</v>
      </c>
      <c r="F1543">
        <v>12.7</v>
      </c>
      <c r="G1543">
        <v>2024</v>
      </c>
    </row>
    <row r="1544" spans="1:7" hidden="1" x14ac:dyDescent="0.2">
      <c r="A1544" t="s">
        <v>76</v>
      </c>
      <c r="B1544" t="s">
        <v>32</v>
      </c>
      <c r="C1544">
        <v>13</v>
      </c>
      <c r="D1544" t="s">
        <v>128</v>
      </c>
      <c r="E1544" t="s">
        <v>232</v>
      </c>
      <c r="F1544">
        <v>15.9</v>
      </c>
      <c r="G1544">
        <v>2024</v>
      </c>
    </row>
    <row r="1545" spans="1:7" hidden="1" x14ac:dyDescent="0.2">
      <c r="A1545" t="s">
        <v>76</v>
      </c>
      <c r="B1545" t="s">
        <v>32</v>
      </c>
      <c r="C1545">
        <v>13</v>
      </c>
      <c r="D1545" t="s">
        <v>128</v>
      </c>
      <c r="E1545" t="s">
        <v>231</v>
      </c>
      <c r="F1545">
        <v>17.600000000000001</v>
      </c>
      <c r="G1545">
        <v>2024</v>
      </c>
    </row>
    <row r="1546" spans="1:7" hidden="1" x14ac:dyDescent="0.2">
      <c r="A1546" t="s">
        <v>76</v>
      </c>
      <c r="B1546" t="s">
        <v>32</v>
      </c>
      <c r="C1546">
        <v>13</v>
      </c>
      <c r="D1546" t="s">
        <v>127</v>
      </c>
      <c r="E1546" t="s">
        <v>234</v>
      </c>
      <c r="F1546">
        <v>10.9</v>
      </c>
      <c r="G1546">
        <v>2024</v>
      </c>
    </row>
    <row r="1547" spans="1:7" hidden="1" x14ac:dyDescent="0.2">
      <c r="A1547" t="s">
        <v>76</v>
      </c>
      <c r="B1547" t="s">
        <v>32</v>
      </c>
      <c r="C1547">
        <v>13</v>
      </c>
      <c r="D1547" t="s">
        <v>127</v>
      </c>
      <c r="E1547" t="s">
        <v>278</v>
      </c>
      <c r="F1547">
        <v>8.4</v>
      </c>
      <c r="G1547">
        <v>2024</v>
      </c>
    </row>
    <row r="1548" spans="1:7" hidden="1" x14ac:dyDescent="0.2">
      <c r="A1548" t="s">
        <v>76</v>
      </c>
      <c r="B1548" t="s">
        <v>32</v>
      </c>
      <c r="C1548">
        <v>13</v>
      </c>
      <c r="D1548" t="s">
        <v>129</v>
      </c>
      <c r="E1548" t="s">
        <v>236</v>
      </c>
      <c r="F1548">
        <v>1.2</v>
      </c>
      <c r="G1548">
        <v>2024</v>
      </c>
    </row>
    <row r="1549" spans="1:7" hidden="1" x14ac:dyDescent="0.2">
      <c r="A1549" t="s">
        <v>76</v>
      </c>
      <c r="B1549" t="s">
        <v>32</v>
      </c>
      <c r="C1549">
        <v>13</v>
      </c>
      <c r="D1549" t="s">
        <v>131</v>
      </c>
      <c r="E1549" t="s">
        <v>374</v>
      </c>
      <c r="F1549">
        <v>11</v>
      </c>
      <c r="G1549">
        <v>2024</v>
      </c>
    </row>
    <row r="1550" spans="1:7" hidden="1" x14ac:dyDescent="0.2">
      <c r="A1550" t="s">
        <v>76</v>
      </c>
      <c r="B1550" t="s">
        <v>32</v>
      </c>
      <c r="C1550">
        <v>13</v>
      </c>
      <c r="D1550" t="s">
        <v>130</v>
      </c>
      <c r="E1550" t="s">
        <v>385</v>
      </c>
      <c r="F1550">
        <v>8</v>
      </c>
      <c r="G1550">
        <v>2024</v>
      </c>
    </row>
    <row r="1551" spans="1:7" hidden="1" x14ac:dyDescent="0.2">
      <c r="A1551" t="s">
        <v>76</v>
      </c>
      <c r="B1551" t="s">
        <v>32</v>
      </c>
      <c r="C1551">
        <v>13</v>
      </c>
      <c r="D1551" t="s">
        <v>293</v>
      </c>
      <c r="E1551" t="s">
        <v>235</v>
      </c>
      <c r="F1551">
        <v>8.3000000000000007</v>
      </c>
      <c r="G1551">
        <v>2024</v>
      </c>
    </row>
    <row r="1552" spans="1:7" hidden="1" x14ac:dyDescent="0.2">
      <c r="A1552" t="s">
        <v>46</v>
      </c>
      <c r="B1552" t="s">
        <v>47</v>
      </c>
      <c r="C1552">
        <v>13</v>
      </c>
      <c r="D1552" t="s">
        <v>125</v>
      </c>
      <c r="E1552" t="s">
        <v>368</v>
      </c>
      <c r="F1552">
        <v>12.16</v>
      </c>
      <c r="G1552">
        <v>2024</v>
      </c>
    </row>
    <row r="1553" spans="1:7" hidden="1" x14ac:dyDescent="0.2">
      <c r="A1553" t="s">
        <v>46</v>
      </c>
      <c r="B1553" t="s">
        <v>47</v>
      </c>
      <c r="C1553">
        <v>13</v>
      </c>
      <c r="D1553" t="s">
        <v>128</v>
      </c>
      <c r="E1553" t="s">
        <v>179</v>
      </c>
      <c r="F1553">
        <v>14.8</v>
      </c>
      <c r="G1553">
        <v>2024</v>
      </c>
    </row>
    <row r="1554" spans="1:7" hidden="1" x14ac:dyDescent="0.2">
      <c r="A1554" t="s">
        <v>46</v>
      </c>
      <c r="B1554" t="s">
        <v>47</v>
      </c>
      <c r="C1554">
        <v>13</v>
      </c>
      <c r="D1554" t="s">
        <v>128</v>
      </c>
      <c r="E1554" t="s">
        <v>177</v>
      </c>
      <c r="F1554">
        <v>4.9000000000000004</v>
      </c>
      <c r="G1554">
        <v>2024</v>
      </c>
    </row>
    <row r="1555" spans="1:7" hidden="1" x14ac:dyDescent="0.2">
      <c r="A1555" t="s">
        <v>46</v>
      </c>
      <c r="B1555" t="s">
        <v>47</v>
      </c>
      <c r="C1555">
        <v>13</v>
      </c>
      <c r="D1555" t="s">
        <v>128</v>
      </c>
      <c r="E1555" t="s">
        <v>178</v>
      </c>
      <c r="F1555">
        <v>9.3000000000000007</v>
      </c>
      <c r="G1555">
        <v>2024</v>
      </c>
    </row>
    <row r="1556" spans="1:7" hidden="1" x14ac:dyDescent="0.2">
      <c r="A1556" t="s">
        <v>46</v>
      </c>
      <c r="B1556" t="s">
        <v>47</v>
      </c>
      <c r="C1556">
        <v>13</v>
      </c>
      <c r="D1556" t="s">
        <v>127</v>
      </c>
      <c r="E1556" t="s">
        <v>318</v>
      </c>
      <c r="F1556">
        <v>19.8</v>
      </c>
      <c r="G1556">
        <v>2024</v>
      </c>
    </row>
    <row r="1557" spans="1:7" hidden="1" x14ac:dyDescent="0.2">
      <c r="A1557" t="s">
        <v>46</v>
      </c>
      <c r="B1557" t="s">
        <v>47</v>
      </c>
      <c r="C1557">
        <v>13</v>
      </c>
      <c r="D1557" t="s">
        <v>127</v>
      </c>
      <c r="E1557" t="s">
        <v>180</v>
      </c>
      <c r="F1557">
        <v>19.7</v>
      </c>
      <c r="G1557">
        <v>2024</v>
      </c>
    </row>
    <row r="1558" spans="1:7" hidden="1" x14ac:dyDescent="0.2">
      <c r="A1558" t="s">
        <v>46</v>
      </c>
      <c r="B1558" t="s">
        <v>47</v>
      </c>
      <c r="C1558">
        <v>13</v>
      </c>
      <c r="D1558" t="s">
        <v>129</v>
      </c>
      <c r="E1558" t="s">
        <v>182</v>
      </c>
      <c r="F1558">
        <v>25.2</v>
      </c>
      <c r="G1558">
        <v>2024</v>
      </c>
    </row>
    <row r="1559" spans="1:7" hidden="1" x14ac:dyDescent="0.2">
      <c r="A1559" t="s">
        <v>46</v>
      </c>
      <c r="B1559" t="s">
        <v>47</v>
      </c>
      <c r="C1559">
        <v>13</v>
      </c>
      <c r="D1559" t="s">
        <v>131</v>
      </c>
      <c r="E1559" t="s">
        <v>396</v>
      </c>
      <c r="F1559">
        <v>13</v>
      </c>
      <c r="G1559">
        <v>2024</v>
      </c>
    </row>
    <row r="1560" spans="1:7" hidden="1" x14ac:dyDescent="0.2">
      <c r="A1560" t="s">
        <v>46</v>
      </c>
      <c r="B1560" t="s">
        <v>47</v>
      </c>
      <c r="C1560">
        <v>13</v>
      </c>
      <c r="D1560" t="s">
        <v>130</v>
      </c>
      <c r="E1560" t="s">
        <v>287</v>
      </c>
      <c r="F1560">
        <v>2</v>
      </c>
      <c r="G1560">
        <v>2024</v>
      </c>
    </row>
    <row r="1561" spans="1:7" hidden="1" x14ac:dyDescent="0.2">
      <c r="A1561" t="s">
        <v>46</v>
      </c>
      <c r="B1561" t="s">
        <v>47</v>
      </c>
      <c r="C1561">
        <v>13</v>
      </c>
      <c r="D1561" t="s">
        <v>293</v>
      </c>
      <c r="E1561" t="s">
        <v>181</v>
      </c>
      <c r="F1561">
        <v>13.9</v>
      </c>
      <c r="G1561">
        <v>2024</v>
      </c>
    </row>
    <row r="1562" spans="1:7" hidden="1" x14ac:dyDescent="0.2">
      <c r="A1562" t="s">
        <v>14</v>
      </c>
      <c r="B1562" t="s">
        <v>16</v>
      </c>
      <c r="C1562">
        <v>14</v>
      </c>
      <c r="D1562" t="s">
        <v>127</v>
      </c>
      <c r="E1562" t="s">
        <v>348</v>
      </c>
      <c r="F1562">
        <v>16.8</v>
      </c>
      <c r="G1562">
        <v>2024</v>
      </c>
    </row>
    <row r="1563" spans="1:7" hidden="1" x14ac:dyDescent="0.2">
      <c r="A1563" t="s">
        <v>14</v>
      </c>
      <c r="B1563" t="s">
        <v>16</v>
      </c>
      <c r="C1563">
        <v>14</v>
      </c>
      <c r="D1563" t="s">
        <v>127</v>
      </c>
      <c r="E1563" t="s">
        <v>398</v>
      </c>
      <c r="F1563">
        <v>9.9</v>
      </c>
      <c r="G1563">
        <v>2024</v>
      </c>
    </row>
    <row r="1564" spans="1:7" hidden="1" x14ac:dyDescent="0.2">
      <c r="A1564" t="s">
        <v>14</v>
      </c>
      <c r="B1564" t="s">
        <v>16</v>
      </c>
      <c r="C1564">
        <v>14</v>
      </c>
      <c r="D1564" t="s">
        <v>125</v>
      </c>
      <c r="E1564" t="s">
        <v>241</v>
      </c>
      <c r="F1564">
        <v>19</v>
      </c>
      <c r="G1564">
        <v>2024</v>
      </c>
    </row>
    <row r="1565" spans="1:7" hidden="1" x14ac:dyDescent="0.2">
      <c r="A1565" t="s">
        <v>14</v>
      </c>
      <c r="B1565" t="s">
        <v>16</v>
      </c>
      <c r="C1565">
        <v>14</v>
      </c>
      <c r="D1565" t="s">
        <v>128</v>
      </c>
      <c r="E1565" t="s">
        <v>132</v>
      </c>
      <c r="F1565">
        <v>0</v>
      </c>
      <c r="G1565">
        <v>2024</v>
      </c>
    </row>
    <row r="1566" spans="1:7" hidden="1" x14ac:dyDescent="0.2">
      <c r="A1566" t="s">
        <v>14</v>
      </c>
      <c r="B1566" t="s">
        <v>16</v>
      </c>
      <c r="C1566">
        <v>14</v>
      </c>
      <c r="D1566" t="s">
        <v>128</v>
      </c>
      <c r="E1566" t="s">
        <v>397</v>
      </c>
      <c r="F1566">
        <v>2.4</v>
      </c>
      <c r="G1566">
        <v>2024</v>
      </c>
    </row>
    <row r="1567" spans="1:7" hidden="1" x14ac:dyDescent="0.2">
      <c r="A1567" t="s">
        <v>14</v>
      </c>
      <c r="B1567" t="s">
        <v>16</v>
      </c>
      <c r="C1567">
        <v>14</v>
      </c>
      <c r="D1567" t="s">
        <v>128</v>
      </c>
      <c r="E1567" t="s">
        <v>133</v>
      </c>
      <c r="F1567">
        <v>23.1</v>
      </c>
      <c r="G1567">
        <v>2024</v>
      </c>
    </row>
    <row r="1568" spans="1:7" hidden="1" x14ac:dyDescent="0.2">
      <c r="A1568" t="s">
        <v>14</v>
      </c>
      <c r="B1568" t="s">
        <v>16</v>
      </c>
      <c r="C1568">
        <v>14</v>
      </c>
      <c r="D1568" t="s">
        <v>129</v>
      </c>
      <c r="E1568" t="s">
        <v>379</v>
      </c>
      <c r="F1568">
        <v>11.9</v>
      </c>
      <c r="G1568">
        <v>2024</v>
      </c>
    </row>
    <row r="1569" spans="1:7" hidden="1" x14ac:dyDescent="0.2">
      <c r="A1569" t="s">
        <v>14</v>
      </c>
      <c r="B1569" t="s">
        <v>16</v>
      </c>
      <c r="C1569">
        <v>14</v>
      </c>
      <c r="D1569" t="s">
        <v>131</v>
      </c>
      <c r="E1569" t="s">
        <v>183</v>
      </c>
      <c r="F1569">
        <v>2</v>
      </c>
      <c r="G1569">
        <v>2024</v>
      </c>
    </row>
    <row r="1570" spans="1:7" hidden="1" x14ac:dyDescent="0.2">
      <c r="A1570" t="s">
        <v>14</v>
      </c>
      <c r="B1570" t="s">
        <v>16</v>
      </c>
      <c r="C1570">
        <v>14</v>
      </c>
      <c r="D1570" t="s">
        <v>130</v>
      </c>
      <c r="E1570" t="s">
        <v>354</v>
      </c>
      <c r="F1570">
        <v>3</v>
      </c>
      <c r="G1570">
        <v>2024</v>
      </c>
    </row>
    <row r="1571" spans="1:7" hidden="1" x14ac:dyDescent="0.2">
      <c r="A1571" t="s">
        <v>14</v>
      </c>
      <c r="B1571" t="s">
        <v>16</v>
      </c>
      <c r="C1571">
        <v>14</v>
      </c>
      <c r="D1571" t="s">
        <v>297</v>
      </c>
      <c r="E1571" t="s">
        <v>137</v>
      </c>
      <c r="F1571">
        <v>10.5</v>
      </c>
      <c r="G1571">
        <v>2024</v>
      </c>
    </row>
    <row r="1572" spans="1:7" hidden="1" x14ac:dyDescent="0.2">
      <c r="A1572" t="s">
        <v>77</v>
      </c>
      <c r="B1572" t="s">
        <v>45</v>
      </c>
      <c r="C1572">
        <v>14</v>
      </c>
      <c r="D1572" t="s">
        <v>125</v>
      </c>
      <c r="E1572" t="s">
        <v>386</v>
      </c>
      <c r="F1572">
        <v>13.72</v>
      </c>
      <c r="G1572">
        <v>2024</v>
      </c>
    </row>
    <row r="1573" spans="1:7" hidden="1" x14ac:dyDescent="0.2">
      <c r="A1573" t="s">
        <v>77</v>
      </c>
      <c r="B1573" t="s">
        <v>45</v>
      </c>
      <c r="C1573">
        <v>14</v>
      </c>
      <c r="D1573" t="s">
        <v>128</v>
      </c>
      <c r="E1573" t="s">
        <v>346</v>
      </c>
      <c r="F1573">
        <v>11.2</v>
      </c>
      <c r="G1573">
        <v>2024</v>
      </c>
    </row>
    <row r="1574" spans="1:7" hidden="1" x14ac:dyDescent="0.2">
      <c r="A1574" t="s">
        <v>77</v>
      </c>
      <c r="B1574" t="s">
        <v>45</v>
      </c>
      <c r="C1574">
        <v>14</v>
      </c>
      <c r="D1574" t="s">
        <v>128</v>
      </c>
      <c r="E1574" t="s">
        <v>305</v>
      </c>
      <c r="F1574">
        <v>35.299999999999997</v>
      </c>
      <c r="G1574">
        <v>2024</v>
      </c>
    </row>
    <row r="1575" spans="1:7" hidden="1" x14ac:dyDescent="0.2">
      <c r="A1575" t="s">
        <v>77</v>
      </c>
      <c r="B1575" t="s">
        <v>45</v>
      </c>
      <c r="C1575">
        <v>14</v>
      </c>
      <c r="D1575" t="s">
        <v>128</v>
      </c>
      <c r="E1575" t="s">
        <v>162</v>
      </c>
      <c r="F1575">
        <v>6.9</v>
      </c>
      <c r="G1575">
        <v>2024</v>
      </c>
    </row>
    <row r="1576" spans="1:7" hidden="1" x14ac:dyDescent="0.2">
      <c r="A1576" t="s">
        <v>77</v>
      </c>
      <c r="B1576" t="s">
        <v>45</v>
      </c>
      <c r="C1576">
        <v>14</v>
      </c>
      <c r="D1576" t="s">
        <v>127</v>
      </c>
      <c r="E1576" t="s">
        <v>252</v>
      </c>
      <c r="F1576">
        <v>11.3</v>
      </c>
      <c r="G1576">
        <v>2024</v>
      </c>
    </row>
    <row r="1577" spans="1:7" hidden="1" x14ac:dyDescent="0.2">
      <c r="A1577" t="s">
        <v>77</v>
      </c>
      <c r="B1577" t="s">
        <v>45</v>
      </c>
      <c r="C1577">
        <v>14</v>
      </c>
      <c r="D1577" t="s">
        <v>127</v>
      </c>
      <c r="E1577" t="s">
        <v>306</v>
      </c>
      <c r="F1577">
        <v>18.7</v>
      </c>
      <c r="G1577">
        <v>2024</v>
      </c>
    </row>
    <row r="1578" spans="1:7" hidden="1" x14ac:dyDescent="0.2">
      <c r="A1578" t="s">
        <v>77</v>
      </c>
      <c r="B1578" t="s">
        <v>45</v>
      </c>
      <c r="C1578">
        <v>14</v>
      </c>
      <c r="D1578" t="s">
        <v>129</v>
      </c>
      <c r="E1578" t="s">
        <v>213</v>
      </c>
      <c r="F1578">
        <v>5.3</v>
      </c>
      <c r="G1578">
        <v>2024</v>
      </c>
    </row>
    <row r="1579" spans="1:7" hidden="1" x14ac:dyDescent="0.2">
      <c r="A1579" t="s">
        <v>77</v>
      </c>
      <c r="B1579" t="s">
        <v>45</v>
      </c>
      <c r="C1579">
        <v>14</v>
      </c>
      <c r="D1579" t="s">
        <v>131</v>
      </c>
      <c r="E1579" t="s">
        <v>158</v>
      </c>
      <c r="F1579">
        <v>15</v>
      </c>
      <c r="G1579">
        <v>2024</v>
      </c>
    </row>
    <row r="1580" spans="1:7" hidden="1" x14ac:dyDescent="0.2">
      <c r="A1580" t="s">
        <v>77</v>
      </c>
      <c r="B1580" t="s">
        <v>45</v>
      </c>
      <c r="C1580">
        <v>14</v>
      </c>
      <c r="D1580" t="s">
        <v>130</v>
      </c>
      <c r="E1580" t="s">
        <v>302</v>
      </c>
      <c r="F1580">
        <v>10</v>
      </c>
      <c r="G1580">
        <v>2024</v>
      </c>
    </row>
    <row r="1581" spans="1:7" hidden="1" x14ac:dyDescent="0.2">
      <c r="A1581" t="s">
        <v>77</v>
      </c>
      <c r="B1581" t="s">
        <v>45</v>
      </c>
      <c r="C1581">
        <v>14</v>
      </c>
      <c r="D1581" t="s">
        <v>293</v>
      </c>
      <c r="E1581" t="s">
        <v>164</v>
      </c>
      <c r="F1581">
        <v>7.1</v>
      </c>
      <c r="G1581">
        <v>2024</v>
      </c>
    </row>
    <row r="1582" spans="1:7" hidden="1" x14ac:dyDescent="0.2">
      <c r="A1582" t="s">
        <v>42</v>
      </c>
      <c r="B1582" t="s">
        <v>17</v>
      </c>
      <c r="C1582">
        <v>14</v>
      </c>
      <c r="D1582" t="s">
        <v>125</v>
      </c>
      <c r="E1582" t="s">
        <v>150</v>
      </c>
      <c r="F1582">
        <v>14.1</v>
      </c>
      <c r="G1582">
        <v>2024</v>
      </c>
    </row>
    <row r="1583" spans="1:7" hidden="1" x14ac:dyDescent="0.2">
      <c r="A1583" t="s">
        <v>42</v>
      </c>
      <c r="B1583" t="s">
        <v>17</v>
      </c>
      <c r="C1583">
        <v>14</v>
      </c>
      <c r="D1583" t="s">
        <v>128</v>
      </c>
      <c r="E1583" t="s">
        <v>151</v>
      </c>
      <c r="F1583">
        <v>21.4</v>
      </c>
      <c r="G1583">
        <v>2024</v>
      </c>
    </row>
    <row r="1584" spans="1:7" hidden="1" x14ac:dyDescent="0.2">
      <c r="A1584" t="s">
        <v>42</v>
      </c>
      <c r="B1584" t="s">
        <v>17</v>
      </c>
      <c r="C1584">
        <v>14</v>
      </c>
      <c r="D1584" t="s">
        <v>128</v>
      </c>
      <c r="E1584" t="s">
        <v>153</v>
      </c>
      <c r="F1584">
        <v>19.100000000000001</v>
      </c>
      <c r="G1584">
        <v>2024</v>
      </c>
    </row>
    <row r="1585" spans="1:7" hidden="1" x14ac:dyDescent="0.2">
      <c r="A1585" t="s">
        <v>42</v>
      </c>
      <c r="B1585" t="s">
        <v>17</v>
      </c>
      <c r="C1585">
        <v>14</v>
      </c>
      <c r="D1585" t="s">
        <v>128</v>
      </c>
      <c r="E1585" t="s">
        <v>152</v>
      </c>
      <c r="F1585">
        <v>8.9</v>
      </c>
      <c r="G1585">
        <v>2024</v>
      </c>
    </row>
    <row r="1586" spans="1:7" hidden="1" x14ac:dyDescent="0.2">
      <c r="A1586" t="s">
        <v>42</v>
      </c>
      <c r="B1586" t="s">
        <v>17</v>
      </c>
      <c r="C1586">
        <v>14</v>
      </c>
      <c r="D1586" t="s">
        <v>127</v>
      </c>
      <c r="E1586" t="s">
        <v>314</v>
      </c>
      <c r="F1586">
        <v>21.3</v>
      </c>
      <c r="G1586">
        <v>2024</v>
      </c>
    </row>
    <row r="1587" spans="1:7" hidden="1" x14ac:dyDescent="0.2">
      <c r="A1587" t="s">
        <v>42</v>
      </c>
      <c r="B1587" t="s">
        <v>17</v>
      </c>
      <c r="C1587">
        <v>14</v>
      </c>
      <c r="D1587" t="s">
        <v>127</v>
      </c>
      <c r="E1587" t="s">
        <v>361</v>
      </c>
      <c r="F1587">
        <v>4.8</v>
      </c>
      <c r="G1587">
        <v>2024</v>
      </c>
    </row>
    <row r="1588" spans="1:7" hidden="1" x14ac:dyDescent="0.2">
      <c r="A1588" t="s">
        <v>42</v>
      </c>
      <c r="B1588" t="s">
        <v>17</v>
      </c>
      <c r="C1588">
        <v>14</v>
      </c>
      <c r="D1588" t="s">
        <v>129</v>
      </c>
      <c r="E1588" t="s">
        <v>156</v>
      </c>
      <c r="F1588">
        <v>7.9</v>
      </c>
      <c r="G1588">
        <v>2024</v>
      </c>
    </row>
    <row r="1589" spans="1:7" hidden="1" x14ac:dyDescent="0.2">
      <c r="A1589" t="s">
        <v>42</v>
      </c>
      <c r="B1589" t="s">
        <v>17</v>
      </c>
      <c r="C1589">
        <v>14</v>
      </c>
      <c r="D1589" t="s">
        <v>131</v>
      </c>
      <c r="E1589" t="s">
        <v>339</v>
      </c>
      <c r="F1589">
        <v>4</v>
      </c>
      <c r="G1589">
        <v>2024</v>
      </c>
    </row>
    <row r="1590" spans="1:7" hidden="1" x14ac:dyDescent="0.2">
      <c r="A1590" t="s">
        <v>42</v>
      </c>
      <c r="B1590" t="s">
        <v>17</v>
      </c>
      <c r="C1590">
        <v>14</v>
      </c>
      <c r="D1590" t="s">
        <v>130</v>
      </c>
      <c r="E1590" t="s">
        <v>273</v>
      </c>
      <c r="F1590">
        <v>11</v>
      </c>
      <c r="G1590">
        <v>2024</v>
      </c>
    </row>
    <row r="1591" spans="1:7" hidden="1" x14ac:dyDescent="0.2">
      <c r="A1591" t="s">
        <v>42</v>
      </c>
      <c r="B1591" t="s">
        <v>17</v>
      </c>
      <c r="C1591">
        <v>14</v>
      </c>
      <c r="D1591" t="s">
        <v>293</v>
      </c>
      <c r="E1591" t="s">
        <v>313</v>
      </c>
      <c r="F1591">
        <v>3.4</v>
      </c>
      <c r="G1591">
        <v>2024</v>
      </c>
    </row>
    <row r="1592" spans="1:7" hidden="1" x14ac:dyDescent="0.2">
      <c r="A1592" t="s">
        <v>31</v>
      </c>
      <c r="B1592" t="s">
        <v>33</v>
      </c>
      <c r="C1592">
        <v>14</v>
      </c>
      <c r="D1592" t="s">
        <v>125</v>
      </c>
      <c r="E1592" t="s">
        <v>399</v>
      </c>
      <c r="F1592">
        <v>7.02</v>
      </c>
      <c r="G1592">
        <v>2024</v>
      </c>
    </row>
    <row r="1593" spans="1:7" hidden="1" x14ac:dyDescent="0.2">
      <c r="A1593" t="s">
        <v>31</v>
      </c>
      <c r="B1593" t="s">
        <v>33</v>
      </c>
      <c r="C1593">
        <v>14</v>
      </c>
      <c r="D1593" t="s">
        <v>128</v>
      </c>
      <c r="E1593" t="s">
        <v>292</v>
      </c>
      <c r="F1593">
        <v>24.5</v>
      </c>
      <c r="G1593">
        <v>2024</v>
      </c>
    </row>
    <row r="1594" spans="1:7" hidden="1" x14ac:dyDescent="0.2">
      <c r="A1594" t="s">
        <v>31</v>
      </c>
      <c r="B1594" t="s">
        <v>33</v>
      </c>
      <c r="C1594">
        <v>14</v>
      </c>
      <c r="D1594" t="s">
        <v>128</v>
      </c>
      <c r="E1594" t="s">
        <v>201</v>
      </c>
      <c r="F1594">
        <v>12.5</v>
      </c>
      <c r="G1594">
        <v>2024</v>
      </c>
    </row>
    <row r="1595" spans="1:7" hidden="1" x14ac:dyDescent="0.2">
      <c r="A1595" t="s">
        <v>31</v>
      </c>
      <c r="B1595" t="s">
        <v>33</v>
      </c>
      <c r="C1595">
        <v>14</v>
      </c>
      <c r="D1595" t="s">
        <v>128</v>
      </c>
      <c r="E1595" t="s">
        <v>276</v>
      </c>
      <c r="F1595">
        <v>3.3</v>
      </c>
      <c r="G1595">
        <v>2024</v>
      </c>
    </row>
    <row r="1596" spans="1:7" hidden="1" x14ac:dyDescent="0.2">
      <c r="A1596" t="s">
        <v>31</v>
      </c>
      <c r="B1596" t="s">
        <v>33</v>
      </c>
      <c r="C1596">
        <v>14</v>
      </c>
      <c r="D1596" t="s">
        <v>127</v>
      </c>
      <c r="E1596" t="s">
        <v>197</v>
      </c>
      <c r="F1596">
        <v>10.4</v>
      </c>
      <c r="G1596">
        <v>2024</v>
      </c>
    </row>
    <row r="1597" spans="1:7" hidden="1" x14ac:dyDescent="0.2">
      <c r="A1597" t="s">
        <v>31</v>
      </c>
      <c r="B1597" t="s">
        <v>33</v>
      </c>
      <c r="C1597">
        <v>14</v>
      </c>
      <c r="D1597" t="s">
        <v>127</v>
      </c>
      <c r="E1597" t="s">
        <v>400</v>
      </c>
      <c r="F1597">
        <v>0.3</v>
      </c>
      <c r="G1597">
        <v>2024</v>
      </c>
    </row>
    <row r="1598" spans="1:7" hidden="1" x14ac:dyDescent="0.2">
      <c r="A1598" t="s">
        <v>31</v>
      </c>
      <c r="B1598" t="s">
        <v>33</v>
      </c>
      <c r="C1598">
        <v>14</v>
      </c>
      <c r="D1598" t="s">
        <v>129</v>
      </c>
      <c r="E1598" t="s">
        <v>401</v>
      </c>
      <c r="F1598">
        <v>4.5999999999999996</v>
      </c>
      <c r="G1598">
        <v>2024</v>
      </c>
    </row>
    <row r="1599" spans="1:7" hidden="1" x14ac:dyDescent="0.2">
      <c r="A1599" t="s">
        <v>31</v>
      </c>
      <c r="B1599" t="s">
        <v>33</v>
      </c>
      <c r="C1599">
        <v>14</v>
      </c>
      <c r="D1599" t="s">
        <v>131</v>
      </c>
      <c r="E1599" t="s">
        <v>357</v>
      </c>
      <c r="F1599">
        <v>5</v>
      </c>
      <c r="G1599">
        <v>2024</v>
      </c>
    </row>
    <row r="1600" spans="1:7" hidden="1" x14ac:dyDescent="0.2">
      <c r="A1600" t="s">
        <v>31</v>
      </c>
      <c r="B1600" t="s">
        <v>33</v>
      </c>
      <c r="C1600">
        <v>14</v>
      </c>
      <c r="D1600" t="s">
        <v>130</v>
      </c>
      <c r="E1600" t="s">
        <v>229</v>
      </c>
      <c r="F1600">
        <v>9</v>
      </c>
      <c r="G1600">
        <v>2024</v>
      </c>
    </row>
    <row r="1601" spans="1:7" hidden="1" x14ac:dyDescent="0.2">
      <c r="A1601" t="s">
        <v>31</v>
      </c>
      <c r="B1601" t="s">
        <v>33</v>
      </c>
      <c r="C1601">
        <v>14</v>
      </c>
      <c r="D1601" t="s">
        <v>294</v>
      </c>
      <c r="E1601" t="s">
        <v>246</v>
      </c>
      <c r="F1601">
        <v>0</v>
      </c>
      <c r="G1601">
        <v>2024</v>
      </c>
    </row>
    <row r="1602" spans="1:7" hidden="1" x14ac:dyDescent="0.2">
      <c r="A1602" t="s">
        <v>73</v>
      </c>
      <c r="B1602" t="s">
        <v>21</v>
      </c>
      <c r="C1602">
        <v>14</v>
      </c>
      <c r="D1602" t="s">
        <v>125</v>
      </c>
      <c r="E1602" t="s">
        <v>325</v>
      </c>
      <c r="F1602">
        <v>34.58</v>
      </c>
      <c r="G1602">
        <v>2024</v>
      </c>
    </row>
    <row r="1603" spans="1:7" hidden="1" x14ac:dyDescent="0.2">
      <c r="A1603" t="s">
        <v>73</v>
      </c>
      <c r="B1603" t="s">
        <v>21</v>
      </c>
      <c r="C1603">
        <v>14</v>
      </c>
      <c r="D1603" t="s">
        <v>128</v>
      </c>
      <c r="E1603" t="s">
        <v>328</v>
      </c>
      <c r="F1603">
        <v>17.2</v>
      </c>
      <c r="G1603">
        <v>2024</v>
      </c>
    </row>
    <row r="1604" spans="1:7" hidden="1" x14ac:dyDescent="0.2">
      <c r="A1604" t="s">
        <v>73</v>
      </c>
      <c r="B1604" t="s">
        <v>21</v>
      </c>
      <c r="C1604">
        <v>14</v>
      </c>
      <c r="D1604" t="s">
        <v>128</v>
      </c>
      <c r="E1604" t="s">
        <v>277</v>
      </c>
      <c r="F1604">
        <v>12.6</v>
      </c>
      <c r="G1604">
        <v>2024</v>
      </c>
    </row>
    <row r="1605" spans="1:7" hidden="1" x14ac:dyDescent="0.2">
      <c r="A1605" t="s">
        <v>73</v>
      </c>
      <c r="B1605" t="s">
        <v>21</v>
      </c>
      <c r="C1605">
        <v>14</v>
      </c>
      <c r="D1605" t="s">
        <v>128</v>
      </c>
      <c r="E1605" t="s">
        <v>243</v>
      </c>
      <c r="F1605">
        <v>9.4</v>
      </c>
      <c r="G1605">
        <v>2024</v>
      </c>
    </row>
    <row r="1606" spans="1:7" hidden="1" x14ac:dyDescent="0.2">
      <c r="A1606" t="s">
        <v>73</v>
      </c>
      <c r="B1606" t="s">
        <v>21</v>
      </c>
      <c r="C1606">
        <v>14</v>
      </c>
      <c r="D1606" t="s">
        <v>127</v>
      </c>
      <c r="E1606" t="s">
        <v>149</v>
      </c>
      <c r="F1606">
        <v>20.2</v>
      </c>
      <c r="G1606">
        <v>2024</v>
      </c>
    </row>
    <row r="1607" spans="1:7" hidden="1" x14ac:dyDescent="0.2">
      <c r="A1607" t="s">
        <v>73</v>
      </c>
      <c r="B1607" t="s">
        <v>21</v>
      </c>
      <c r="C1607">
        <v>14</v>
      </c>
      <c r="D1607" t="s">
        <v>127</v>
      </c>
      <c r="E1607" t="s">
        <v>148</v>
      </c>
      <c r="F1607">
        <v>15.9</v>
      </c>
      <c r="G1607">
        <v>2024</v>
      </c>
    </row>
    <row r="1608" spans="1:7" hidden="1" x14ac:dyDescent="0.2">
      <c r="A1608" t="s">
        <v>73</v>
      </c>
      <c r="B1608" t="s">
        <v>21</v>
      </c>
      <c r="C1608">
        <v>14</v>
      </c>
      <c r="D1608" t="s">
        <v>129</v>
      </c>
      <c r="E1608" t="s">
        <v>327</v>
      </c>
      <c r="F1608">
        <v>11.6</v>
      </c>
      <c r="G1608">
        <v>2024</v>
      </c>
    </row>
    <row r="1609" spans="1:7" hidden="1" x14ac:dyDescent="0.2">
      <c r="A1609" t="s">
        <v>73</v>
      </c>
      <c r="B1609" t="s">
        <v>21</v>
      </c>
      <c r="C1609">
        <v>14</v>
      </c>
      <c r="D1609" t="s">
        <v>131</v>
      </c>
      <c r="E1609" t="s">
        <v>242</v>
      </c>
      <c r="F1609">
        <v>11</v>
      </c>
      <c r="G1609">
        <v>2024</v>
      </c>
    </row>
    <row r="1610" spans="1:7" hidden="1" x14ac:dyDescent="0.2">
      <c r="A1610" t="s">
        <v>73</v>
      </c>
      <c r="B1610" t="s">
        <v>21</v>
      </c>
      <c r="C1610">
        <v>14</v>
      </c>
      <c r="D1610" t="s">
        <v>130</v>
      </c>
      <c r="E1610" t="s">
        <v>281</v>
      </c>
      <c r="F1610">
        <v>-5</v>
      </c>
      <c r="G1610">
        <v>2024</v>
      </c>
    </row>
    <row r="1611" spans="1:7" hidden="1" x14ac:dyDescent="0.2">
      <c r="A1611" t="s">
        <v>73</v>
      </c>
      <c r="B1611" t="s">
        <v>21</v>
      </c>
      <c r="C1611">
        <v>14</v>
      </c>
      <c r="D1611" t="s">
        <v>294</v>
      </c>
      <c r="E1611" t="s">
        <v>145</v>
      </c>
      <c r="F1611">
        <v>6.3</v>
      </c>
      <c r="G1611">
        <v>2024</v>
      </c>
    </row>
    <row r="1612" spans="1:7" hidden="1" x14ac:dyDescent="0.2">
      <c r="A1612" t="s">
        <v>74</v>
      </c>
      <c r="B1612" t="s">
        <v>29</v>
      </c>
      <c r="C1612">
        <v>14</v>
      </c>
      <c r="D1612" t="s">
        <v>125</v>
      </c>
      <c r="E1612" t="s">
        <v>168</v>
      </c>
      <c r="F1612">
        <v>24.22</v>
      </c>
      <c r="G1612">
        <v>2024</v>
      </c>
    </row>
    <row r="1613" spans="1:7" hidden="1" x14ac:dyDescent="0.2">
      <c r="A1613" t="s">
        <v>74</v>
      </c>
      <c r="B1613" t="s">
        <v>29</v>
      </c>
      <c r="C1613">
        <v>14</v>
      </c>
      <c r="D1613" t="s">
        <v>128</v>
      </c>
      <c r="E1613" t="s">
        <v>171</v>
      </c>
      <c r="F1613">
        <v>28.7</v>
      </c>
      <c r="G1613">
        <v>2024</v>
      </c>
    </row>
    <row r="1614" spans="1:7" hidden="1" x14ac:dyDescent="0.2">
      <c r="A1614" t="s">
        <v>74</v>
      </c>
      <c r="B1614" t="s">
        <v>29</v>
      </c>
      <c r="C1614">
        <v>14</v>
      </c>
      <c r="D1614" t="s">
        <v>128</v>
      </c>
      <c r="E1614" t="s">
        <v>280</v>
      </c>
      <c r="F1614">
        <v>18.2</v>
      </c>
      <c r="G1614">
        <v>2024</v>
      </c>
    </row>
    <row r="1615" spans="1:7" hidden="1" x14ac:dyDescent="0.2">
      <c r="A1615" t="s">
        <v>74</v>
      </c>
      <c r="B1615" t="s">
        <v>29</v>
      </c>
      <c r="C1615">
        <v>14</v>
      </c>
      <c r="D1615" t="s">
        <v>128</v>
      </c>
      <c r="E1615" t="s">
        <v>172</v>
      </c>
      <c r="F1615">
        <v>7.9</v>
      </c>
      <c r="G1615">
        <v>2024</v>
      </c>
    </row>
    <row r="1616" spans="1:7" hidden="1" x14ac:dyDescent="0.2">
      <c r="A1616" t="s">
        <v>74</v>
      </c>
      <c r="B1616" t="s">
        <v>29</v>
      </c>
      <c r="C1616">
        <v>14</v>
      </c>
      <c r="D1616" t="s">
        <v>127</v>
      </c>
      <c r="E1616" t="s">
        <v>174</v>
      </c>
      <c r="F1616">
        <v>19.100000000000001</v>
      </c>
      <c r="G1616">
        <v>2024</v>
      </c>
    </row>
    <row r="1617" spans="1:7" hidden="1" x14ac:dyDescent="0.2">
      <c r="A1617" t="s">
        <v>74</v>
      </c>
      <c r="B1617" t="s">
        <v>29</v>
      </c>
      <c r="C1617">
        <v>14</v>
      </c>
      <c r="D1617" t="s">
        <v>127</v>
      </c>
      <c r="E1617" t="s">
        <v>296</v>
      </c>
      <c r="F1617">
        <v>9.6</v>
      </c>
      <c r="G1617">
        <v>2024</v>
      </c>
    </row>
    <row r="1618" spans="1:7" hidden="1" x14ac:dyDescent="0.2">
      <c r="A1618" t="s">
        <v>74</v>
      </c>
      <c r="B1618" t="s">
        <v>29</v>
      </c>
      <c r="C1618">
        <v>14</v>
      </c>
      <c r="D1618" t="s">
        <v>129</v>
      </c>
      <c r="E1618" t="s">
        <v>170</v>
      </c>
      <c r="F1618">
        <v>13.7</v>
      </c>
      <c r="G1618">
        <v>2024</v>
      </c>
    </row>
    <row r="1619" spans="1:7" hidden="1" x14ac:dyDescent="0.2">
      <c r="A1619" t="s">
        <v>74</v>
      </c>
      <c r="B1619" t="s">
        <v>29</v>
      </c>
      <c r="C1619">
        <v>14</v>
      </c>
      <c r="D1619" t="s">
        <v>131</v>
      </c>
      <c r="E1619" t="s">
        <v>139</v>
      </c>
      <c r="F1619">
        <v>6</v>
      </c>
      <c r="G1619">
        <v>2024</v>
      </c>
    </row>
    <row r="1620" spans="1:7" hidden="1" x14ac:dyDescent="0.2">
      <c r="A1620" t="s">
        <v>74</v>
      </c>
      <c r="B1620" t="s">
        <v>29</v>
      </c>
      <c r="C1620">
        <v>14</v>
      </c>
      <c r="D1620" t="s">
        <v>130</v>
      </c>
      <c r="E1620" t="s">
        <v>408</v>
      </c>
      <c r="F1620">
        <v>-2</v>
      </c>
      <c r="G1620">
        <v>2024</v>
      </c>
    </row>
    <row r="1621" spans="1:7" hidden="1" x14ac:dyDescent="0.2">
      <c r="A1621" t="s">
        <v>74</v>
      </c>
      <c r="B1621" t="s">
        <v>29</v>
      </c>
      <c r="C1621">
        <v>14</v>
      </c>
      <c r="D1621" t="s">
        <v>294</v>
      </c>
      <c r="E1621" t="s">
        <v>382</v>
      </c>
      <c r="F1621">
        <v>7.1</v>
      </c>
      <c r="G1621">
        <v>2024</v>
      </c>
    </row>
    <row r="1622" spans="1:7" hidden="1" x14ac:dyDescent="0.2">
      <c r="A1622" t="s">
        <v>75</v>
      </c>
      <c r="B1622" t="s">
        <v>36</v>
      </c>
      <c r="C1622">
        <v>14</v>
      </c>
      <c r="D1622" t="s">
        <v>125</v>
      </c>
      <c r="E1622" t="s">
        <v>185</v>
      </c>
      <c r="F1622">
        <v>14.06</v>
      </c>
      <c r="G1622">
        <v>2024</v>
      </c>
    </row>
    <row r="1623" spans="1:7" hidden="1" x14ac:dyDescent="0.2">
      <c r="A1623" t="s">
        <v>75</v>
      </c>
      <c r="B1623" t="s">
        <v>36</v>
      </c>
      <c r="C1623">
        <v>14</v>
      </c>
      <c r="D1623" t="s">
        <v>128</v>
      </c>
      <c r="E1623" t="s">
        <v>248</v>
      </c>
      <c r="F1623">
        <v>17.100000000000001</v>
      </c>
      <c r="G1623">
        <v>2024</v>
      </c>
    </row>
    <row r="1624" spans="1:7" hidden="1" x14ac:dyDescent="0.2">
      <c r="A1624" t="s">
        <v>75</v>
      </c>
      <c r="B1624" t="s">
        <v>36</v>
      </c>
      <c r="C1624">
        <v>14</v>
      </c>
      <c r="D1624" t="s">
        <v>128</v>
      </c>
      <c r="E1624" t="s">
        <v>402</v>
      </c>
      <c r="F1624">
        <v>10.8</v>
      </c>
      <c r="G1624">
        <v>2024</v>
      </c>
    </row>
    <row r="1625" spans="1:7" hidden="1" x14ac:dyDescent="0.2">
      <c r="A1625" t="s">
        <v>75</v>
      </c>
      <c r="B1625" t="s">
        <v>36</v>
      </c>
      <c r="C1625">
        <v>14</v>
      </c>
      <c r="D1625" t="s">
        <v>128</v>
      </c>
      <c r="E1625" t="s">
        <v>188</v>
      </c>
      <c r="F1625">
        <v>9.5</v>
      </c>
      <c r="G1625">
        <v>2024</v>
      </c>
    </row>
    <row r="1626" spans="1:7" hidden="1" x14ac:dyDescent="0.2">
      <c r="A1626" t="s">
        <v>75</v>
      </c>
      <c r="B1626" t="s">
        <v>36</v>
      </c>
      <c r="C1626">
        <v>14</v>
      </c>
      <c r="D1626" t="s">
        <v>127</v>
      </c>
      <c r="E1626" t="s">
        <v>403</v>
      </c>
      <c r="F1626">
        <v>34.799999999999997</v>
      </c>
      <c r="G1626">
        <v>2024</v>
      </c>
    </row>
    <row r="1627" spans="1:7" hidden="1" x14ac:dyDescent="0.2">
      <c r="A1627" t="s">
        <v>75</v>
      </c>
      <c r="B1627" t="s">
        <v>36</v>
      </c>
      <c r="C1627">
        <v>14</v>
      </c>
      <c r="D1627" t="s">
        <v>127</v>
      </c>
      <c r="E1627" t="s">
        <v>343</v>
      </c>
      <c r="F1627">
        <v>13.4</v>
      </c>
      <c r="G1627">
        <v>2024</v>
      </c>
    </row>
    <row r="1628" spans="1:7" hidden="1" x14ac:dyDescent="0.2">
      <c r="A1628" t="s">
        <v>75</v>
      </c>
      <c r="B1628" t="s">
        <v>36</v>
      </c>
      <c r="C1628">
        <v>14</v>
      </c>
      <c r="D1628" t="s">
        <v>129</v>
      </c>
      <c r="E1628" t="s">
        <v>249</v>
      </c>
      <c r="F1628">
        <v>7</v>
      </c>
      <c r="G1628">
        <v>2024</v>
      </c>
    </row>
    <row r="1629" spans="1:7" hidden="1" x14ac:dyDescent="0.2">
      <c r="A1629" t="s">
        <v>75</v>
      </c>
      <c r="B1629" t="s">
        <v>36</v>
      </c>
      <c r="C1629">
        <v>14</v>
      </c>
      <c r="D1629" t="s">
        <v>131</v>
      </c>
      <c r="E1629" t="s">
        <v>169</v>
      </c>
      <c r="F1629">
        <v>8</v>
      </c>
      <c r="G1629">
        <v>2024</v>
      </c>
    </row>
    <row r="1630" spans="1:7" hidden="1" x14ac:dyDescent="0.2">
      <c r="A1630" t="s">
        <v>75</v>
      </c>
      <c r="B1630" t="s">
        <v>36</v>
      </c>
      <c r="C1630">
        <v>14</v>
      </c>
      <c r="D1630" t="s">
        <v>130</v>
      </c>
      <c r="E1630" t="s">
        <v>142</v>
      </c>
      <c r="F1630">
        <v>6</v>
      </c>
      <c r="G1630">
        <v>2024</v>
      </c>
    </row>
    <row r="1631" spans="1:7" hidden="1" x14ac:dyDescent="0.2">
      <c r="A1631" t="s">
        <v>75</v>
      </c>
      <c r="B1631" t="s">
        <v>36</v>
      </c>
      <c r="C1631">
        <v>14</v>
      </c>
      <c r="D1631" t="s">
        <v>294</v>
      </c>
      <c r="E1631" t="s">
        <v>187</v>
      </c>
      <c r="F1631">
        <v>7.8</v>
      </c>
      <c r="G1631">
        <v>2024</v>
      </c>
    </row>
    <row r="1632" spans="1:7" hidden="1" x14ac:dyDescent="0.2">
      <c r="A1632" t="s">
        <v>76</v>
      </c>
      <c r="B1632" t="s">
        <v>32</v>
      </c>
      <c r="C1632">
        <v>14</v>
      </c>
      <c r="D1632" t="s">
        <v>125</v>
      </c>
      <c r="E1632" t="s">
        <v>230</v>
      </c>
      <c r="F1632">
        <v>24.56</v>
      </c>
      <c r="G1632">
        <v>2024</v>
      </c>
    </row>
    <row r="1633" spans="1:7" hidden="1" x14ac:dyDescent="0.2">
      <c r="A1633" t="s">
        <v>76</v>
      </c>
      <c r="B1633" t="s">
        <v>32</v>
      </c>
      <c r="C1633">
        <v>14</v>
      </c>
      <c r="D1633" t="s">
        <v>128</v>
      </c>
      <c r="E1633" t="s">
        <v>231</v>
      </c>
      <c r="F1633">
        <v>38.1</v>
      </c>
      <c r="G1633">
        <v>2024</v>
      </c>
    </row>
    <row r="1634" spans="1:7" hidden="1" x14ac:dyDescent="0.2">
      <c r="A1634" t="s">
        <v>76</v>
      </c>
      <c r="B1634" t="s">
        <v>32</v>
      </c>
      <c r="C1634">
        <v>14</v>
      </c>
      <c r="D1634" t="s">
        <v>128</v>
      </c>
      <c r="E1634" t="s">
        <v>303</v>
      </c>
      <c r="F1634">
        <v>10.199999999999999</v>
      </c>
      <c r="G1634">
        <v>2024</v>
      </c>
    </row>
    <row r="1635" spans="1:7" hidden="1" x14ac:dyDescent="0.2">
      <c r="A1635" t="s">
        <v>76</v>
      </c>
      <c r="B1635" t="s">
        <v>32</v>
      </c>
      <c r="C1635">
        <v>14</v>
      </c>
      <c r="D1635" t="s">
        <v>128</v>
      </c>
      <c r="E1635" t="s">
        <v>337</v>
      </c>
      <c r="F1635">
        <v>12.1</v>
      </c>
      <c r="G1635">
        <v>2024</v>
      </c>
    </row>
    <row r="1636" spans="1:7" hidden="1" x14ac:dyDescent="0.2">
      <c r="A1636" t="s">
        <v>76</v>
      </c>
      <c r="B1636" t="s">
        <v>32</v>
      </c>
      <c r="C1636">
        <v>14</v>
      </c>
      <c r="D1636" t="s">
        <v>127</v>
      </c>
      <c r="E1636" t="s">
        <v>235</v>
      </c>
      <c r="F1636">
        <v>15.4</v>
      </c>
      <c r="G1636">
        <v>2024</v>
      </c>
    </row>
    <row r="1637" spans="1:7" hidden="1" x14ac:dyDescent="0.2">
      <c r="A1637" t="s">
        <v>76</v>
      </c>
      <c r="B1637" t="s">
        <v>32</v>
      </c>
      <c r="C1637">
        <v>14</v>
      </c>
      <c r="D1637" t="s">
        <v>127</v>
      </c>
      <c r="E1637" t="s">
        <v>278</v>
      </c>
      <c r="F1637">
        <v>4.5</v>
      </c>
      <c r="G1637">
        <v>2024</v>
      </c>
    </row>
    <row r="1638" spans="1:7" hidden="1" x14ac:dyDescent="0.2">
      <c r="A1638" t="s">
        <v>76</v>
      </c>
      <c r="B1638" t="s">
        <v>32</v>
      </c>
      <c r="C1638">
        <v>14</v>
      </c>
      <c r="D1638" t="s">
        <v>129</v>
      </c>
      <c r="E1638" t="s">
        <v>236</v>
      </c>
      <c r="F1638">
        <v>18.100000000000001</v>
      </c>
      <c r="G1638">
        <v>2024</v>
      </c>
    </row>
    <row r="1639" spans="1:7" hidden="1" x14ac:dyDescent="0.2">
      <c r="A1639" t="s">
        <v>76</v>
      </c>
      <c r="B1639" t="s">
        <v>32</v>
      </c>
      <c r="C1639">
        <v>14</v>
      </c>
      <c r="D1639" t="s">
        <v>131</v>
      </c>
      <c r="E1639" t="s">
        <v>374</v>
      </c>
      <c r="F1639">
        <v>11</v>
      </c>
      <c r="G1639">
        <v>2024</v>
      </c>
    </row>
    <row r="1640" spans="1:7" hidden="1" x14ac:dyDescent="0.2">
      <c r="A1640" t="s">
        <v>76</v>
      </c>
      <c r="B1640" t="s">
        <v>32</v>
      </c>
      <c r="C1640">
        <v>14</v>
      </c>
      <c r="D1640" t="s">
        <v>130</v>
      </c>
      <c r="E1640" t="s">
        <v>215</v>
      </c>
      <c r="F1640">
        <v>16</v>
      </c>
      <c r="G1640">
        <v>2024</v>
      </c>
    </row>
    <row r="1641" spans="1:7" hidden="1" x14ac:dyDescent="0.2">
      <c r="A1641" t="s">
        <v>76</v>
      </c>
      <c r="B1641" t="s">
        <v>32</v>
      </c>
      <c r="C1641">
        <v>14</v>
      </c>
      <c r="D1641" t="s">
        <v>297</v>
      </c>
      <c r="E1641" t="s">
        <v>299</v>
      </c>
      <c r="F1641">
        <v>4.7</v>
      </c>
      <c r="G1641">
        <v>2024</v>
      </c>
    </row>
    <row r="1642" spans="1:7" hidden="1" x14ac:dyDescent="0.2">
      <c r="A1642" t="s">
        <v>18</v>
      </c>
      <c r="B1642" t="s">
        <v>20</v>
      </c>
      <c r="C1642">
        <v>14</v>
      </c>
      <c r="D1642" t="s">
        <v>125</v>
      </c>
      <c r="E1642" t="s">
        <v>203</v>
      </c>
      <c r="F1642">
        <v>14.54</v>
      </c>
      <c r="G1642">
        <v>2024</v>
      </c>
    </row>
    <row r="1643" spans="1:7" hidden="1" x14ac:dyDescent="0.2">
      <c r="A1643" t="s">
        <v>18</v>
      </c>
      <c r="B1643" t="s">
        <v>20</v>
      </c>
      <c r="C1643">
        <v>14</v>
      </c>
      <c r="D1643" t="s">
        <v>128</v>
      </c>
      <c r="E1643" t="s">
        <v>204</v>
      </c>
      <c r="F1643">
        <v>17.7</v>
      </c>
      <c r="G1643">
        <v>2024</v>
      </c>
    </row>
    <row r="1644" spans="1:7" hidden="1" x14ac:dyDescent="0.2">
      <c r="A1644" t="s">
        <v>18</v>
      </c>
      <c r="B1644" t="s">
        <v>20</v>
      </c>
      <c r="C1644">
        <v>14</v>
      </c>
      <c r="D1644" t="s">
        <v>128</v>
      </c>
      <c r="E1644" t="s">
        <v>205</v>
      </c>
      <c r="F1644">
        <v>11.7</v>
      </c>
      <c r="G1644">
        <v>2024</v>
      </c>
    </row>
    <row r="1645" spans="1:7" hidden="1" x14ac:dyDescent="0.2">
      <c r="A1645" t="s">
        <v>18</v>
      </c>
      <c r="B1645" t="s">
        <v>20</v>
      </c>
      <c r="C1645">
        <v>14</v>
      </c>
      <c r="D1645" t="s">
        <v>128</v>
      </c>
      <c r="E1645" t="s">
        <v>404</v>
      </c>
      <c r="F1645">
        <v>14.7</v>
      </c>
      <c r="G1645">
        <v>2024</v>
      </c>
    </row>
    <row r="1646" spans="1:7" hidden="1" x14ac:dyDescent="0.2">
      <c r="A1646" t="s">
        <v>18</v>
      </c>
      <c r="B1646" t="s">
        <v>20</v>
      </c>
      <c r="C1646">
        <v>14</v>
      </c>
      <c r="D1646" t="s">
        <v>127</v>
      </c>
      <c r="E1646" t="s">
        <v>207</v>
      </c>
      <c r="F1646">
        <v>16.3</v>
      </c>
      <c r="G1646">
        <v>2024</v>
      </c>
    </row>
    <row r="1647" spans="1:7" hidden="1" x14ac:dyDescent="0.2">
      <c r="A1647" t="s">
        <v>18</v>
      </c>
      <c r="B1647" t="s">
        <v>20</v>
      </c>
      <c r="C1647">
        <v>14</v>
      </c>
      <c r="D1647" t="s">
        <v>127</v>
      </c>
      <c r="E1647" t="s">
        <v>175</v>
      </c>
      <c r="F1647">
        <v>8.1999999999999993</v>
      </c>
      <c r="G1647">
        <v>2024</v>
      </c>
    </row>
    <row r="1648" spans="1:7" hidden="1" x14ac:dyDescent="0.2">
      <c r="A1648" t="s">
        <v>18</v>
      </c>
      <c r="B1648" t="s">
        <v>20</v>
      </c>
      <c r="C1648">
        <v>14</v>
      </c>
      <c r="D1648" t="s">
        <v>129</v>
      </c>
      <c r="E1648" t="s">
        <v>144</v>
      </c>
      <c r="F1648">
        <v>12.3</v>
      </c>
      <c r="G1648">
        <v>2024</v>
      </c>
    </row>
    <row r="1649" spans="1:7" hidden="1" x14ac:dyDescent="0.2">
      <c r="A1649" t="s">
        <v>18</v>
      </c>
      <c r="B1649" t="s">
        <v>20</v>
      </c>
      <c r="C1649">
        <v>14</v>
      </c>
      <c r="D1649" t="s">
        <v>131</v>
      </c>
      <c r="E1649" t="s">
        <v>210</v>
      </c>
      <c r="F1649">
        <v>9</v>
      </c>
      <c r="G1649">
        <v>2024</v>
      </c>
    </row>
    <row r="1650" spans="1:7" hidden="1" x14ac:dyDescent="0.2">
      <c r="A1650" t="s">
        <v>18</v>
      </c>
      <c r="B1650" t="s">
        <v>20</v>
      </c>
      <c r="C1650">
        <v>14</v>
      </c>
      <c r="D1650" t="s">
        <v>130</v>
      </c>
      <c r="E1650" t="s">
        <v>289</v>
      </c>
      <c r="F1650">
        <v>-1</v>
      </c>
      <c r="G1650">
        <v>2024</v>
      </c>
    </row>
    <row r="1651" spans="1:7" hidden="1" x14ac:dyDescent="0.2">
      <c r="A1651" t="s">
        <v>18</v>
      </c>
      <c r="B1651" t="s">
        <v>20</v>
      </c>
      <c r="C1651">
        <v>14</v>
      </c>
      <c r="D1651" t="s">
        <v>293</v>
      </c>
      <c r="E1651" t="s">
        <v>208</v>
      </c>
      <c r="F1651">
        <v>3.9</v>
      </c>
      <c r="G1651">
        <v>2024</v>
      </c>
    </row>
    <row r="1652" spans="1:7" hidden="1" x14ac:dyDescent="0.2">
      <c r="A1652" t="s">
        <v>35</v>
      </c>
      <c r="B1652" t="s">
        <v>49</v>
      </c>
      <c r="C1652">
        <v>14</v>
      </c>
      <c r="D1652" t="s">
        <v>125</v>
      </c>
      <c r="E1652" t="s">
        <v>345</v>
      </c>
      <c r="F1652">
        <v>9.76</v>
      </c>
      <c r="G1652">
        <v>2024</v>
      </c>
    </row>
    <row r="1653" spans="1:7" hidden="1" x14ac:dyDescent="0.2">
      <c r="A1653" t="s">
        <v>35</v>
      </c>
      <c r="B1653" t="s">
        <v>49</v>
      </c>
      <c r="C1653">
        <v>14</v>
      </c>
      <c r="D1653" t="s">
        <v>128</v>
      </c>
      <c r="E1653" t="s">
        <v>222</v>
      </c>
      <c r="F1653">
        <v>10.5</v>
      </c>
      <c r="G1653">
        <v>2024</v>
      </c>
    </row>
    <row r="1654" spans="1:7" hidden="1" x14ac:dyDescent="0.2">
      <c r="A1654" t="s">
        <v>35</v>
      </c>
      <c r="B1654" t="s">
        <v>49</v>
      </c>
      <c r="C1654">
        <v>14</v>
      </c>
      <c r="D1654" t="s">
        <v>128</v>
      </c>
      <c r="E1654" t="s">
        <v>224</v>
      </c>
      <c r="F1654">
        <v>14.9</v>
      </c>
      <c r="G1654">
        <v>2024</v>
      </c>
    </row>
    <row r="1655" spans="1:7" hidden="1" x14ac:dyDescent="0.2">
      <c r="A1655" t="s">
        <v>35</v>
      </c>
      <c r="B1655" t="s">
        <v>49</v>
      </c>
      <c r="C1655">
        <v>14</v>
      </c>
      <c r="D1655" t="s">
        <v>128</v>
      </c>
      <c r="E1655" t="s">
        <v>304</v>
      </c>
      <c r="F1655">
        <v>4.5</v>
      </c>
      <c r="G1655">
        <v>2024</v>
      </c>
    </row>
    <row r="1656" spans="1:7" hidden="1" x14ac:dyDescent="0.2">
      <c r="A1656" t="s">
        <v>35</v>
      </c>
      <c r="B1656" t="s">
        <v>49</v>
      </c>
      <c r="C1656">
        <v>14</v>
      </c>
      <c r="D1656" t="s">
        <v>127</v>
      </c>
      <c r="E1656" t="s">
        <v>255</v>
      </c>
      <c r="F1656">
        <v>2.2999999999999998</v>
      </c>
      <c r="G1656">
        <v>2024</v>
      </c>
    </row>
    <row r="1657" spans="1:7" hidden="1" x14ac:dyDescent="0.2">
      <c r="A1657" t="s">
        <v>35</v>
      </c>
      <c r="B1657" t="s">
        <v>49</v>
      </c>
      <c r="C1657">
        <v>14</v>
      </c>
      <c r="D1657" t="s">
        <v>127</v>
      </c>
      <c r="E1657" t="s">
        <v>225</v>
      </c>
      <c r="F1657">
        <v>0</v>
      </c>
      <c r="G1657">
        <v>2024</v>
      </c>
    </row>
    <row r="1658" spans="1:7" hidden="1" x14ac:dyDescent="0.2">
      <c r="A1658" t="s">
        <v>35</v>
      </c>
      <c r="B1658" t="s">
        <v>49</v>
      </c>
      <c r="C1658">
        <v>14</v>
      </c>
      <c r="D1658" t="s">
        <v>129</v>
      </c>
      <c r="E1658" t="s">
        <v>376</v>
      </c>
      <c r="F1658">
        <v>6.5</v>
      </c>
      <c r="G1658">
        <v>2024</v>
      </c>
    </row>
    <row r="1659" spans="1:7" hidden="1" x14ac:dyDescent="0.2">
      <c r="A1659" t="s">
        <v>35</v>
      </c>
      <c r="B1659" t="s">
        <v>49</v>
      </c>
      <c r="C1659">
        <v>14</v>
      </c>
      <c r="D1659" t="s">
        <v>131</v>
      </c>
      <c r="E1659" t="s">
        <v>350</v>
      </c>
      <c r="F1659">
        <v>5</v>
      </c>
      <c r="G1659">
        <v>2024</v>
      </c>
    </row>
    <row r="1660" spans="1:7" hidden="1" x14ac:dyDescent="0.2">
      <c r="A1660" t="s">
        <v>35</v>
      </c>
      <c r="B1660" t="s">
        <v>49</v>
      </c>
      <c r="C1660">
        <v>14</v>
      </c>
      <c r="D1660" t="s">
        <v>130</v>
      </c>
      <c r="E1660" t="s">
        <v>405</v>
      </c>
      <c r="F1660">
        <v>-5</v>
      </c>
      <c r="G1660">
        <v>2024</v>
      </c>
    </row>
    <row r="1661" spans="1:7" hidden="1" x14ac:dyDescent="0.2">
      <c r="A1661" t="s">
        <v>35</v>
      </c>
      <c r="B1661" t="s">
        <v>49</v>
      </c>
      <c r="C1661">
        <v>14</v>
      </c>
      <c r="D1661" t="s">
        <v>293</v>
      </c>
      <c r="E1661" t="s">
        <v>226</v>
      </c>
      <c r="F1661">
        <v>0</v>
      </c>
      <c r="G1661">
        <v>2024</v>
      </c>
    </row>
    <row r="1662" spans="1:7" hidden="1" x14ac:dyDescent="0.2">
      <c r="A1662" t="s">
        <v>26</v>
      </c>
      <c r="B1662" t="s">
        <v>28</v>
      </c>
      <c r="C1662">
        <v>14</v>
      </c>
      <c r="D1662" t="s">
        <v>125</v>
      </c>
      <c r="E1662" t="s">
        <v>212</v>
      </c>
      <c r="F1662">
        <v>51.88</v>
      </c>
      <c r="G1662">
        <v>2024</v>
      </c>
    </row>
    <row r="1663" spans="1:7" hidden="1" x14ac:dyDescent="0.2">
      <c r="A1663" t="s">
        <v>26</v>
      </c>
      <c r="B1663" t="s">
        <v>28</v>
      </c>
      <c r="C1663">
        <v>14</v>
      </c>
      <c r="D1663" t="s">
        <v>128</v>
      </c>
      <c r="E1663" t="s">
        <v>218</v>
      </c>
      <c r="F1663">
        <v>12.4</v>
      </c>
      <c r="G1663">
        <v>2024</v>
      </c>
    </row>
    <row r="1664" spans="1:7" hidden="1" x14ac:dyDescent="0.2">
      <c r="A1664" t="s">
        <v>26</v>
      </c>
      <c r="B1664" t="s">
        <v>28</v>
      </c>
      <c r="C1664">
        <v>14</v>
      </c>
      <c r="D1664" t="s">
        <v>128</v>
      </c>
      <c r="E1664" t="s">
        <v>257</v>
      </c>
      <c r="F1664">
        <v>7.1</v>
      </c>
      <c r="G1664">
        <v>2024</v>
      </c>
    </row>
    <row r="1665" spans="1:7" hidden="1" x14ac:dyDescent="0.2">
      <c r="A1665" t="s">
        <v>26</v>
      </c>
      <c r="B1665" t="s">
        <v>28</v>
      </c>
      <c r="C1665">
        <v>14</v>
      </c>
      <c r="D1665" t="s">
        <v>128</v>
      </c>
      <c r="E1665" t="s">
        <v>219</v>
      </c>
      <c r="F1665">
        <v>6.9</v>
      </c>
      <c r="G1665">
        <v>2024</v>
      </c>
    </row>
    <row r="1666" spans="1:7" hidden="1" x14ac:dyDescent="0.2">
      <c r="A1666" t="s">
        <v>26</v>
      </c>
      <c r="B1666" t="s">
        <v>28</v>
      </c>
      <c r="C1666">
        <v>14</v>
      </c>
      <c r="D1666" t="s">
        <v>127</v>
      </c>
      <c r="E1666" t="s">
        <v>217</v>
      </c>
      <c r="F1666">
        <v>23.9</v>
      </c>
      <c r="G1666">
        <v>2024</v>
      </c>
    </row>
    <row r="1667" spans="1:7" hidden="1" x14ac:dyDescent="0.2">
      <c r="A1667" t="s">
        <v>26</v>
      </c>
      <c r="B1667" t="s">
        <v>28</v>
      </c>
      <c r="C1667">
        <v>14</v>
      </c>
      <c r="D1667" t="s">
        <v>127</v>
      </c>
      <c r="E1667" t="s">
        <v>256</v>
      </c>
      <c r="F1667">
        <v>22.7</v>
      </c>
      <c r="G1667">
        <v>2024</v>
      </c>
    </row>
    <row r="1668" spans="1:7" hidden="1" x14ac:dyDescent="0.2">
      <c r="A1668" t="s">
        <v>26</v>
      </c>
      <c r="B1668" t="s">
        <v>28</v>
      </c>
      <c r="C1668">
        <v>14</v>
      </c>
      <c r="D1668" t="s">
        <v>129</v>
      </c>
      <c r="E1668" t="s">
        <v>331</v>
      </c>
      <c r="F1668">
        <v>8.5</v>
      </c>
      <c r="G1668">
        <v>2024</v>
      </c>
    </row>
    <row r="1669" spans="1:7" hidden="1" x14ac:dyDescent="0.2">
      <c r="A1669" t="s">
        <v>26</v>
      </c>
      <c r="B1669" t="s">
        <v>28</v>
      </c>
      <c r="C1669">
        <v>14</v>
      </c>
      <c r="D1669" t="s">
        <v>131</v>
      </c>
      <c r="E1669" t="s">
        <v>192</v>
      </c>
      <c r="F1669">
        <v>12</v>
      </c>
      <c r="G1669">
        <v>2024</v>
      </c>
    </row>
    <row r="1670" spans="1:7" hidden="1" x14ac:dyDescent="0.2">
      <c r="A1670" t="s">
        <v>26</v>
      </c>
      <c r="B1670" t="s">
        <v>28</v>
      </c>
      <c r="C1670">
        <v>14</v>
      </c>
      <c r="D1670" t="s">
        <v>130</v>
      </c>
      <c r="E1670" t="s">
        <v>167</v>
      </c>
      <c r="F1670">
        <v>3</v>
      </c>
      <c r="G1670">
        <v>2024</v>
      </c>
    </row>
    <row r="1671" spans="1:7" hidden="1" x14ac:dyDescent="0.2">
      <c r="A1671" t="s">
        <v>26</v>
      </c>
      <c r="B1671" t="s">
        <v>28</v>
      </c>
      <c r="C1671">
        <v>14</v>
      </c>
      <c r="D1671" t="s">
        <v>293</v>
      </c>
      <c r="E1671" t="s">
        <v>216</v>
      </c>
      <c r="F1671">
        <v>14.4</v>
      </c>
      <c r="G1671">
        <v>2024</v>
      </c>
    </row>
    <row r="1672" spans="1:7" hidden="1" x14ac:dyDescent="0.2">
      <c r="A1672" t="s">
        <v>46</v>
      </c>
      <c r="B1672" t="s">
        <v>47</v>
      </c>
      <c r="C1672">
        <v>14</v>
      </c>
      <c r="D1672" t="s">
        <v>125</v>
      </c>
      <c r="E1672" t="s">
        <v>176</v>
      </c>
      <c r="F1672">
        <v>22.1</v>
      </c>
      <c r="G1672">
        <v>2024</v>
      </c>
    </row>
    <row r="1673" spans="1:7" hidden="1" x14ac:dyDescent="0.2">
      <c r="A1673" t="s">
        <v>46</v>
      </c>
      <c r="B1673" t="s">
        <v>47</v>
      </c>
      <c r="C1673">
        <v>14</v>
      </c>
      <c r="D1673" t="s">
        <v>128</v>
      </c>
      <c r="E1673" t="s">
        <v>179</v>
      </c>
      <c r="F1673">
        <v>35.799999999999997</v>
      </c>
      <c r="G1673">
        <v>2024</v>
      </c>
    </row>
    <row r="1674" spans="1:7" hidden="1" x14ac:dyDescent="0.2">
      <c r="A1674" t="s">
        <v>46</v>
      </c>
      <c r="B1674" t="s">
        <v>47</v>
      </c>
      <c r="C1674">
        <v>14</v>
      </c>
      <c r="D1674" t="s">
        <v>128</v>
      </c>
      <c r="E1674" t="s">
        <v>177</v>
      </c>
      <c r="F1674">
        <v>18.399999999999999</v>
      </c>
      <c r="G1674">
        <v>2024</v>
      </c>
    </row>
    <row r="1675" spans="1:7" hidden="1" x14ac:dyDescent="0.2">
      <c r="A1675" t="s">
        <v>46</v>
      </c>
      <c r="B1675" t="s">
        <v>47</v>
      </c>
      <c r="C1675">
        <v>14</v>
      </c>
      <c r="D1675" t="s">
        <v>128</v>
      </c>
      <c r="E1675" t="s">
        <v>178</v>
      </c>
      <c r="F1675">
        <v>16.399999999999999</v>
      </c>
      <c r="G1675">
        <v>2024</v>
      </c>
    </row>
    <row r="1676" spans="1:7" hidden="1" x14ac:dyDescent="0.2">
      <c r="A1676" t="s">
        <v>46</v>
      </c>
      <c r="B1676" t="s">
        <v>47</v>
      </c>
      <c r="C1676">
        <v>14</v>
      </c>
      <c r="D1676" t="s">
        <v>127</v>
      </c>
      <c r="E1676" t="s">
        <v>180</v>
      </c>
      <c r="F1676">
        <v>24.6</v>
      </c>
      <c r="G1676">
        <v>2024</v>
      </c>
    </row>
    <row r="1677" spans="1:7" hidden="1" x14ac:dyDescent="0.2">
      <c r="A1677" t="s">
        <v>46</v>
      </c>
      <c r="B1677" t="s">
        <v>47</v>
      </c>
      <c r="C1677">
        <v>14</v>
      </c>
      <c r="D1677" t="s">
        <v>127</v>
      </c>
      <c r="E1677" t="s">
        <v>181</v>
      </c>
      <c r="F1677">
        <v>16.899999999999999</v>
      </c>
      <c r="G1677">
        <v>2024</v>
      </c>
    </row>
    <row r="1678" spans="1:7" hidden="1" x14ac:dyDescent="0.2">
      <c r="A1678" t="s">
        <v>46</v>
      </c>
      <c r="B1678" t="s">
        <v>47</v>
      </c>
      <c r="C1678">
        <v>14</v>
      </c>
      <c r="D1678" t="s">
        <v>129</v>
      </c>
      <c r="E1678" t="s">
        <v>182</v>
      </c>
      <c r="F1678">
        <v>6.7</v>
      </c>
      <c r="G1678">
        <v>2024</v>
      </c>
    </row>
    <row r="1679" spans="1:7" hidden="1" x14ac:dyDescent="0.2">
      <c r="A1679" t="s">
        <v>46</v>
      </c>
      <c r="B1679" t="s">
        <v>47</v>
      </c>
      <c r="C1679">
        <v>14</v>
      </c>
      <c r="D1679" t="s">
        <v>131</v>
      </c>
      <c r="E1679" t="s">
        <v>406</v>
      </c>
      <c r="F1679">
        <v>7</v>
      </c>
      <c r="G1679">
        <v>2024</v>
      </c>
    </row>
    <row r="1680" spans="1:7" hidden="1" x14ac:dyDescent="0.2">
      <c r="A1680" t="s">
        <v>46</v>
      </c>
      <c r="B1680" t="s">
        <v>47</v>
      </c>
      <c r="C1680">
        <v>14</v>
      </c>
      <c r="D1680" t="s">
        <v>130</v>
      </c>
      <c r="E1680" t="s">
        <v>184</v>
      </c>
      <c r="F1680">
        <v>9</v>
      </c>
      <c r="G1680">
        <v>2024</v>
      </c>
    </row>
    <row r="1681" spans="1:7" hidden="1" x14ac:dyDescent="0.2">
      <c r="A1681" t="s">
        <v>46</v>
      </c>
      <c r="B1681" t="s">
        <v>47</v>
      </c>
      <c r="C1681">
        <v>14</v>
      </c>
      <c r="D1681" t="s">
        <v>293</v>
      </c>
      <c r="E1681" t="s">
        <v>318</v>
      </c>
      <c r="F1681">
        <v>14.6</v>
      </c>
      <c r="G1681">
        <v>2024</v>
      </c>
    </row>
    <row r="1682" spans="1:7" hidden="1" x14ac:dyDescent="0.2">
      <c r="A1682" t="s">
        <v>14</v>
      </c>
      <c r="B1682" t="s">
        <v>16</v>
      </c>
      <c r="C1682">
        <v>15</v>
      </c>
      <c r="D1682" t="s">
        <v>127</v>
      </c>
      <c r="E1682" t="s">
        <v>348</v>
      </c>
      <c r="F1682">
        <v>4</v>
      </c>
      <c r="G1682">
        <v>2024</v>
      </c>
    </row>
    <row r="1683" spans="1:7" hidden="1" x14ac:dyDescent="0.2">
      <c r="A1683" t="s">
        <v>14</v>
      </c>
      <c r="B1683" t="s">
        <v>16</v>
      </c>
      <c r="C1683">
        <v>15</v>
      </c>
      <c r="D1683" t="s">
        <v>127</v>
      </c>
      <c r="E1683" t="s">
        <v>398</v>
      </c>
      <c r="F1683">
        <v>3.5</v>
      </c>
      <c r="G1683">
        <v>2024</v>
      </c>
    </row>
    <row r="1684" spans="1:7" hidden="1" x14ac:dyDescent="0.2">
      <c r="A1684" t="s">
        <v>14</v>
      </c>
      <c r="B1684" t="s">
        <v>16</v>
      </c>
      <c r="C1684">
        <v>15</v>
      </c>
      <c r="D1684" t="s">
        <v>125</v>
      </c>
      <c r="E1684" t="s">
        <v>360</v>
      </c>
      <c r="F1684">
        <v>3.84</v>
      </c>
      <c r="G1684">
        <v>2024</v>
      </c>
    </row>
    <row r="1685" spans="1:7" hidden="1" x14ac:dyDescent="0.2">
      <c r="A1685" t="s">
        <v>14</v>
      </c>
      <c r="B1685" t="s">
        <v>16</v>
      </c>
      <c r="C1685">
        <v>15</v>
      </c>
      <c r="D1685" t="s">
        <v>128</v>
      </c>
      <c r="E1685" t="s">
        <v>288</v>
      </c>
      <c r="F1685">
        <v>10.7</v>
      </c>
      <c r="G1685">
        <v>2024</v>
      </c>
    </row>
    <row r="1686" spans="1:7" hidden="1" x14ac:dyDescent="0.2">
      <c r="A1686" t="s">
        <v>14</v>
      </c>
      <c r="B1686" t="s">
        <v>16</v>
      </c>
      <c r="C1686">
        <v>15</v>
      </c>
      <c r="D1686" t="s">
        <v>128</v>
      </c>
      <c r="E1686" t="s">
        <v>133</v>
      </c>
      <c r="F1686">
        <v>4.5999999999999996</v>
      </c>
      <c r="G1686">
        <v>2024</v>
      </c>
    </row>
    <row r="1687" spans="1:7" hidden="1" x14ac:dyDescent="0.2">
      <c r="A1687" t="s">
        <v>14</v>
      </c>
      <c r="B1687" t="s">
        <v>16</v>
      </c>
      <c r="C1687">
        <v>15</v>
      </c>
      <c r="D1687" t="s">
        <v>128</v>
      </c>
      <c r="E1687" t="s">
        <v>134</v>
      </c>
      <c r="F1687">
        <v>8.3000000000000007</v>
      </c>
      <c r="G1687">
        <v>2024</v>
      </c>
    </row>
    <row r="1688" spans="1:7" hidden="1" x14ac:dyDescent="0.2">
      <c r="A1688" t="s">
        <v>14</v>
      </c>
      <c r="B1688" t="s">
        <v>16</v>
      </c>
      <c r="C1688">
        <v>15</v>
      </c>
      <c r="D1688" t="s">
        <v>129</v>
      </c>
      <c r="E1688" t="s">
        <v>379</v>
      </c>
      <c r="F1688">
        <v>15.3</v>
      </c>
      <c r="G1688">
        <v>2024</v>
      </c>
    </row>
    <row r="1689" spans="1:7" hidden="1" x14ac:dyDescent="0.2">
      <c r="A1689" t="s">
        <v>14</v>
      </c>
      <c r="B1689" t="s">
        <v>16</v>
      </c>
      <c r="C1689">
        <v>15</v>
      </c>
      <c r="D1689" t="s">
        <v>131</v>
      </c>
      <c r="E1689" t="s">
        <v>195</v>
      </c>
      <c r="F1689">
        <v>9</v>
      </c>
      <c r="G1689">
        <v>2024</v>
      </c>
    </row>
    <row r="1690" spans="1:7" hidden="1" x14ac:dyDescent="0.2">
      <c r="A1690" t="s">
        <v>14</v>
      </c>
      <c r="B1690" t="s">
        <v>16</v>
      </c>
      <c r="C1690">
        <v>15</v>
      </c>
      <c r="D1690" t="s">
        <v>130</v>
      </c>
      <c r="E1690" t="s">
        <v>407</v>
      </c>
      <c r="F1690">
        <v>7</v>
      </c>
      <c r="G1690">
        <v>2024</v>
      </c>
    </row>
    <row r="1691" spans="1:7" hidden="1" x14ac:dyDescent="0.2">
      <c r="A1691" t="s">
        <v>14</v>
      </c>
      <c r="B1691" t="s">
        <v>16</v>
      </c>
      <c r="C1691">
        <v>15</v>
      </c>
      <c r="D1691" t="s">
        <v>297</v>
      </c>
      <c r="E1691" t="s">
        <v>137</v>
      </c>
      <c r="F1691">
        <v>13.2</v>
      </c>
      <c r="G1691">
        <v>2024</v>
      </c>
    </row>
    <row r="1692" spans="1:7" hidden="1" x14ac:dyDescent="0.2">
      <c r="A1692" t="s">
        <v>31</v>
      </c>
      <c r="B1692" t="s">
        <v>33</v>
      </c>
      <c r="C1692">
        <v>15</v>
      </c>
      <c r="D1692" t="s">
        <v>125</v>
      </c>
      <c r="E1692" t="s">
        <v>202</v>
      </c>
      <c r="F1692">
        <v>36.1</v>
      </c>
      <c r="G1692">
        <v>2024</v>
      </c>
    </row>
    <row r="1693" spans="1:7" hidden="1" x14ac:dyDescent="0.2">
      <c r="A1693" t="s">
        <v>31</v>
      </c>
      <c r="B1693" t="s">
        <v>33</v>
      </c>
      <c r="C1693">
        <v>15</v>
      </c>
      <c r="D1693" t="s">
        <v>128</v>
      </c>
      <c r="E1693" t="s">
        <v>276</v>
      </c>
      <c r="F1693">
        <v>17.3</v>
      </c>
      <c r="G1693">
        <v>2024</v>
      </c>
    </row>
    <row r="1694" spans="1:7" hidden="1" x14ac:dyDescent="0.2">
      <c r="A1694" t="s">
        <v>31</v>
      </c>
      <c r="B1694" t="s">
        <v>33</v>
      </c>
      <c r="C1694">
        <v>15</v>
      </c>
      <c r="D1694" t="s">
        <v>128</v>
      </c>
      <c r="E1694" t="s">
        <v>292</v>
      </c>
      <c r="F1694">
        <v>4.0999999999999996</v>
      </c>
      <c r="G1694">
        <v>2024</v>
      </c>
    </row>
    <row r="1695" spans="1:7" hidden="1" x14ac:dyDescent="0.2">
      <c r="A1695" t="s">
        <v>31</v>
      </c>
      <c r="B1695" t="s">
        <v>33</v>
      </c>
      <c r="C1695">
        <v>15</v>
      </c>
      <c r="D1695" t="s">
        <v>128</v>
      </c>
      <c r="E1695" t="s">
        <v>201</v>
      </c>
      <c r="F1695">
        <v>0</v>
      </c>
      <c r="G1695">
        <v>2024</v>
      </c>
    </row>
    <row r="1696" spans="1:7" hidden="1" x14ac:dyDescent="0.2">
      <c r="A1696" t="s">
        <v>31</v>
      </c>
      <c r="B1696" t="s">
        <v>33</v>
      </c>
      <c r="C1696">
        <v>15</v>
      </c>
      <c r="D1696" t="s">
        <v>127</v>
      </c>
      <c r="E1696" t="s">
        <v>197</v>
      </c>
      <c r="F1696">
        <v>15</v>
      </c>
      <c r="G1696">
        <v>2024</v>
      </c>
    </row>
    <row r="1697" spans="1:7" hidden="1" x14ac:dyDescent="0.2">
      <c r="A1697" t="s">
        <v>31</v>
      </c>
      <c r="B1697" t="s">
        <v>33</v>
      </c>
      <c r="C1697">
        <v>15</v>
      </c>
      <c r="D1697" t="s">
        <v>127</v>
      </c>
      <c r="E1697" t="s">
        <v>291</v>
      </c>
      <c r="F1697">
        <v>10.199999999999999</v>
      </c>
      <c r="G1697">
        <v>2024</v>
      </c>
    </row>
    <row r="1698" spans="1:7" hidden="1" x14ac:dyDescent="0.2">
      <c r="A1698" t="s">
        <v>31</v>
      </c>
      <c r="B1698" t="s">
        <v>33</v>
      </c>
      <c r="C1698">
        <v>15</v>
      </c>
      <c r="D1698" t="s">
        <v>129</v>
      </c>
      <c r="E1698" t="s">
        <v>317</v>
      </c>
      <c r="F1698">
        <v>3.5</v>
      </c>
      <c r="G1698">
        <v>2024</v>
      </c>
    </row>
    <row r="1699" spans="1:7" hidden="1" x14ac:dyDescent="0.2">
      <c r="A1699" t="s">
        <v>31</v>
      </c>
      <c r="B1699" t="s">
        <v>33</v>
      </c>
      <c r="C1699">
        <v>15</v>
      </c>
      <c r="D1699" t="s">
        <v>131</v>
      </c>
      <c r="E1699" t="s">
        <v>143</v>
      </c>
      <c r="F1699">
        <v>8</v>
      </c>
      <c r="G1699">
        <v>2024</v>
      </c>
    </row>
    <row r="1700" spans="1:7" hidden="1" x14ac:dyDescent="0.2">
      <c r="A1700" t="s">
        <v>31</v>
      </c>
      <c r="B1700" t="s">
        <v>33</v>
      </c>
      <c r="C1700">
        <v>15</v>
      </c>
      <c r="D1700" t="s">
        <v>130</v>
      </c>
      <c r="E1700" t="s">
        <v>238</v>
      </c>
      <c r="F1700">
        <v>21</v>
      </c>
      <c r="G1700">
        <v>2024</v>
      </c>
    </row>
    <row r="1701" spans="1:7" hidden="1" x14ac:dyDescent="0.2">
      <c r="A1701" t="s">
        <v>31</v>
      </c>
      <c r="B1701" t="s">
        <v>33</v>
      </c>
      <c r="C1701">
        <v>15</v>
      </c>
      <c r="D1701" t="s">
        <v>293</v>
      </c>
      <c r="E1701" t="s">
        <v>198</v>
      </c>
      <c r="F1701">
        <v>9.6</v>
      </c>
      <c r="G1701">
        <v>2024</v>
      </c>
    </row>
    <row r="1702" spans="1:7" hidden="1" x14ac:dyDescent="0.2">
      <c r="A1702" t="s">
        <v>42</v>
      </c>
      <c r="B1702" t="s">
        <v>17</v>
      </c>
      <c r="C1702">
        <v>15</v>
      </c>
      <c r="D1702" t="s">
        <v>125</v>
      </c>
      <c r="E1702" t="s">
        <v>150</v>
      </c>
      <c r="F1702">
        <v>15.76</v>
      </c>
      <c r="G1702">
        <v>2024</v>
      </c>
    </row>
    <row r="1703" spans="1:7" hidden="1" x14ac:dyDescent="0.2">
      <c r="A1703" t="s">
        <v>42</v>
      </c>
      <c r="B1703" t="s">
        <v>17</v>
      </c>
      <c r="C1703">
        <v>15</v>
      </c>
      <c r="D1703" t="s">
        <v>128</v>
      </c>
      <c r="E1703" t="s">
        <v>152</v>
      </c>
      <c r="F1703">
        <v>32.4</v>
      </c>
      <c r="G1703">
        <v>2024</v>
      </c>
    </row>
    <row r="1704" spans="1:7" hidden="1" x14ac:dyDescent="0.2">
      <c r="A1704" t="s">
        <v>42</v>
      </c>
      <c r="B1704" t="s">
        <v>17</v>
      </c>
      <c r="C1704">
        <v>15</v>
      </c>
      <c r="D1704" t="s">
        <v>128</v>
      </c>
      <c r="E1704" t="s">
        <v>151</v>
      </c>
      <c r="F1704">
        <v>38.299999999999997</v>
      </c>
      <c r="G1704">
        <v>2024</v>
      </c>
    </row>
    <row r="1705" spans="1:7" hidden="1" x14ac:dyDescent="0.2">
      <c r="A1705" t="s">
        <v>42</v>
      </c>
      <c r="B1705" t="s">
        <v>17</v>
      </c>
      <c r="C1705">
        <v>15</v>
      </c>
      <c r="D1705" t="s">
        <v>128</v>
      </c>
      <c r="E1705" t="s">
        <v>153</v>
      </c>
      <c r="F1705">
        <v>12.9</v>
      </c>
      <c r="G1705">
        <v>2024</v>
      </c>
    </row>
    <row r="1706" spans="1:7" hidden="1" x14ac:dyDescent="0.2">
      <c r="A1706" t="s">
        <v>42</v>
      </c>
      <c r="B1706" t="s">
        <v>17</v>
      </c>
      <c r="C1706">
        <v>15</v>
      </c>
      <c r="D1706" t="s">
        <v>127</v>
      </c>
      <c r="E1706" t="s">
        <v>314</v>
      </c>
      <c r="F1706">
        <v>24.8</v>
      </c>
      <c r="G1706">
        <v>2024</v>
      </c>
    </row>
    <row r="1707" spans="1:7" hidden="1" x14ac:dyDescent="0.2">
      <c r="A1707" t="s">
        <v>42</v>
      </c>
      <c r="B1707" t="s">
        <v>17</v>
      </c>
      <c r="C1707">
        <v>15</v>
      </c>
      <c r="D1707" t="s">
        <v>127</v>
      </c>
      <c r="E1707" t="s">
        <v>154</v>
      </c>
      <c r="F1707">
        <v>6.7</v>
      </c>
      <c r="G1707">
        <v>2024</v>
      </c>
    </row>
    <row r="1708" spans="1:7" hidden="1" x14ac:dyDescent="0.2">
      <c r="A1708" t="s">
        <v>42</v>
      </c>
      <c r="B1708" t="s">
        <v>17</v>
      </c>
      <c r="C1708">
        <v>15</v>
      </c>
      <c r="D1708" t="s">
        <v>129</v>
      </c>
      <c r="E1708" t="s">
        <v>156</v>
      </c>
      <c r="F1708">
        <v>14.6</v>
      </c>
      <c r="G1708">
        <v>2024</v>
      </c>
    </row>
    <row r="1709" spans="1:7" hidden="1" x14ac:dyDescent="0.2">
      <c r="A1709" t="s">
        <v>42</v>
      </c>
      <c r="B1709" t="s">
        <v>17</v>
      </c>
      <c r="C1709">
        <v>15</v>
      </c>
      <c r="D1709" t="s">
        <v>131</v>
      </c>
      <c r="E1709" t="s">
        <v>339</v>
      </c>
      <c r="F1709">
        <v>18</v>
      </c>
      <c r="G1709">
        <v>2024</v>
      </c>
    </row>
    <row r="1710" spans="1:7" hidden="1" x14ac:dyDescent="0.2">
      <c r="A1710" t="s">
        <v>42</v>
      </c>
      <c r="B1710" t="s">
        <v>17</v>
      </c>
      <c r="C1710">
        <v>15</v>
      </c>
      <c r="D1710" t="s">
        <v>130</v>
      </c>
      <c r="E1710" t="s">
        <v>273</v>
      </c>
      <c r="F1710">
        <v>9</v>
      </c>
      <c r="G1710">
        <v>2024</v>
      </c>
    </row>
    <row r="1711" spans="1:7" hidden="1" x14ac:dyDescent="0.2">
      <c r="A1711" t="s">
        <v>42</v>
      </c>
      <c r="B1711" t="s">
        <v>17</v>
      </c>
      <c r="C1711">
        <v>15</v>
      </c>
      <c r="D1711" t="s">
        <v>294</v>
      </c>
      <c r="E1711" t="s">
        <v>389</v>
      </c>
      <c r="F1711">
        <v>0</v>
      </c>
      <c r="G1711">
        <v>2024</v>
      </c>
    </row>
    <row r="1712" spans="1:7" hidden="1" x14ac:dyDescent="0.2">
      <c r="A1712" t="s">
        <v>74</v>
      </c>
      <c r="B1712" t="s">
        <v>29</v>
      </c>
      <c r="C1712">
        <v>15</v>
      </c>
      <c r="D1712" t="s">
        <v>125</v>
      </c>
      <c r="E1712" t="s">
        <v>168</v>
      </c>
      <c r="F1712">
        <v>28.1</v>
      </c>
      <c r="G1712">
        <v>2024</v>
      </c>
    </row>
    <row r="1713" spans="1:7" hidden="1" x14ac:dyDescent="0.2">
      <c r="A1713" t="s">
        <v>74</v>
      </c>
      <c r="B1713" t="s">
        <v>29</v>
      </c>
      <c r="C1713">
        <v>15</v>
      </c>
      <c r="D1713" t="s">
        <v>128</v>
      </c>
      <c r="E1713" t="s">
        <v>171</v>
      </c>
      <c r="F1713">
        <v>16.8</v>
      </c>
      <c r="G1713">
        <v>2024</v>
      </c>
    </row>
    <row r="1714" spans="1:7" hidden="1" x14ac:dyDescent="0.2">
      <c r="A1714" t="s">
        <v>74</v>
      </c>
      <c r="B1714" t="s">
        <v>29</v>
      </c>
      <c r="C1714">
        <v>15</v>
      </c>
      <c r="D1714" t="s">
        <v>128</v>
      </c>
      <c r="E1714" t="s">
        <v>172</v>
      </c>
      <c r="F1714">
        <v>11</v>
      </c>
      <c r="G1714">
        <v>2024</v>
      </c>
    </row>
    <row r="1715" spans="1:7" hidden="1" x14ac:dyDescent="0.2">
      <c r="A1715" t="s">
        <v>74</v>
      </c>
      <c r="B1715" t="s">
        <v>29</v>
      </c>
      <c r="C1715">
        <v>15</v>
      </c>
      <c r="D1715" t="s">
        <v>128</v>
      </c>
      <c r="E1715" t="s">
        <v>382</v>
      </c>
      <c r="F1715">
        <v>7.8</v>
      </c>
      <c r="G1715">
        <v>2024</v>
      </c>
    </row>
    <row r="1716" spans="1:7" hidden="1" x14ac:dyDescent="0.2">
      <c r="A1716" t="s">
        <v>74</v>
      </c>
      <c r="B1716" t="s">
        <v>29</v>
      </c>
      <c r="C1716">
        <v>15</v>
      </c>
      <c r="D1716" t="s">
        <v>127</v>
      </c>
      <c r="E1716" t="s">
        <v>174</v>
      </c>
      <c r="F1716">
        <v>14</v>
      </c>
      <c r="G1716">
        <v>2024</v>
      </c>
    </row>
    <row r="1717" spans="1:7" hidden="1" x14ac:dyDescent="0.2">
      <c r="A1717" t="s">
        <v>74</v>
      </c>
      <c r="B1717" t="s">
        <v>29</v>
      </c>
      <c r="C1717">
        <v>15</v>
      </c>
      <c r="D1717" t="s">
        <v>127</v>
      </c>
      <c r="E1717" t="s">
        <v>296</v>
      </c>
      <c r="F1717">
        <v>2.2999999999999998</v>
      </c>
      <c r="G1717">
        <v>2024</v>
      </c>
    </row>
    <row r="1718" spans="1:7" hidden="1" x14ac:dyDescent="0.2">
      <c r="A1718" t="s">
        <v>74</v>
      </c>
      <c r="B1718" t="s">
        <v>29</v>
      </c>
      <c r="C1718">
        <v>15</v>
      </c>
      <c r="D1718" t="s">
        <v>129</v>
      </c>
      <c r="E1718" t="s">
        <v>191</v>
      </c>
      <c r="F1718">
        <v>4.8</v>
      </c>
      <c r="G1718">
        <v>2024</v>
      </c>
    </row>
    <row r="1719" spans="1:7" hidden="1" x14ac:dyDescent="0.2">
      <c r="A1719" t="s">
        <v>74</v>
      </c>
      <c r="B1719" t="s">
        <v>29</v>
      </c>
      <c r="C1719">
        <v>15</v>
      </c>
      <c r="D1719" t="s">
        <v>131</v>
      </c>
      <c r="E1719" t="s">
        <v>139</v>
      </c>
      <c r="F1719">
        <v>14</v>
      </c>
      <c r="G1719">
        <v>2024</v>
      </c>
    </row>
    <row r="1720" spans="1:7" hidden="1" x14ac:dyDescent="0.2">
      <c r="A1720" t="s">
        <v>74</v>
      </c>
      <c r="B1720" t="s">
        <v>29</v>
      </c>
      <c r="C1720">
        <v>15</v>
      </c>
      <c r="D1720" t="s">
        <v>130</v>
      </c>
      <c r="E1720" t="s">
        <v>408</v>
      </c>
      <c r="F1720">
        <v>2</v>
      </c>
      <c r="G1720">
        <v>2024</v>
      </c>
    </row>
    <row r="1721" spans="1:7" hidden="1" x14ac:dyDescent="0.2">
      <c r="A1721" t="s">
        <v>74</v>
      </c>
      <c r="B1721" t="s">
        <v>29</v>
      </c>
      <c r="C1721">
        <v>15</v>
      </c>
      <c r="D1721" t="s">
        <v>294</v>
      </c>
      <c r="E1721" t="s">
        <v>280</v>
      </c>
      <c r="F1721">
        <v>4.9000000000000004</v>
      </c>
      <c r="G1721">
        <v>2024</v>
      </c>
    </row>
    <row r="1722" spans="1:7" hidden="1" x14ac:dyDescent="0.2">
      <c r="A1722" t="s">
        <v>73</v>
      </c>
      <c r="B1722" t="s">
        <v>21</v>
      </c>
      <c r="C1722">
        <v>15</v>
      </c>
      <c r="D1722" t="s">
        <v>125</v>
      </c>
      <c r="E1722" t="s">
        <v>325</v>
      </c>
      <c r="F1722">
        <v>11.24</v>
      </c>
      <c r="G1722">
        <v>2024</v>
      </c>
    </row>
    <row r="1723" spans="1:7" hidden="1" x14ac:dyDescent="0.2">
      <c r="A1723" t="s">
        <v>73</v>
      </c>
      <c r="B1723" t="s">
        <v>21</v>
      </c>
      <c r="C1723">
        <v>15</v>
      </c>
      <c r="D1723" t="s">
        <v>128</v>
      </c>
      <c r="E1723" t="s">
        <v>145</v>
      </c>
      <c r="F1723">
        <v>21</v>
      </c>
      <c r="G1723">
        <v>2024</v>
      </c>
    </row>
    <row r="1724" spans="1:7" hidden="1" x14ac:dyDescent="0.2">
      <c r="A1724" t="s">
        <v>73</v>
      </c>
      <c r="B1724" t="s">
        <v>21</v>
      </c>
      <c r="C1724">
        <v>15</v>
      </c>
      <c r="D1724" t="s">
        <v>128</v>
      </c>
      <c r="E1724" t="s">
        <v>277</v>
      </c>
      <c r="F1724">
        <v>27.5</v>
      </c>
      <c r="G1724">
        <v>2024</v>
      </c>
    </row>
    <row r="1725" spans="1:7" hidden="1" x14ac:dyDescent="0.2">
      <c r="A1725" t="s">
        <v>73</v>
      </c>
      <c r="B1725" t="s">
        <v>21</v>
      </c>
      <c r="C1725">
        <v>15</v>
      </c>
      <c r="D1725" t="s">
        <v>128</v>
      </c>
      <c r="E1725" t="s">
        <v>146</v>
      </c>
      <c r="F1725">
        <v>3.4</v>
      </c>
      <c r="G1725">
        <v>2024</v>
      </c>
    </row>
    <row r="1726" spans="1:7" hidden="1" x14ac:dyDescent="0.2">
      <c r="A1726" t="s">
        <v>73</v>
      </c>
      <c r="B1726" t="s">
        <v>21</v>
      </c>
      <c r="C1726">
        <v>15</v>
      </c>
      <c r="D1726" t="s">
        <v>127</v>
      </c>
      <c r="E1726" t="s">
        <v>149</v>
      </c>
      <c r="F1726">
        <v>28.3</v>
      </c>
      <c r="G1726">
        <v>2024</v>
      </c>
    </row>
    <row r="1727" spans="1:7" hidden="1" x14ac:dyDescent="0.2">
      <c r="A1727" t="s">
        <v>73</v>
      </c>
      <c r="B1727" t="s">
        <v>21</v>
      </c>
      <c r="C1727">
        <v>15</v>
      </c>
      <c r="D1727" t="s">
        <v>127</v>
      </c>
      <c r="E1727" t="s">
        <v>148</v>
      </c>
      <c r="F1727">
        <v>11.1</v>
      </c>
      <c r="G1727">
        <v>2024</v>
      </c>
    </row>
    <row r="1728" spans="1:7" hidden="1" x14ac:dyDescent="0.2">
      <c r="A1728" t="s">
        <v>73</v>
      </c>
      <c r="B1728" t="s">
        <v>21</v>
      </c>
      <c r="C1728">
        <v>15</v>
      </c>
      <c r="D1728" t="s">
        <v>129</v>
      </c>
      <c r="E1728" t="s">
        <v>327</v>
      </c>
      <c r="F1728">
        <v>4.4000000000000004</v>
      </c>
      <c r="G1728">
        <v>2024</v>
      </c>
    </row>
    <row r="1729" spans="1:7" hidden="1" x14ac:dyDescent="0.2">
      <c r="A1729" t="s">
        <v>73</v>
      </c>
      <c r="B1729" t="s">
        <v>21</v>
      </c>
      <c r="C1729">
        <v>15</v>
      </c>
      <c r="D1729" t="s">
        <v>131</v>
      </c>
      <c r="E1729" t="s">
        <v>242</v>
      </c>
      <c r="F1729">
        <v>8</v>
      </c>
      <c r="G1729">
        <v>2024</v>
      </c>
    </row>
    <row r="1730" spans="1:7" hidden="1" x14ac:dyDescent="0.2">
      <c r="A1730" t="s">
        <v>73</v>
      </c>
      <c r="B1730" t="s">
        <v>21</v>
      </c>
      <c r="C1730">
        <v>15</v>
      </c>
      <c r="D1730" t="s">
        <v>130</v>
      </c>
      <c r="E1730" t="s">
        <v>281</v>
      </c>
      <c r="F1730">
        <v>4</v>
      </c>
      <c r="G1730">
        <v>2024</v>
      </c>
    </row>
    <row r="1731" spans="1:7" hidden="1" x14ac:dyDescent="0.2">
      <c r="A1731" t="s">
        <v>73</v>
      </c>
      <c r="B1731" t="s">
        <v>21</v>
      </c>
      <c r="C1731">
        <v>15</v>
      </c>
      <c r="D1731" t="s">
        <v>294</v>
      </c>
      <c r="E1731" t="s">
        <v>328</v>
      </c>
      <c r="F1731">
        <v>0</v>
      </c>
      <c r="G1731">
        <v>2024</v>
      </c>
    </row>
    <row r="1732" spans="1:7" hidden="1" x14ac:dyDescent="0.2">
      <c r="A1732" t="s">
        <v>76</v>
      </c>
      <c r="B1732" t="s">
        <v>32</v>
      </c>
      <c r="C1732">
        <v>15</v>
      </c>
      <c r="D1732" t="s">
        <v>125</v>
      </c>
      <c r="E1732" t="s">
        <v>230</v>
      </c>
      <c r="F1732">
        <v>16.84</v>
      </c>
      <c r="G1732">
        <v>2024</v>
      </c>
    </row>
    <row r="1733" spans="1:7" hidden="1" x14ac:dyDescent="0.2">
      <c r="A1733" t="s">
        <v>76</v>
      </c>
      <c r="B1733" t="s">
        <v>32</v>
      </c>
      <c r="C1733">
        <v>15</v>
      </c>
      <c r="D1733" t="s">
        <v>128</v>
      </c>
      <c r="E1733" t="s">
        <v>232</v>
      </c>
      <c r="F1733">
        <v>15.7</v>
      </c>
      <c r="G1733">
        <v>2024</v>
      </c>
    </row>
    <row r="1734" spans="1:7" hidden="1" x14ac:dyDescent="0.2">
      <c r="A1734" t="s">
        <v>76</v>
      </c>
      <c r="B1734" t="s">
        <v>32</v>
      </c>
      <c r="C1734">
        <v>15</v>
      </c>
      <c r="D1734" t="s">
        <v>128</v>
      </c>
      <c r="E1734" t="s">
        <v>231</v>
      </c>
      <c r="F1734">
        <v>13.9</v>
      </c>
      <c r="G1734">
        <v>2024</v>
      </c>
    </row>
    <row r="1735" spans="1:7" hidden="1" x14ac:dyDescent="0.2">
      <c r="A1735" t="s">
        <v>76</v>
      </c>
      <c r="B1735" t="s">
        <v>32</v>
      </c>
      <c r="C1735">
        <v>15</v>
      </c>
      <c r="D1735" t="s">
        <v>128</v>
      </c>
      <c r="E1735" t="s">
        <v>303</v>
      </c>
      <c r="F1735">
        <v>8.4</v>
      </c>
      <c r="G1735">
        <v>2024</v>
      </c>
    </row>
    <row r="1736" spans="1:7" hidden="1" x14ac:dyDescent="0.2">
      <c r="A1736" t="s">
        <v>76</v>
      </c>
      <c r="B1736" t="s">
        <v>32</v>
      </c>
      <c r="C1736">
        <v>15</v>
      </c>
      <c r="D1736" t="s">
        <v>127</v>
      </c>
      <c r="E1736" t="s">
        <v>235</v>
      </c>
      <c r="F1736">
        <v>17.600000000000001</v>
      </c>
      <c r="G1736">
        <v>2024</v>
      </c>
    </row>
    <row r="1737" spans="1:7" hidden="1" x14ac:dyDescent="0.2">
      <c r="A1737" t="s">
        <v>76</v>
      </c>
      <c r="B1737" t="s">
        <v>32</v>
      </c>
      <c r="C1737">
        <v>15</v>
      </c>
      <c r="D1737" t="s">
        <v>127</v>
      </c>
      <c r="E1737" t="s">
        <v>278</v>
      </c>
      <c r="F1737">
        <v>9.4</v>
      </c>
      <c r="G1737">
        <v>2024</v>
      </c>
    </row>
    <row r="1738" spans="1:7" hidden="1" x14ac:dyDescent="0.2">
      <c r="A1738" t="s">
        <v>76</v>
      </c>
      <c r="B1738" t="s">
        <v>32</v>
      </c>
      <c r="C1738">
        <v>15</v>
      </c>
      <c r="D1738" t="s">
        <v>129</v>
      </c>
      <c r="E1738" t="s">
        <v>236</v>
      </c>
      <c r="F1738">
        <v>8.1</v>
      </c>
      <c r="G1738">
        <v>2024</v>
      </c>
    </row>
    <row r="1739" spans="1:7" hidden="1" x14ac:dyDescent="0.2">
      <c r="A1739" t="s">
        <v>76</v>
      </c>
      <c r="B1739" t="s">
        <v>32</v>
      </c>
      <c r="C1739">
        <v>15</v>
      </c>
      <c r="D1739" t="s">
        <v>131</v>
      </c>
      <c r="E1739" t="s">
        <v>374</v>
      </c>
      <c r="F1739">
        <v>6</v>
      </c>
      <c r="G1739">
        <v>2024</v>
      </c>
    </row>
    <row r="1740" spans="1:7" hidden="1" x14ac:dyDescent="0.2">
      <c r="A1740" t="s">
        <v>76</v>
      </c>
      <c r="B1740" t="s">
        <v>32</v>
      </c>
      <c r="C1740">
        <v>15</v>
      </c>
      <c r="D1740" t="s">
        <v>130</v>
      </c>
      <c r="E1740" t="s">
        <v>215</v>
      </c>
      <c r="F1740">
        <v>3</v>
      </c>
      <c r="G1740">
        <v>2024</v>
      </c>
    </row>
    <row r="1741" spans="1:7" hidden="1" x14ac:dyDescent="0.2">
      <c r="A1741" t="s">
        <v>76</v>
      </c>
      <c r="B1741" t="s">
        <v>32</v>
      </c>
      <c r="C1741">
        <v>15</v>
      </c>
      <c r="D1741" t="s">
        <v>293</v>
      </c>
      <c r="E1741" t="s">
        <v>234</v>
      </c>
      <c r="F1741">
        <v>9</v>
      </c>
      <c r="G1741">
        <v>2024</v>
      </c>
    </row>
    <row r="1742" spans="1:7" hidden="1" x14ac:dyDescent="0.2">
      <c r="A1742" t="s">
        <v>75</v>
      </c>
      <c r="B1742" t="s">
        <v>36</v>
      </c>
      <c r="C1742">
        <v>15</v>
      </c>
      <c r="D1742" t="s">
        <v>125</v>
      </c>
      <c r="E1742" t="s">
        <v>185</v>
      </c>
      <c r="F1742">
        <v>9.94</v>
      </c>
      <c r="G1742">
        <v>2024</v>
      </c>
    </row>
    <row r="1743" spans="1:7" hidden="1" x14ac:dyDescent="0.2">
      <c r="A1743" t="s">
        <v>75</v>
      </c>
      <c r="B1743" t="s">
        <v>36</v>
      </c>
      <c r="C1743">
        <v>15</v>
      </c>
      <c r="D1743" t="s">
        <v>128</v>
      </c>
      <c r="E1743" t="s">
        <v>187</v>
      </c>
      <c r="F1743">
        <v>30.3</v>
      </c>
      <c r="G1743">
        <v>2024</v>
      </c>
    </row>
    <row r="1744" spans="1:7" hidden="1" x14ac:dyDescent="0.2">
      <c r="A1744" t="s">
        <v>75</v>
      </c>
      <c r="B1744" t="s">
        <v>36</v>
      </c>
      <c r="C1744">
        <v>15</v>
      </c>
      <c r="D1744" t="s">
        <v>128</v>
      </c>
      <c r="E1744" t="s">
        <v>186</v>
      </c>
      <c r="F1744">
        <v>14.3</v>
      </c>
      <c r="G1744">
        <v>2024</v>
      </c>
    </row>
    <row r="1745" spans="1:7" hidden="1" x14ac:dyDescent="0.2">
      <c r="A1745" t="s">
        <v>75</v>
      </c>
      <c r="B1745" t="s">
        <v>36</v>
      </c>
      <c r="C1745">
        <v>15</v>
      </c>
      <c r="D1745" t="s">
        <v>128</v>
      </c>
      <c r="E1745" t="s">
        <v>248</v>
      </c>
      <c r="F1745">
        <v>13.3</v>
      </c>
      <c r="G1745">
        <v>2024</v>
      </c>
    </row>
    <row r="1746" spans="1:7" hidden="1" x14ac:dyDescent="0.2">
      <c r="A1746" t="s">
        <v>75</v>
      </c>
      <c r="B1746" t="s">
        <v>36</v>
      </c>
      <c r="C1746">
        <v>15</v>
      </c>
      <c r="D1746" t="s">
        <v>127</v>
      </c>
      <c r="E1746" t="s">
        <v>343</v>
      </c>
      <c r="F1746">
        <v>8.5</v>
      </c>
      <c r="G1746">
        <v>2024</v>
      </c>
    </row>
    <row r="1747" spans="1:7" hidden="1" x14ac:dyDescent="0.2">
      <c r="A1747" t="s">
        <v>75</v>
      </c>
      <c r="B1747" t="s">
        <v>36</v>
      </c>
      <c r="C1747">
        <v>15</v>
      </c>
      <c r="D1747" t="s">
        <v>127</v>
      </c>
      <c r="E1747" t="s">
        <v>403</v>
      </c>
      <c r="F1747">
        <v>13.1</v>
      </c>
      <c r="G1747">
        <v>2024</v>
      </c>
    </row>
    <row r="1748" spans="1:7" hidden="1" x14ac:dyDescent="0.2">
      <c r="A1748" t="s">
        <v>75</v>
      </c>
      <c r="B1748" t="s">
        <v>36</v>
      </c>
      <c r="C1748">
        <v>15</v>
      </c>
      <c r="D1748" t="s">
        <v>129</v>
      </c>
      <c r="E1748" t="s">
        <v>249</v>
      </c>
      <c r="F1748">
        <v>4.7</v>
      </c>
      <c r="G1748">
        <v>2024</v>
      </c>
    </row>
    <row r="1749" spans="1:7" hidden="1" x14ac:dyDescent="0.2">
      <c r="A1749" t="s">
        <v>75</v>
      </c>
      <c r="B1749" t="s">
        <v>36</v>
      </c>
      <c r="C1749">
        <v>15</v>
      </c>
      <c r="D1749" t="s">
        <v>131</v>
      </c>
      <c r="E1749" t="s">
        <v>169</v>
      </c>
      <c r="F1749">
        <v>9</v>
      </c>
      <c r="G1749">
        <v>2024</v>
      </c>
    </row>
    <row r="1750" spans="1:7" hidden="1" x14ac:dyDescent="0.2">
      <c r="A1750" t="s">
        <v>75</v>
      </c>
      <c r="B1750" t="s">
        <v>36</v>
      </c>
      <c r="C1750">
        <v>15</v>
      </c>
      <c r="D1750" t="s">
        <v>130</v>
      </c>
      <c r="E1750" t="s">
        <v>142</v>
      </c>
      <c r="F1750">
        <v>0</v>
      </c>
      <c r="G1750">
        <v>2024</v>
      </c>
    </row>
    <row r="1751" spans="1:7" hidden="1" x14ac:dyDescent="0.2">
      <c r="A1751" t="s">
        <v>75</v>
      </c>
      <c r="B1751" t="s">
        <v>36</v>
      </c>
      <c r="C1751">
        <v>15</v>
      </c>
      <c r="D1751" t="s">
        <v>294</v>
      </c>
      <c r="E1751" t="s">
        <v>188</v>
      </c>
      <c r="F1751">
        <v>12.8</v>
      </c>
      <c r="G1751">
        <v>2024</v>
      </c>
    </row>
    <row r="1752" spans="1:7" hidden="1" x14ac:dyDescent="0.2">
      <c r="A1752" t="s">
        <v>26</v>
      </c>
      <c r="B1752" t="s">
        <v>28</v>
      </c>
      <c r="C1752">
        <v>15</v>
      </c>
      <c r="D1752" t="s">
        <v>125</v>
      </c>
      <c r="E1752" t="s">
        <v>212</v>
      </c>
      <c r="F1752">
        <v>41.28</v>
      </c>
      <c r="G1752">
        <v>2024</v>
      </c>
    </row>
    <row r="1753" spans="1:7" hidden="1" x14ac:dyDescent="0.2">
      <c r="A1753" t="s">
        <v>26</v>
      </c>
      <c r="B1753" t="s">
        <v>28</v>
      </c>
      <c r="C1753">
        <v>15</v>
      </c>
      <c r="D1753" t="s">
        <v>128</v>
      </c>
      <c r="E1753" t="s">
        <v>257</v>
      </c>
      <c r="F1753">
        <v>16.600000000000001</v>
      </c>
      <c r="G1753">
        <v>2024</v>
      </c>
    </row>
    <row r="1754" spans="1:7" hidden="1" x14ac:dyDescent="0.2">
      <c r="A1754" t="s">
        <v>26</v>
      </c>
      <c r="B1754" t="s">
        <v>28</v>
      </c>
      <c r="C1754">
        <v>15</v>
      </c>
      <c r="D1754" t="s">
        <v>128</v>
      </c>
      <c r="E1754" t="s">
        <v>219</v>
      </c>
      <c r="F1754">
        <v>4.3</v>
      </c>
      <c r="G1754">
        <v>2024</v>
      </c>
    </row>
    <row r="1755" spans="1:7" hidden="1" x14ac:dyDescent="0.2">
      <c r="A1755" t="s">
        <v>26</v>
      </c>
      <c r="B1755" t="s">
        <v>28</v>
      </c>
      <c r="C1755">
        <v>15</v>
      </c>
      <c r="D1755" t="s">
        <v>128</v>
      </c>
      <c r="E1755" t="s">
        <v>218</v>
      </c>
      <c r="F1755">
        <v>19.2</v>
      </c>
      <c r="G1755">
        <v>2024</v>
      </c>
    </row>
    <row r="1756" spans="1:7" hidden="1" x14ac:dyDescent="0.2">
      <c r="A1756" t="s">
        <v>26</v>
      </c>
      <c r="B1756" t="s">
        <v>28</v>
      </c>
      <c r="C1756">
        <v>15</v>
      </c>
      <c r="D1756" t="s">
        <v>127</v>
      </c>
      <c r="E1756" t="s">
        <v>256</v>
      </c>
      <c r="F1756">
        <v>12.2</v>
      </c>
      <c r="G1756">
        <v>2024</v>
      </c>
    </row>
    <row r="1757" spans="1:7" hidden="1" x14ac:dyDescent="0.2">
      <c r="A1757" t="s">
        <v>26</v>
      </c>
      <c r="B1757" t="s">
        <v>28</v>
      </c>
      <c r="C1757">
        <v>15</v>
      </c>
      <c r="D1757" t="s">
        <v>127</v>
      </c>
      <c r="E1757" t="s">
        <v>217</v>
      </c>
      <c r="F1757">
        <v>13.1</v>
      </c>
      <c r="G1757">
        <v>2024</v>
      </c>
    </row>
    <row r="1758" spans="1:7" hidden="1" x14ac:dyDescent="0.2">
      <c r="A1758" t="s">
        <v>26</v>
      </c>
      <c r="B1758" t="s">
        <v>28</v>
      </c>
      <c r="C1758">
        <v>15</v>
      </c>
      <c r="D1758" t="s">
        <v>129</v>
      </c>
      <c r="E1758" t="s">
        <v>331</v>
      </c>
      <c r="F1758">
        <v>3.4</v>
      </c>
      <c r="G1758">
        <v>2024</v>
      </c>
    </row>
    <row r="1759" spans="1:7" hidden="1" x14ac:dyDescent="0.2">
      <c r="A1759" t="s">
        <v>26</v>
      </c>
      <c r="B1759" t="s">
        <v>28</v>
      </c>
      <c r="C1759">
        <v>15</v>
      </c>
      <c r="D1759" t="s">
        <v>131</v>
      </c>
      <c r="E1759" t="s">
        <v>192</v>
      </c>
      <c r="F1759">
        <v>9</v>
      </c>
      <c r="G1759">
        <v>2024</v>
      </c>
    </row>
    <row r="1760" spans="1:7" hidden="1" x14ac:dyDescent="0.2">
      <c r="A1760" t="s">
        <v>26</v>
      </c>
      <c r="B1760" t="s">
        <v>28</v>
      </c>
      <c r="C1760">
        <v>15</v>
      </c>
      <c r="D1760" t="s">
        <v>130</v>
      </c>
      <c r="E1760" t="s">
        <v>167</v>
      </c>
      <c r="F1760">
        <v>9</v>
      </c>
      <c r="G1760">
        <v>2024</v>
      </c>
    </row>
    <row r="1761" spans="1:7" hidden="1" x14ac:dyDescent="0.2">
      <c r="A1761" t="s">
        <v>26</v>
      </c>
      <c r="B1761" t="s">
        <v>28</v>
      </c>
      <c r="C1761">
        <v>15</v>
      </c>
      <c r="D1761" t="s">
        <v>293</v>
      </c>
      <c r="E1761" t="s">
        <v>216</v>
      </c>
      <c r="F1761">
        <v>8.4</v>
      </c>
      <c r="G1761">
        <v>2024</v>
      </c>
    </row>
    <row r="1762" spans="1:7" hidden="1" x14ac:dyDescent="0.2">
      <c r="A1762" t="s">
        <v>18</v>
      </c>
      <c r="B1762" t="s">
        <v>20</v>
      </c>
      <c r="C1762">
        <v>15</v>
      </c>
      <c r="D1762" t="s">
        <v>125</v>
      </c>
      <c r="E1762" t="s">
        <v>250</v>
      </c>
      <c r="F1762">
        <v>23.64</v>
      </c>
      <c r="G1762">
        <v>2024</v>
      </c>
    </row>
    <row r="1763" spans="1:7" hidden="1" x14ac:dyDescent="0.2">
      <c r="A1763" t="s">
        <v>18</v>
      </c>
      <c r="B1763" t="s">
        <v>20</v>
      </c>
      <c r="C1763">
        <v>15</v>
      </c>
      <c r="D1763" t="s">
        <v>128</v>
      </c>
      <c r="E1763" t="s">
        <v>295</v>
      </c>
      <c r="F1763">
        <v>22.8</v>
      </c>
      <c r="G1763">
        <v>2024</v>
      </c>
    </row>
    <row r="1764" spans="1:7" hidden="1" x14ac:dyDescent="0.2">
      <c r="A1764" t="s">
        <v>18</v>
      </c>
      <c r="B1764" t="s">
        <v>20</v>
      </c>
      <c r="C1764">
        <v>15</v>
      </c>
      <c r="D1764" t="s">
        <v>128</v>
      </c>
      <c r="E1764" t="s">
        <v>404</v>
      </c>
      <c r="F1764">
        <v>7.6</v>
      </c>
      <c r="G1764">
        <v>2024</v>
      </c>
    </row>
    <row r="1765" spans="1:7" hidden="1" x14ac:dyDescent="0.2">
      <c r="A1765" t="s">
        <v>18</v>
      </c>
      <c r="B1765" t="s">
        <v>20</v>
      </c>
      <c r="C1765">
        <v>15</v>
      </c>
      <c r="D1765" t="s">
        <v>128</v>
      </c>
      <c r="E1765" t="s">
        <v>205</v>
      </c>
      <c r="F1765">
        <v>22.5</v>
      </c>
      <c r="G1765">
        <v>2024</v>
      </c>
    </row>
    <row r="1766" spans="1:7" hidden="1" x14ac:dyDescent="0.2">
      <c r="A1766" t="s">
        <v>18</v>
      </c>
      <c r="B1766" t="s">
        <v>20</v>
      </c>
      <c r="C1766">
        <v>15</v>
      </c>
      <c r="D1766" t="s">
        <v>127</v>
      </c>
      <c r="E1766" t="s">
        <v>208</v>
      </c>
      <c r="F1766">
        <v>25.8</v>
      </c>
      <c r="G1766">
        <v>2024</v>
      </c>
    </row>
    <row r="1767" spans="1:7" hidden="1" x14ac:dyDescent="0.2">
      <c r="A1767" t="s">
        <v>18</v>
      </c>
      <c r="B1767" t="s">
        <v>20</v>
      </c>
      <c r="C1767">
        <v>15</v>
      </c>
      <c r="D1767" t="s">
        <v>127</v>
      </c>
      <c r="E1767" t="s">
        <v>207</v>
      </c>
      <c r="F1767">
        <v>25.9</v>
      </c>
      <c r="G1767">
        <v>2024</v>
      </c>
    </row>
    <row r="1768" spans="1:7" hidden="1" x14ac:dyDescent="0.2">
      <c r="A1768" t="s">
        <v>18</v>
      </c>
      <c r="B1768" t="s">
        <v>20</v>
      </c>
      <c r="C1768">
        <v>15</v>
      </c>
      <c r="D1768" t="s">
        <v>129</v>
      </c>
      <c r="E1768" t="s">
        <v>144</v>
      </c>
      <c r="F1768">
        <v>9.6999999999999993</v>
      </c>
      <c r="G1768">
        <v>2024</v>
      </c>
    </row>
    <row r="1769" spans="1:7" hidden="1" x14ac:dyDescent="0.2">
      <c r="A1769" t="s">
        <v>18</v>
      </c>
      <c r="B1769" t="s">
        <v>20</v>
      </c>
      <c r="C1769">
        <v>15</v>
      </c>
      <c r="D1769" t="s">
        <v>131</v>
      </c>
      <c r="E1769" t="s">
        <v>210</v>
      </c>
      <c r="F1769">
        <v>16</v>
      </c>
      <c r="G1769">
        <v>2024</v>
      </c>
    </row>
    <row r="1770" spans="1:7" hidden="1" x14ac:dyDescent="0.2">
      <c r="A1770" t="s">
        <v>18</v>
      </c>
      <c r="B1770" t="s">
        <v>20</v>
      </c>
      <c r="C1770">
        <v>15</v>
      </c>
      <c r="D1770" t="s">
        <v>130</v>
      </c>
      <c r="E1770" t="s">
        <v>323</v>
      </c>
      <c r="F1770">
        <v>19</v>
      </c>
      <c r="G1770">
        <v>2024</v>
      </c>
    </row>
    <row r="1771" spans="1:7" hidden="1" x14ac:dyDescent="0.2">
      <c r="A1771" t="s">
        <v>18</v>
      </c>
      <c r="B1771" t="s">
        <v>20</v>
      </c>
      <c r="C1771">
        <v>15</v>
      </c>
      <c r="D1771" t="s">
        <v>294</v>
      </c>
      <c r="E1771" t="s">
        <v>204</v>
      </c>
      <c r="F1771">
        <v>0</v>
      </c>
      <c r="G1771">
        <v>2024</v>
      </c>
    </row>
    <row r="1772" spans="1:7" hidden="1" x14ac:dyDescent="0.2">
      <c r="A1772" t="s">
        <v>46</v>
      </c>
      <c r="B1772" t="s">
        <v>47</v>
      </c>
      <c r="C1772">
        <v>15</v>
      </c>
      <c r="D1772" t="s">
        <v>125</v>
      </c>
      <c r="E1772" t="s">
        <v>176</v>
      </c>
      <c r="F1772">
        <v>3.98</v>
      </c>
      <c r="G1772">
        <v>2024</v>
      </c>
    </row>
    <row r="1773" spans="1:7" hidden="1" x14ac:dyDescent="0.2">
      <c r="A1773" t="s">
        <v>46</v>
      </c>
      <c r="B1773" t="s">
        <v>47</v>
      </c>
      <c r="C1773">
        <v>15</v>
      </c>
      <c r="D1773" t="s">
        <v>128</v>
      </c>
      <c r="E1773" t="s">
        <v>177</v>
      </c>
      <c r="F1773">
        <v>22.1</v>
      </c>
      <c r="G1773">
        <v>2024</v>
      </c>
    </row>
    <row r="1774" spans="1:7" hidden="1" x14ac:dyDescent="0.2">
      <c r="A1774" t="s">
        <v>46</v>
      </c>
      <c r="B1774" t="s">
        <v>47</v>
      </c>
      <c r="C1774">
        <v>15</v>
      </c>
      <c r="D1774" t="s">
        <v>128</v>
      </c>
      <c r="E1774" t="s">
        <v>179</v>
      </c>
      <c r="F1774">
        <v>14.3</v>
      </c>
      <c r="G1774">
        <v>2024</v>
      </c>
    </row>
    <row r="1775" spans="1:7" hidden="1" x14ac:dyDescent="0.2">
      <c r="A1775" t="s">
        <v>46</v>
      </c>
      <c r="B1775" t="s">
        <v>47</v>
      </c>
      <c r="C1775">
        <v>15</v>
      </c>
      <c r="D1775" t="s">
        <v>128</v>
      </c>
      <c r="E1775" t="s">
        <v>283</v>
      </c>
      <c r="F1775">
        <v>16.3</v>
      </c>
      <c r="G1775">
        <v>2024</v>
      </c>
    </row>
    <row r="1776" spans="1:7" hidden="1" x14ac:dyDescent="0.2">
      <c r="A1776" t="s">
        <v>46</v>
      </c>
      <c r="B1776" t="s">
        <v>47</v>
      </c>
      <c r="C1776">
        <v>15</v>
      </c>
      <c r="D1776" t="s">
        <v>127</v>
      </c>
      <c r="E1776" t="s">
        <v>180</v>
      </c>
      <c r="F1776">
        <v>19.600000000000001</v>
      </c>
      <c r="G1776">
        <v>2024</v>
      </c>
    </row>
    <row r="1777" spans="1:7" hidden="1" x14ac:dyDescent="0.2">
      <c r="A1777" t="s">
        <v>46</v>
      </c>
      <c r="B1777" t="s">
        <v>47</v>
      </c>
      <c r="C1777">
        <v>15</v>
      </c>
      <c r="D1777" t="s">
        <v>127</v>
      </c>
      <c r="E1777" t="s">
        <v>318</v>
      </c>
      <c r="F1777">
        <v>14.9</v>
      </c>
      <c r="G1777">
        <v>2024</v>
      </c>
    </row>
    <row r="1778" spans="1:7" hidden="1" x14ac:dyDescent="0.2">
      <c r="A1778" t="s">
        <v>46</v>
      </c>
      <c r="B1778" t="s">
        <v>47</v>
      </c>
      <c r="C1778">
        <v>15</v>
      </c>
      <c r="D1778" t="s">
        <v>129</v>
      </c>
      <c r="E1778" t="s">
        <v>182</v>
      </c>
      <c r="F1778">
        <v>5</v>
      </c>
      <c r="G1778">
        <v>2024</v>
      </c>
    </row>
    <row r="1779" spans="1:7" hidden="1" x14ac:dyDescent="0.2">
      <c r="A1779" t="s">
        <v>46</v>
      </c>
      <c r="B1779" t="s">
        <v>47</v>
      </c>
      <c r="C1779">
        <v>15</v>
      </c>
      <c r="D1779" t="s">
        <v>131</v>
      </c>
      <c r="E1779" t="s">
        <v>406</v>
      </c>
      <c r="F1779">
        <v>3</v>
      </c>
      <c r="G1779">
        <v>2024</v>
      </c>
    </row>
    <row r="1780" spans="1:7" hidden="1" x14ac:dyDescent="0.2">
      <c r="A1780" t="s">
        <v>46</v>
      </c>
      <c r="B1780" t="s">
        <v>47</v>
      </c>
      <c r="C1780">
        <v>15</v>
      </c>
      <c r="D1780" t="s">
        <v>130</v>
      </c>
      <c r="E1780" t="s">
        <v>287</v>
      </c>
      <c r="F1780">
        <v>22</v>
      </c>
      <c r="G1780">
        <v>2024</v>
      </c>
    </row>
    <row r="1781" spans="1:7" hidden="1" x14ac:dyDescent="0.2">
      <c r="A1781" t="s">
        <v>46</v>
      </c>
      <c r="B1781" t="s">
        <v>47</v>
      </c>
      <c r="C1781">
        <v>15</v>
      </c>
      <c r="D1781" t="s">
        <v>293</v>
      </c>
      <c r="E1781" t="s">
        <v>181</v>
      </c>
      <c r="F1781">
        <v>5.5</v>
      </c>
      <c r="G1781">
        <v>2024</v>
      </c>
    </row>
    <row r="1782" spans="1:7" hidden="1" x14ac:dyDescent="0.2">
      <c r="A1782" t="s">
        <v>35</v>
      </c>
      <c r="B1782" t="s">
        <v>49</v>
      </c>
      <c r="C1782">
        <v>15</v>
      </c>
      <c r="D1782" t="s">
        <v>125</v>
      </c>
      <c r="E1782" t="s">
        <v>345</v>
      </c>
      <c r="F1782">
        <v>6.48</v>
      </c>
      <c r="G1782">
        <v>2024</v>
      </c>
    </row>
    <row r="1783" spans="1:7" hidden="1" x14ac:dyDescent="0.2">
      <c r="A1783" t="s">
        <v>35</v>
      </c>
      <c r="B1783" t="s">
        <v>49</v>
      </c>
      <c r="C1783">
        <v>15</v>
      </c>
      <c r="D1783" t="s">
        <v>128</v>
      </c>
      <c r="E1783" t="s">
        <v>304</v>
      </c>
      <c r="F1783">
        <v>17.2</v>
      </c>
      <c r="G1783">
        <v>2024</v>
      </c>
    </row>
    <row r="1784" spans="1:7" hidden="1" x14ac:dyDescent="0.2">
      <c r="A1784" t="s">
        <v>35</v>
      </c>
      <c r="B1784" t="s">
        <v>49</v>
      </c>
      <c r="C1784">
        <v>15</v>
      </c>
      <c r="D1784" t="s">
        <v>128</v>
      </c>
      <c r="E1784" t="s">
        <v>224</v>
      </c>
      <c r="F1784">
        <v>13.1</v>
      </c>
      <c r="G1784">
        <v>2024</v>
      </c>
    </row>
    <row r="1785" spans="1:7" hidden="1" x14ac:dyDescent="0.2">
      <c r="A1785" t="s">
        <v>35</v>
      </c>
      <c r="B1785" t="s">
        <v>49</v>
      </c>
      <c r="C1785">
        <v>15</v>
      </c>
      <c r="D1785" t="s">
        <v>128</v>
      </c>
      <c r="E1785" t="s">
        <v>222</v>
      </c>
      <c r="F1785">
        <v>11.2</v>
      </c>
      <c r="G1785">
        <v>2024</v>
      </c>
    </row>
    <row r="1786" spans="1:7" hidden="1" x14ac:dyDescent="0.2">
      <c r="A1786" t="s">
        <v>35</v>
      </c>
      <c r="B1786" t="s">
        <v>49</v>
      </c>
      <c r="C1786">
        <v>15</v>
      </c>
      <c r="D1786" t="s">
        <v>127</v>
      </c>
      <c r="E1786" t="s">
        <v>255</v>
      </c>
      <c r="F1786">
        <v>12.3</v>
      </c>
      <c r="G1786">
        <v>2024</v>
      </c>
    </row>
    <row r="1787" spans="1:7" hidden="1" x14ac:dyDescent="0.2">
      <c r="A1787" t="s">
        <v>35</v>
      </c>
      <c r="B1787" t="s">
        <v>49</v>
      </c>
      <c r="C1787">
        <v>15</v>
      </c>
      <c r="D1787" t="s">
        <v>127</v>
      </c>
      <c r="E1787" t="s">
        <v>226</v>
      </c>
      <c r="F1787">
        <v>12.1</v>
      </c>
      <c r="G1787">
        <v>2024</v>
      </c>
    </row>
    <row r="1788" spans="1:7" hidden="1" x14ac:dyDescent="0.2">
      <c r="A1788" t="s">
        <v>35</v>
      </c>
      <c r="B1788" t="s">
        <v>49</v>
      </c>
      <c r="C1788">
        <v>15</v>
      </c>
      <c r="D1788" t="s">
        <v>129</v>
      </c>
      <c r="E1788" t="s">
        <v>376</v>
      </c>
      <c r="F1788">
        <v>7.7</v>
      </c>
      <c r="G1788">
        <v>2024</v>
      </c>
    </row>
    <row r="1789" spans="1:7" hidden="1" x14ac:dyDescent="0.2">
      <c r="A1789" t="s">
        <v>35</v>
      </c>
      <c r="B1789" t="s">
        <v>49</v>
      </c>
      <c r="C1789">
        <v>15</v>
      </c>
      <c r="D1789" t="s">
        <v>131</v>
      </c>
      <c r="E1789" t="s">
        <v>350</v>
      </c>
      <c r="F1789">
        <v>6</v>
      </c>
      <c r="G1789">
        <v>2024</v>
      </c>
    </row>
    <row r="1790" spans="1:7" hidden="1" x14ac:dyDescent="0.2">
      <c r="A1790" t="s">
        <v>35</v>
      </c>
      <c r="B1790" t="s">
        <v>49</v>
      </c>
      <c r="C1790">
        <v>15</v>
      </c>
      <c r="D1790" t="s">
        <v>130</v>
      </c>
      <c r="E1790" t="s">
        <v>405</v>
      </c>
      <c r="F1790">
        <v>4</v>
      </c>
      <c r="G1790">
        <v>2024</v>
      </c>
    </row>
    <row r="1791" spans="1:7" hidden="1" x14ac:dyDescent="0.2">
      <c r="A1791" t="s">
        <v>35</v>
      </c>
      <c r="B1791" t="s">
        <v>49</v>
      </c>
      <c r="C1791">
        <v>15</v>
      </c>
      <c r="D1791" t="s">
        <v>294</v>
      </c>
      <c r="E1791" t="s">
        <v>254</v>
      </c>
      <c r="F1791">
        <v>6.8</v>
      </c>
      <c r="G1791">
        <v>2024</v>
      </c>
    </row>
    <row r="1792" spans="1:7" hidden="1" x14ac:dyDescent="0.2">
      <c r="A1792" t="s">
        <v>77</v>
      </c>
      <c r="B1792" t="s">
        <v>45</v>
      </c>
      <c r="C1792">
        <v>15</v>
      </c>
      <c r="D1792" t="s">
        <v>125</v>
      </c>
      <c r="E1792" t="s">
        <v>386</v>
      </c>
      <c r="F1792">
        <v>13.8</v>
      </c>
      <c r="G1792">
        <v>2024</v>
      </c>
    </row>
    <row r="1793" spans="1:7" hidden="1" x14ac:dyDescent="0.2">
      <c r="A1793" t="s">
        <v>77</v>
      </c>
      <c r="B1793" t="s">
        <v>45</v>
      </c>
      <c r="C1793">
        <v>15</v>
      </c>
      <c r="D1793" t="s">
        <v>128</v>
      </c>
      <c r="E1793" t="s">
        <v>346</v>
      </c>
      <c r="F1793">
        <v>6.1</v>
      </c>
      <c r="G1793">
        <v>2024</v>
      </c>
    </row>
    <row r="1794" spans="1:7" hidden="1" x14ac:dyDescent="0.2">
      <c r="A1794" t="s">
        <v>77</v>
      </c>
      <c r="B1794" t="s">
        <v>45</v>
      </c>
      <c r="C1794">
        <v>15</v>
      </c>
      <c r="D1794" t="s">
        <v>128</v>
      </c>
      <c r="E1794" t="s">
        <v>162</v>
      </c>
      <c r="F1794">
        <v>4.2</v>
      </c>
      <c r="G1794">
        <v>2024</v>
      </c>
    </row>
    <row r="1795" spans="1:7" hidden="1" x14ac:dyDescent="0.2">
      <c r="A1795" t="s">
        <v>77</v>
      </c>
      <c r="B1795" t="s">
        <v>45</v>
      </c>
      <c r="C1795">
        <v>15</v>
      </c>
      <c r="D1795" t="s">
        <v>128</v>
      </c>
      <c r="E1795" t="s">
        <v>305</v>
      </c>
      <c r="F1795">
        <v>9.8000000000000007</v>
      </c>
      <c r="G1795">
        <v>2024</v>
      </c>
    </row>
    <row r="1796" spans="1:7" hidden="1" x14ac:dyDescent="0.2">
      <c r="A1796" t="s">
        <v>77</v>
      </c>
      <c r="B1796" t="s">
        <v>45</v>
      </c>
      <c r="C1796">
        <v>15</v>
      </c>
      <c r="D1796" t="s">
        <v>127</v>
      </c>
      <c r="E1796" t="s">
        <v>163</v>
      </c>
      <c r="F1796">
        <v>8.1</v>
      </c>
      <c r="G1796">
        <v>2024</v>
      </c>
    </row>
    <row r="1797" spans="1:7" hidden="1" x14ac:dyDescent="0.2">
      <c r="A1797" t="s">
        <v>77</v>
      </c>
      <c r="B1797" t="s">
        <v>45</v>
      </c>
      <c r="C1797">
        <v>15</v>
      </c>
      <c r="D1797" t="s">
        <v>127</v>
      </c>
      <c r="E1797" t="s">
        <v>306</v>
      </c>
      <c r="F1797">
        <v>6.9</v>
      </c>
      <c r="G1797">
        <v>2024</v>
      </c>
    </row>
    <row r="1798" spans="1:7" hidden="1" x14ac:dyDescent="0.2">
      <c r="A1798" t="s">
        <v>77</v>
      </c>
      <c r="B1798" t="s">
        <v>45</v>
      </c>
      <c r="C1798">
        <v>15</v>
      </c>
      <c r="D1798" t="s">
        <v>129</v>
      </c>
      <c r="E1798" t="s">
        <v>165</v>
      </c>
      <c r="F1798">
        <v>4.5</v>
      </c>
      <c r="G1798">
        <v>2024</v>
      </c>
    </row>
    <row r="1799" spans="1:7" hidden="1" x14ac:dyDescent="0.2">
      <c r="A1799" t="s">
        <v>77</v>
      </c>
      <c r="B1799" t="s">
        <v>45</v>
      </c>
      <c r="C1799">
        <v>15</v>
      </c>
      <c r="D1799" t="s">
        <v>131</v>
      </c>
      <c r="E1799" t="s">
        <v>166</v>
      </c>
      <c r="F1799">
        <v>5</v>
      </c>
      <c r="G1799">
        <v>2024</v>
      </c>
    </row>
    <row r="1800" spans="1:7" hidden="1" x14ac:dyDescent="0.2">
      <c r="A1800" t="s">
        <v>77</v>
      </c>
      <c r="B1800" t="s">
        <v>45</v>
      </c>
      <c r="C1800">
        <v>15</v>
      </c>
      <c r="D1800" t="s">
        <v>130</v>
      </c>
      <c r="E1800" t="s">
        <v>385</v>
      </c>
      <c r="F1800">
        <v>7</v>
      </c>
      <c r="G1800">
        <v>2024</v>
      </c>
    </row>
    <row r="1801" spans="1:7" hidden="1" x14ac:dyDescent="0.2">
      <c r="A1801" t="s">
        <v>77</v>
      </c>
      <c r="B1801" t="s">
        <v>45</v>
      </c>
      <c r="C1801">
        <v>15</v>
      </c>
      <c r="D1801" t="s">
        <v>293</v>
      </c>
      <c r="E1801" t="s">
        <v>252</v>
      </c>
      <c r="F1801">
        <v>2.6</v>
      </c>
      <c r="G1801">
        <v>2024</v>
      </c>
    </row>
    <row r="1802" spans="1:7" hidden="1" x14ac:dyDescent="0.2">
      <c r="A1802" t="s">
        <v>18</v>
      </c>
      <c r="B1802" t="s">
        <v>20</v>
      </c>
      <c r="C1802">
        <v>16</v>
      </c>
      <c r="D1802" t="s">
        <v>125</v>
      </c>
      <c r="E1802" t="s">
        <v>250</v>
      </c>
      <c r="F1802">
        <v>34.42</v>
      </c>
      <c r="G1802">
        <v>2024</v>
      </c>
    </row>
    <row r="1803" spans="1:7" hidden="1" x14ac:dyDescent="0.2">
      <c r="A1803" t="s">
        <v>18</v>
      </c>
      <c r="B1803" t="s">
        <v>20</v>
      </c>
      <c r="C1803">
        <v>16</v>
      </c>
      <c r="D1803" t="s">
        <v>128</v>
      </c>
      <c r="E1803" t="s">
        <v>295</v>
      </c>
      <c r="F1803">
        <v>14.5</v>
      </c>
      <c r="G1803">
        <v>2024</v>
      </c>
    </row>
    <row r="1804" spans="1:7" hidden="1" x14ac:dyDescent="0.2">
      <c r="A1804" t="s">
        <v>18</v>
      </c>
      <c r="B1804" t="s">
        <v>20</v>
      </c>
      <c r="C1804">
        <v>16</v>
      </c>
      <c r="D1804" t="s">
        <v>128</v>
      </c>
      <c r="E1804" t="s">
        <v>404</v>
      </c>
      <c r="F1804">
        <v>12.8</v>
      </c>
      <c r="G1804">
        <v>2024</v>
      </c>
    </row>
    <row r="1805" spans="1:7" hidden="1" x14ac:dyDescent="0.2">
      <c r="A1805" t="s">
        <v>18</v>
      </c>
      <c r="B1805" t="s">
        <v>20</v>
      </c>
      <c r="C1805">
        <v>16</v>
      </c>
      <c r="D1805" t="s">
        <v>128</v>
      </c>
      <c r="E1805" t="s">
        <v>205</v>
      </c>
      <c r="F1805">
        <v>8.1</v>
      </c>
      <c r="G1805">
        <v>2024</v>
      </c>
    </row>
    <row r="1806" spans="1:7" hidden="1" x14ac:dyDescent="0.2">
      <c r="A1806" t="s">
        <v>18</v>
      </c>
      <c r="B1806" t="s">
        <v>20</v>
      </c>
      <c r="C1806">
        <v>16</v>
      </c>
      <c r="D1806" t="s">
        <v>127</v>
      </c>
      <c r="E1806" t="s">
        <v>207</v>
      </c>
      <c r="F1806">
        <v>23.4</v>
      </c>
      <c r="G1806">
        <v>2024</v>
      </c>
    </row>
    <row r="1807" spans="1:7" hidden="1" x14ac:dyDescent="0.2">
      <c r="A1807" t="s">
        <v>18</v>
      </c>
      <c r="B1807" t="s">
        <v>20</v>
      </c>
      <c r="C1807">
        <v>16</v>
      </c>
      <c r="D1807" t="s">
        <v>127</v>
      </c>
      <c r="E1807" t="s">
        <v>208</v>
      </c>
      <c r="F1807">
        <v>26.1</v>
      </c>
      <c r="G1807">
        <v>2024</v>
      </c>
    </row>
    <row r="1808" spans="1:7" hidden="1" x14ac:dyDescent="0.2">
      <c r="A1808" t="s">
        <v>18</v>
      </c>
      <c r="B1808" t="s">
        <v>20</v>
      </c>
      <c r="C1808">
        <v>16</v>
      </c>
      <c r="D1808" t="s">
        <v>129</v>
      </c>
      <c r="E1808" t="s">
        <v>209</v>
      </c>
      <c r="F1808">
        <v>3.5</v>
      </c>
      <c r="G1808">
        <v>2024</v>
      </c>
    </row>
    <row r="1809" spans="1:7" hidden="1" x14ac:dyDescent="0.2">
      <c r="A1809" t="s">
        <v>18</v>
      </c>
      <c r="B1809" t="s">
        <v>20</v>
      </c>
      <c r="C1809">
        <v>16</v>
      </c>
      <c r="D1809" t="s">
        <v>131</v>
      </c>
      <c r="E1809" t="s">
        <v>210</v>
      </c>
      <c r="F1809">
        <v>21</v>
      </c>
      <c r="G1809">
        <v>2024</v>
      </c>
    </row>
    <row r="1810" spans="1:7" hidden="1" x14ac:dyDescent="0.2">
      <c r="A1810" t="s">
        <v>18</v>
      </c>
      <c r="B1810" t="s">
        <v>20</v>
      </c>
      <c r="C1810">
        <v>16</v>
      </c>
      <c r="D1810" t="s">
        <v>130</v>
      </c>
      <c r="E1810" t="s">
        <v>323</v>
      </c>
      <c r="F1810">
        <v>2</v>
      </c>
      <c r="G1810">
        <v>2024</v>
      </c>
    </row>
    <row r="1811" spans="1:7" hidden="1" x14ac:dyDescent="0.2">
      <c r="A1811" t="s">
        <v>18</v>
      </c>
      <c r="B1811" t="s">
        <v>20</v>
      </c>
      <c r="C1811">
        <v>16</v>
      </c>
      <c r="D1811" t="s">
        <v>294</v>
      </c>
      <c r="E1811" t="s">
        <v>204</v>
      </c>
      <c r="F1811">
        <v>3.9</v>
      </c>
      <c r="G1811">
        <v>2024</v>
      </c>
    </row>
    <row r="1812" spans="1:7" hidden="1" x14ac:dyDescent="0.2">
      <c r="A1812" t="s">
        <v>31</v>
      </c>
      <c r="B1812" t="s">
        <v>33</v>
      </c>
      <c r="C1812">
        <v>16</v>
      </c>
      <c r="D1812" t="s">
        <v>125</v>
      </c>
      <c r="E1812" t="s">
        <v>202</v>
      </c>
      <c r="F1812">
        <v>20.48</v>
      </c>
      <c r="G1812">
        <v>2024</v>
      </c>
    </row>
    <row r="1813" spans="1:7" hidden="1" x14ac:dyDescent="0.2">
      <c r="A1813" t="s">
        <v>31</v>
      </c>
      <c r="B1813" t="s">
        <v>33</v>
      </c>
      <c r="C1813">
        <v>16</v>
      </c>
      <c r="D1813" t="s">
        <v>128</v>
      </c>
      <c r="E1813" t="s">
        <v>276</v>
      </c>
      <c r="F1813">
        <v>15.8</v>
      </c>
      <c r="G1813">
        <v>2024</v>
      </c>
    </row>
    <row r="1814" spans="1:7" hidden="1" x14ac:dyDescent="0.2">
      <c r="A1814" t="s">
        <v>31</v>
      </c>
      <c r="B1814" t="s">
        <v>33</v>
      </c>
      <c r="C1814">
        <v>16</v>
      </c>
      <c r="D1814" t="s">
        <v>128</v>
      </c>
      <c r="E1814" t="s">
        <v>321</v>
      </c>
      <c r="F1814">
        <v>2.2000000000000002</v>
      </c>
      <c r="G1814">
        <v>2024</v>
      </c>
    </row>
    <row r="1815" spans="1:7" hidden="1" x14ac:dyDescent="0.2">
      <c r="A1815" t="s">
        <v>31</v>
      </c>
      <c r="B1815" t="s">
        <v>33</v>
      </c>
      <c r="C1815">
        <v>16</v>
      </c>
      <c r="D1815" t="s">
        <v>128</v>
      </c>
      <c r="E1815" t="s">
        <v>292</v>
      </c>
      <c r="F1815">
        <v>7.1</v>
      </c>
      <c r="G1815">
        <v>2024</v>
      </c>
    </row>
    <row r="1816" spans="1:7" hidden="1" x14ac:dyDescent="0.2">
      <c r="A1816" t="s">
        <v>31</v>
      </c>
      <c r="B1816" t="s">
        <v>33</v>
      </c>
      <c r="C1816">
        <v>16</v>
      </c>
      <c r="D1816" t="s">
        <v>127</v>
      </c>
      <c r="E1816" t="s">
        <v>198</v>
      </c>
      <c r="F1816">
        <v>39.799999999999997</v>
      </c>
      <c r="G1816">
        <v>2024</v>
      </c>
    </row>
    <row r="1817" spans="1:7" hidden="1" x14ac:dyDescent="0.2">
      <c r="A1817" t="s">
        <v>31</v>
      </c>
      <c r="B1817" t="s">
        <v>33</v>
      </c>
      <c r="C1817">
        <v>16</v>
      </c>
      <c r="D1817" t="s">
        <v>127</v>
      </c>
      <c r="E1817" t="s">
        <v>291</v>
      </c>
      <c r="F1817">
        <v>1.1000000000000001</v>
      </c>
      <c r="G1817">
        <v>2024</v>
      </c>
    </row>
    <row r="1818" spans="1:7" hidden="1" x14ac:dyDescent="0.2">
      <c r="A1818" t="s">
        <v>31</v>
      </c>
      <c r="B1818" t="s">
        <v>33</v>
      </c>
      <c r="C1818">
        <v>16</v>
      </c>
      <c r="D1818" t="s">
        <v>129</v>
      </c>
      <c r="E1818" t="s">
        <v>317</v>
      </c>
      <c r="F1818">
        <v>1.7</v>
      </c>
      <c r="G1818">
        <v>2024</v>
      </c>
    </row>
    <row r="1819" spans="1:7" hidden="1" x14ac:dyDescent="0.2">
      <c r="A1819" t="s">
        <v>31</v>
      </c>
      <c r="B1819" t="s">
        <v>33</v>
      </c>
      <c r="C1819">
        <v>16</v>
      </c>
      <c r="D1819" t="s">
        <v>131</v>
      </c>
      <c r="E1819" t="s">
        <v>214</v>
      </c>
      <c r="F1819">
        <v>10</v>
      </c>
      <c r="G1819">
        <v>2024</v>
      </c>
    </row>
    <row r="1820" spans="1:7" hidden="1" x14ac:dyDescent="0.2">
      <c r="A1820" t="s">
        <v>31</v>
      </c>
      <c r="B1820" t="s">
        <v>33</v>
      </c>
      <c r="C1820">
        <v>16</v>
      </c>
      <c r="D1820" t="s">
        <v>130</v>
      </c>
      <c r="E1820" t="s">
        <v>253</v>
      </c>
      <c r="F1820">
        <v>5</v>
      </c>
      <c r="G1820">
        <v>2024</v>
      </c>
    </row>
    <row r="1821" spans="1:7" hidden="1" x14ac:dyDescent="0.2">
      <c r="A1821" t="s">
        <v>31</v>
      </c>
      <c r="B1821" t="s">
        <v>33</v>
      </c>
      <c r="C1821">
        <v>16</v>
      </c>
      <c r="D1821" t="s">
        <v>294</v>
      </c>
      <c r="E1821" t="s">
        <v>201</v>
      </c>
      <c r="F1821">
        <v>1.5</v>
      </c>
      <c r="G1821">
        <v>2024</v>
      </c>
    </row>
    <row r="1822" spans="1:7" hidden="1" x14ac:dyDescent="0.2">
      <c r="A1822" t="s">
        <v>46</v>
      </c>
      <c r="B1822" t="s">
        <v>47</v>
      </c>
      <c r="C1822">
        <v>16</v>
      </c>
      <c r="D1822" t="s">
        <v>125</v>
      </c>
      <c r="E1822" t="s">
        <v>176</v>
      </c>
      <c r="F1822">
        <v>21.12</v>
      </c>
      <c r="G1822">
        <v>2024</v>
      </c>
    </row>
    <row r="1823" spans="1:7" hidden="1" x14ac:dyDescent="0.2">
      <c r="A1823" t="s">
        <v>46</v>
      </c>
      <c r="B1823" t="s">
        <v>47</v>
      </c>
      <c r="C1823">
        <v>16</v>
      </c>
      <c r="D1823" t="s">
        <v>128</v>
      </c>
      <c r="E1823" t="s">
        <v>177</v>
      </c>
      <c r="F1823">
        <v>14</v>
      </c>
      <c r="G1823">
        <v>2024</v>
      </c>
    </row>
    <row r="1824" spans="1:7" hidden="1" x14ac:dyDescent="0.2">
      <c r="A1824" t="s">
        <v>46</v>
      </c>
      <c r="B1824" t="s">
        <v>47</v>
      </c>
      <c r="C1824">
        <v>16</v>
      </c>
      <c r="D1824" t="s">
        <v>128</v>
      </c>
      <c r="E1824" t="s">
        <v>179</v>
      </c>
      <c r="F1824">
        <v>9.6</v>
      </c>
      <c r="G1824">
        <v>2024</v>
      </c>
    </row>
    <row r="1825" spans="1:7" hidden="1" x14ac:dyDescent="0.2">
      <c r="A1825" t="s">
        <v>46</v>
      </c>
      <c r="B1825" t="s">
        <v>47</v>
      </c>
      <c r="C1825">
        <v>16</v>
      </c>
      <c r="D1825" t="s">
        <v>128</v>
      </c>
      <c r="E1825" t="s">
        <v>425</v>
      </c>
      <c r="F1825">
        <v>4.3</v>
      </c>
      <c r="G1825">
        <v>2024</v>
      </c>
    </row>
    <row r="1826" spans="1:7" hidden="1" x14ac:dyDescent="0.2">
      <c r="A1826" t="s">
        <v>46</v>
      </c>
      <c r="B1826" t="s">
        <v>47</v>
      </c>
      <c r="C1826">
        <v>16</v>
      </c>
      <c r="D1826" t="s">
        <v>127</v>
      </c>
      <c r="E1826" t="s">
        <v>180</v>
      </c>
      <c r="F1826">
        <v>18.7</v>
      </c>
      <c r="G1826">
        <v>2024</v>
      </c>
    </row>
    <row r="1827" spans="1:7" hidden="1" x14ac:dyDescent="0.2">
      <c r="A1827" t="s">
        <v>46</v>
      </c>
      <c r="B1827" t="s">
        <v>47</v>
      </c>
      <c r="C1827">
        <v>16</v>
      </c>
      <c r="D1827" t="s">
        <v>127</v>
      </c>
      <c r="E1827" t="s">
        <v>318</v>
      </c>
      <c r="F1827">
        <v>6.6</v>
      </c>
      <c r="G1827">
        <v>2024</v>
      </c>
    </row>
    <row r="1828" spans="1:7" hidden="1" x14ac:dyDescent="0.2">
      <c r="A1828" t="s">
        <v>46</v>
      </c>
      <c r="B1828" t="s">
        <v>47</v>
      </c>
      <c r="C1828">
        <v>16</v>
      </c>
      <c r="D1828" t="s">
        <v>129</v>
      </c>
      <c r="E1828" t="s">
        <v>182</v>
      </c>
      <c r="F1828">
        <v>15.4</v>
      </c>
      <c r="G1828">
        <v>2024</v>
      </c>
    </row>
    <row r="1829" spans="1:7" hidden="1" x14ac:dyDescent="0.2">
      <c r="A1829" t="s">
        <v>46</v>
      </c>
      <c r="B1829" t="s">
        <v>47</v>
      </c>
      <c r="C1829">
        <v>16</v>
      </c>
      <c r="D1829" t="s">
        <v>131</v>
      </c>
      <c r="E1829" t="s">
        <v>426</v>
      </c>
      <c r="F1829">
        <v>7</v>
      </c>
      <c r="G1829">
        <v>2024</v>
      </c>
    </row>
    <row r="1830" spans="1:7" hidden="1" x14ac:dyDescent="0.2">
      <c r="A1830" t="s">
        <v>46</v>
      </c>
      <c r="B1830" t="s">
        <v>47</v>
      </c>
      <c r="C1830">
        <v>16</v>
      </c>
      <c r="D1830" t="s">
        <v>130</v>
      </c>
      <c r="E1830" t="s">
        <v>326</v>
      </c>
      <c r="F1830">
        <v>20</v>
      </c>
      <c r="G1830">
        <v>2024</v>
      </c>
    </row>
    <row r="1831" spans="1:7" hidden="1" x14ac:dyDescent="0.2">
      <c r="A1831" t="s">
        <v>46</v>
      </c>
      <c r="B1831" t="s">
        <v>47</v>
      </c>
      <c r="C1831">
        <v>16</v>
      </c>
      <c r="D1831" t="s">
        <v>294</v>
      </c>
      <c r="E1831" t="s">
        <v>283</v>
      </c>
      <c r="F1831">
        <v>3</v>
      </c>
      <c r="G1831">
        <v>2024</v>
      </c>
    </row>
    <row r="1832" spans="1:7" hidden="1" x14ac:dyDescent="0.2">
      <c r="A1832" t="s">
        <v>42</v>
      </c>
      <c r="B1832" t="s">
        <v>17</v>
      </c>
      <c r="C1832">
        <v>16</v>
      </c>
      <c r="D1832" t="s">
        <v>125</v>
      </c>
      <c r="E1832" t="s">
        <v>427</v>
      </c>
      <c r="F1832">
        <v>6</v>
      </c>
      <c r="G1832">
        <v>2024</v>
      </c>
    </row>
    <row r="1833" spans="1:7" hidden="1" x14ac:dyDescent="0.2">
      <c r="A1833" t="s">
        <v>42</v>
      </c>
      <c r="B1833" t="s">
        <v>17</v>
      </c>
      <c r="C1833">
        <v>16</v>
      </c>
      <c r="D1833" t="s">
        <v>128</v>
      </c>
      <c r="E1833" t="s">
        <v>152</v>
      </c>
      <c r="F1833">
        <v>9.4</v>
      </c>
      <c r="G1833">
        <v>2024</v>
      </c>
    </row>
    <row r="1834" spans="1:7" hidden="1" x14ac:dyDescent="0.2">
      <c r="A1834" t="s">
        <v>42</v>
      </c>
      <c r="B1834" t="s">
        <v>17</v>
      </c>
      <c r="C1834">
        <v>16</v>
      </c>
      <c r="D1834" t="s">
        <v>128</v>
      </c>
      <c r="E1834" t="s">
        <v>151</v>
      </c>
      <c r="F1834">
        <v>16.3</v>
      </c>
      <c r="G1834">
        <v>2024</v>
      </c>
    </row>
    <row r="1835" spans="1:7" hidden="1" x14ac:dyDescent="0.2">
      <c r="A1835" t="s">
        <v>42</v>
      </c>
      <c r="B1835" t="s">
        <v>17</v>
      </c>
      <c r="C1835">
        <v>16</v>
      </c>
      <c r="D1835" t="s">
        <v>128</v>
      </c>
      <c r="E1835" t="s">
        <v>153</v>
      </c>
      <c r="F1835">
        <v>3.2</v>
      </c>
      <c r="G1835">
        <v>2024</v>
      </c>
    </row>
    <row r="1836" spans="1:7" hidden="1" x14ac:dyDescent="0.2">
      <c r="A1836" t="s">
        <v>42</v>
      </c>
      <c r="B1836" t="s">
        <v>17</v>
      </c>
      <c r="C1836">
        <v>16</v>
      </c>
      <c r="D1836" t="s">
        <v>127</v>
      </c>
      <c r="E1836" t="s">
        <v>154</v>
      </c>
      <c r="F1836">
        <v>19.899999999999999</v>
      </c>
      <c r="G1836">
        <v>2024</v>
      </c>
    </row>
    <row r="1837" spans="1:7" hidden="1" x14ac:dyDescent="0.2">
      <c r="A1837" t="s">
        <v>42</v>
      </c>
      <c r="B1837" t="s">
        <v>17</v>
      </c>
      <c r="C1837">
        <v>16</v>
      </c>
      <c r="D1837" t="s">
        <v>127</v>
      </c>
      <c r="E1837" t="s">
        <v>314</v>
      </c>
      <c r="F1837">
        <v>12.4</v>
      </c>
      <c r="G1837">
        <v>2024</v>
      </c>
    </row>
    <row r="1838" spans="1:7" hidden="1" x14ac:dyDescent="0.2">
      <c r="A1838" t="s">
        <v>42</v>
      </c>
      <c r="B1838" t="s">
        <v>17</v>
      </c>
      <c r="C1838">
        <v>16</v>
      </c>
      <c r="D1838" t="s">
        <v>129</v>
      </c>
      <c r="E1838" t="s">
        <v>156</v>
      </c>
      <c r="F1838">
        <v>12.3</v>
      </c>
      <c r="G1838">
        <v>2024</v>
      </c>
    </row>
    <row r="1839" spans="1:7" hidden="1" x14ac:dyDescent="0.2">
      <c r="A1839" t="s">
        <v>42</v>
      </c>
      <c r="B1839" t="s">
        <v>17</v>
      </c>
      <c r="C1839">
        <v>16</v>
      </c>
      <c r="D1839" t="s">
        <v>131</v>
      </c>
      <c r="E1839" t="s">
        <v>339</v>
      </c>
      <c r="F1839">
        <v>7</v>
      </c>
      <c r="G1839">
        <v>2024</v>
      </c>
    </row>
    <row r="1840" spans="1:7" hidden="1" x14ac:dyDescent="0.2">
      <c r="A1840" t="s">
        <v>42</v>
      </c>
      <c r="B1840" t="s">
        <v>17</v>
      </c>
      <c r="C1840">
        <v>16</v>
      </c>
      <c r="D1840" t="s">
        <v>130</v>
      </c>
      <c r="E1840" t="s">
        <v>157</v>
      </c>
      <c r="F1840">
        <v>13</v>
      </c>
      <c r="G1840">
        <v>2024</v>
      </c>
    </row>
    <row r="1841" spans="1:7" hidden="1" x14ac:dyDescent="0.2">
      <c r="A1841" t="s">
        <v>42</v>
      </c>
      <c r="B1841" t="s">
        <v>17</v>
      </c>
      <c r="C1841">
        <v>16</v>
      </c>
      <c r="D1841" t="s">
        <v>293</v>
      </c>
      <c r="E1841" t="s">
        <v>428</v>
      </c>
      <c r="F1841">
        <v>3.6</v>
      </c>
      <c r="G1841">
        <v>2024</v>
      </c>
    </row>
    <row r="1842" spans="1:7" hidden="1" x14ac:dyDescent="0.2">
      <c r="A1842" t="s">
        <v>18</v>
      </c>
      <c r="B1842" t="s">
        <v>20</v>
      </c>
      <c r="C1842">
        <v>17</v>
      </c>
      <c r="D1842" t="s">
        <v>125</v>
      </c>
      <c r="E1842" t="s">
        <v>250</v>
      </c>
      <c r="F1842">
        <v>31.78</v>
      </c>
      <c r="G1842">
        <v>2024</v>
      </c>
    </row>
    <row r="1843" spans="1:7" hidden="1" x14ac:dyDescent="0.2">
      <c r="A1843" t="s">
        <v>18</v>
      </c>
      <c r="B1843" t="s">
        <v>20</v>
      </c>
      <c r="C1843">
        <v>17</v>
      </c>
      <c r="D1843" t="s">
        <v>128</v>
      </c>
      <c r="E1843" t="s">
        <v>204</v>
      </c>
      <c r="F1843">
        <v>3.4</v>
      </c>
      <c r="G1843">
        <v>2024</v>
      </c>
    </row>
    <row r="1844" spans="1:7" hidden="1" x14ac:dyDescent="0.2">
      <c r="A1844" t="s">
        <v>18</v>
      </c>
      <c r="B1844" t="s">
        <v>20</v>
      </c>
      <c r="C1844">
        <v>17</v>
      </c>
      <c r="D1844" t="s">
        <v>128</v>
      </c>
      <c r="E1844" t="s">
        <v>404</v>
      </c>
      <c r="F1844">
        <v>25.5</v>
      </c>
      <c r="G1844">
        <v>2024</v>
      </c>
    </row>
    <row r="1845" spans="1:7" hidden="1" x14ac:dyDescent="0.2">
      <c r="A1845" t="s">
        <v>18</v>
      </c>
      <c r="B1845" t="s">
        <v>20</v>
      </c>
      <c r="C1845">
        <v>17</v>
      </c>
      <c r="D1845" t="s">
        <v>128</v>
      </c>
      <c r="E1845" t="s">
        <v>205</v>
      </c>
      <c r="F1845">
        <v>27</v>
      </c>
      <c r="G1845">
        <v>2024</v>
      </c>
    </row>
    <row r="1846" spans="1:7" hidden="1" x14ac:dyDescent="0.2">
      <c r="A1846" t="s">
        <v>18</v>
      </c>
      <c r="B1846" t="s">
        <v>20</v>
      </c>
      <c r="C1846">
        <v>17</v>
      </c>
      <c r="D1846" t="s">
        <v>127</v>
      </c>
      <c r="E1846" t="s">
        <v>207</v>
      </c>
      <c r="F1846">
        <v>24.3</v>
      </c>
      <c r="G1846">
        <v>2024</v>
      </c>
    </row>
    <row r="1847" spans="1:7" hidden="1" x14ac:dyDescent="0.2">
      <c r="A1847" t="s">
        <v>18</v>
      </c>
      <c r="B1847" t="s">
        <v>20</v>
      </c>
      <c r="C1847">
        <v>17</v>
      </c>
      <c r="D1847" t="s">
        <v>127</v>
      </c>
      <c r="E1847" t="s">
        <v>208</v>
      </c>
      <c r="F1847">
        <v>11.3</v>
      </c>
      <c r="G1847">
        <v>2024</v>
      </c>
    </row>
    <row r="1848" spans="1:7" hidden="1" x14ac:dyDescent="0.2">
      <c r="A1848" t="s">
        <v>18</v>
      </c>
      <c r="B1848" t="s">
        <v>20</v>
      </c>
      <c r="C1848">
        <v>17</v>
      </c>
      <c r="D1848" t="s">
        <v>129</v>
      </c>
      <c r="E1848" t="s">
        <v>430</v>
      </c>
      <c r="F1848">
        <v>8.4</v>
      </c>
      <c r="G1848">
        <v>2024</v>
      </c>
    </row>
    <row r="1849" spans="1:7" hidden="1" x14ac:dyDescent="0.2">
      <c r="A1849" t="s">
        <v>18</v>
      </c>
      <c r="B1849" t="s">
        <v>20</v>
      </c>
      <c r="C1849">
        <v>17</v>
      </c>
      <c r="D1849" t="s">
        <v>131</v>
      </c>
      <c r="E1849" t="s">
        <v>210</v>
      </c>
      <c r="F1849">
        <v>1</v>
      </c>
      <c r="G1849">
        <v>2024</v>
      </c>
    </row>
    <row r="1850" spans="1:7" hidden="1" x14ac:dyDescent="0.2">
      <c r="A1850" t="s">
        <v>18</v>
      </c>
      <c r="B1850" t="s">
        <v>20</v>
      </c>
      <c r="C1850">
        <v>17</v>
      </c>
      <c r="D1850" t="s">
        <v>130</v>
      </c>
      <c r="E1850" t="s">
        <v>289</v>
      </c>
      <c r="F1850">
        <v>13</v>
      </c>
      <c r="G1850">
        <v>2024</v>
      </c>
    </row>
    <row r="1851" spans="1:7" hidden="1" x14ac:dyDescent="0.2">
      <c r="A1851" t="s">
        <v>18</v>
      </c>
      <c r="B1851" t="s">
        <v>20</v>
      </c>
      <c r="C1851">
        <v>17</v>
      </c>
      <c r="D1851" t="s">
        <v>294</v>
      </c>
      <c r="E1851" t="s">
        <v>295</v>
      </c>
      <c r="F1851">
        <v>1</v>
      </c>
      <c r="G1851">
        <v>2024</v>
      </c>
    </row>
    <row r="1852" spans="1:7" hidden="1" x14ac:dyDescent="0.2">
      <c r="A1852" t="s">
        <v>46</v>
      </c>
      <c r="B1852" t="s">
        <v>47</v>
      </c>
      <c r="C1852">
        <v>17</v>
      </c>
      <c r="D1852" t="s">
        <v>125</v>
      </c>
      <c r="E1852" t="s">
        <v>368</v>
      </c>
      <c r="F1852">
        <v>21.86</v>
      </c>
      <c r="G1852">
        <v>2024</v>
      </c>
    </row>
    <row r="1853" spans="1:7" hidden="1" x14ac:dyDescent="0.2">
      <c r="A1853" t="s">
        <v>46</v>
      </c>
      <c r="B1853" t="s">
        <v>47</v>
      </c>
      <c r="C1853">
        <v>17</v>
      </c>
      <c r="D1853" t="s">
        <v>128</v>
      </c>
      <c r="E1853" t="s">
        <v>179</v>
      </c>
      <c r="F1853">
        <v>17.899999999999999</v>
      </c>
      <c r="G1853">
        <v>2024</v>
      </c>
    </row>
    <row r="1854" spans="1:7" hidden="1" x14ac:dyDescent="0.2">
      <c r="A1854" t="s">
        <v>46</v>
      </c>
      <c r="B1854" t="s">
        <v>47</v>
      </c>
      <c r="C1854">
        <v>17</v>
      </c>
      <c r="D1854" t="s">
        <v>128</v>
      </c>
      <c r="E1854" t="s">
        <v>308</v>
      </c>
      <c r="F1854">
        <v>6.3</v>
      </c>
      <c r="G1854">
        <v>2024</v>
      </c>
    </row>
    <row r="1855" spans="1:7" hidden="1" x14ac:dyDescent="0.2">
      <c r="A1855" t="s">
        <v>46</v>
      </c>
      <c r="B1855" t="s">
        <v>47</v>
      </c>
      <c r="C1855">
        <v>17</v>
      </c>
      <c r="D1855" t="s">
        <v>128</v>
      </c>
      <c r="E1855" t="s">
        <v>390</v>
      </c>
      <c r="F1855">
        <v>4.8</v>
      </c>
      <c r="G1855">
        <v>2024</v>
      </c>
    </row>
    <row r="1856" spans="1:7" hidden="1" x14ac:dyDescent="0.2">
      <c r="A1856" t="s">
        <v>46</v>
      </c>
      <c r="B1856" t="s">
        <v>47</v>
      </c>
      <c r="C1856">
        <v>17</v>
      </c>
      <c r="D1856" t="s">
        <v>127</v>
      </c>
      <c r="E1856" t="s">
        <v>180</v>
      </c>
      <c r="F1856">
        <v>10.9</v>
      </c>
      <c r="G1856">
        <v>2024</v>
      </c>
    </row>
    <row r="1857" spans="1:7" hidden="1" x14ac:dyDescent="0.2">
      <c r="A1857" t="s">
        <v>46</v>
      </c>
      <c r="B1857" t="s">
        <v>47</v>
      </c>
      <c r="C1857">
        <v>17</v>
      </c>
      <c r="D1857" t="s">
        <v>127</v>
      </c>
      <c r="E1857" t="s">
        <v>429</v>
      </c>
      <c r="F1857">
        <v>11.9</v>
      </c>
      <c r="G1857">
        <v>2024</v>
      </c>
    </row>
    <row r="1858" spans="1:7" hidden="1" x14ac:dyDescent="0.2">
      <c r="A1858" t="s">
        <v>46</v>
      </c>
      <c r="B1858" t="s">
        <v>47</v>
      </c>
      <c r="C1858">
        <v>17</v>
      </c>
      <c r="D1858" t="s">
        <v>129</v>
      </c>
      <c r="E1858" t="s">
        <v>182</v>
      </c>
      <c r="F1858">
        <v>11.1</v>
      </c>
      <c r="G1858">
        <v>2024</v>
      </c>
    </row>
    <row r="1859" spans="1:7" hidden="1" x14ac:dyDescent="0.2">
      <c r="A1859" t="s">
        <v>46</v>
      </c>
      <c r="B1859" t="s">
        <v>47</v>
      </c>
      <c r="C1859">
        <v>17</v>
      </c>
      <c r="D1859" t="s">
        <v>131</v>
      </c>
      <c r="E1859" t="s">
        <v>426</v>
      </c>
      <c r="F1859">
        <v>14</v>
      </c>
      <c r="G1859">
        <v>2024</v>
      </c>
    </row>
    <row r="1860" spans="1:7" hidden="1" x14ac:dyDescent="0.2">
      <c r="A1860" t="s">
        <v>46</v>
      </c>
      <c r="B1860" t="s">
        <v>47</v>
      </c>
      <c r="C1860">
        <v>17</v>
      </c>
      <c r="D1860" t="s">
        <v>130</v>
      </c>
      <c r="E1860" t="s">
        <v>194</v>
      </c>
      <c r="F1860">
        <v>13</v>
      </c>
      <c r="G1860">
        <v>2024</v>
      </c>
    </row>
    <row r="1861" spans="1:7" hidden="1" x14ac:dyDescent="0.2">
      <c r="A1861" t="s">
        <v>46</v>
      </c>
      <c r="B1861" t="s">
        <v>47</v>
      </c>
      <c r="C1861">
        <v>17</v>
      </c>
      <c r="D1861" t="s">
        <v>293</v>
      </c>
      <c r="E1861" t="s">
        <v>318</v>
      </c>
      <c r="F1861">
        <v>9.3000000000000007</v>
      </c>
      <c r="G1861">
        <v>2024</v>
      </c>
    </row>
    <row r="1862" spans="1:7" hidden="1" x14ac:dyDescent="0.2">
      <c r="A1862" t="s">
        <v>31</v>
      </c>
      <c r="B1862" t="s">
        <v>33</v>
      </c>
      <c r="C1862">
        <v>17</v>
      </c>
      <c r="D1862" t="s">
        <v>125</v>
      </c>
      <c r="E1862" t="s">
        <v>202</v>
      </c>
      <c r="F1862">
        <v>29.42</v>
      </c>
      <c r="G1862">
        <v>2024</v>
      </c>
    </row>
    <row r="1863" spans="1:7" hidden="1" x14ac:dyDescent="0.2">
      <c r="A1863" t="s">
        <v>31</v>
      </c>
      <c r="B1863" t="s">
        <v>33</v>
      </c>
      <c r="C1863">
        <v>17</v>
      </c>
      <c r="D1863" t="s">
        <v>128</v>
      </c>
      <c r="E1863" t="s">
        <v>292</v>
      </c>
      <c r="F1863">
        <v>10.199999999999999</v>
      </c>
      <c r="G1863">
        <v>2024</v>
      </c>
    </row>
    <row r="1864" spans="1:7" hidden="1" x14ac:dyDescent="0.2">
      <c r="A1864" t="s">
        <v>31</v>
      </c>
      <c r="B1864" t="s">
        <v>33</v>
      </c>
      <c r="C1864">
        <v>17</v>
      </c>
      <c r="D1864" t="s">
        <v>128</v>
      </c>
      <c r="E1864" t="s">
        <v>276</v>
      </c>
      <c r="F1864">
        <v>34.6</v>
      </c>
      <c r="G1864">
        <v>2024</v>
      </c>
    </row>
    <row r="1865" spans="1:7" hidden="1" x14ac:dyDescent="0.2">
      <c r="A1865" t="s">
        <v>31</v>
      </c>
      <c r="B1865" t="s">
        <v>33</v>
      </c>
      <c r="C1865">
        <v>17</v>
      </c>
      <c r="D1865" t="s">
        <v>128</v>
      </c>
      <c r="E1865" t="s">
        <v>201</v>
      </c>
      <c r="F1865">
        <v>13.1</v>
      </c>
      <c r="G1865">
        <v>2024</v>
      </c>
    </row>
    <row r="1866" spans="1:7" hidden="1" x14ac:dyDescent="0.2">
      <c r="A1866" t="s">
        <v>31</v>
      </c>
      <c r="B1866" t="s">
        <v>33</v>
      </c>
      <c r="C1866">
        <v>17</v>
      </c>
      <c r="D1866" t="s">
        <v>127</v>
      </c>
      <c r="E1866" t="s">
        <v>198</v>
      </c>
      <c r="F1866">
        <v>26.6</v>
      </c>
      <c r="G1866">
        <v>2024</v>
      </c>
    </row>
    <row r="1867" spans="1:7" hidden="1" x14ac:dyDescent="0.2">
      <c r="A1867" t="s">
        <v>31</v>
      </c>
      <c r="B1867" t="s">
        <v>33</v>
      </c>
      <c r="C1867">
        <v>17</v>
      </c>
      <c r="D1867" t="s">
        <v>127</v>
      </c>
      <c r="E1867" t="s">
        <v>291</v>
      </c>
      <c r="F1867">
        <v>7.9</v>
      </c>
      <c r="G1867">
        <v>2024</v>
      </c>
    </row>
    <row r="1868" spans="1:7" hidden="1" x14ac:dyDescent="0.2">
      <c r="A1868" t="s">
        <v>31</v>
      </c>
      <c r="B1868" t="s">
        <v>33</v>
      </c>
      <c r="C1868">
        <v>17</v>
      </c>
      <c r="D1868" t="s">
        <v>129</v>
      </c>
      <c r="E1868" t="s">
        <v>317</v>
      </c>
      <c r="F1868">
        <v>22.2</v>
      </c>
      <c r="G1868">
        <v>2024</v>
      </c>
    </row>
    <row r="1869" spans="1:7" hidden="1" x14ac:dyDescent="0.2">
      <c r="A1869" t="s">
        <v>31</v>
      </c>
      <c r="B1869" t="s">
        <v>33</v>
      </c>
      <c r="C1869">
        <v>17</v>
      </c>
      <c r="D1869" t="s">
        <v>131</v>
      </c>
      <c r="E1869" t="s">
        <v>214</v>
      </c>
      <c r="F1869">
        <v>4</v>
      </c>
      <c r="G1869">
        <v>2024</v>
      </c>
    </row>
    <row r="1870" spans="1:7" hidden="1" x14ac:dyDescent="0.2">
      <c r="A1870" t="s">
        <v>31</v>
      </c>
      <c r="B1870" t="s">
        <v>33</v>
      </c>
      <c r="C1870">
        <v>17</v>
      </c>
      <c r="D1870" t="s">
        <v>130</v>
      </c>
      <c r="E1870" t="s">
        <v>253</v>
      </c>
      <c r="F1870">
        <v>-5</v>
      </c>
      <c r="G1870">
        <v>2024</v>
      </c>
    </row>
    <row r="1871" spans="1:7" hidden="1" x14ac:dyDescent="0.2">
      <c r="A1871" t="s">
        <v>31</v>
      </c>
      <c r="B1871" t="s">
        <v>33</v>
      </c>
      <c r="C1871">
        <v>17</v>
      </c>
      <c r="D1871" t="s">
        <v>297</v>
      </c>
      <c r="E1871" t="s">
        <v>245</v>
      </c>
      <c r="F1871">
        <v>3.1</v>
      </c>
      <c r="G1871">
        <v>2024</v>
      </c>
    </row>
    <row r="1872" spans="1:7" hidden="1" x14ac:dyDescent="0.2">
      <c r="A1872" t="s">
        <v>42</v>
      </c>
      <c r="B1872" t="s">
        <v>17</v>
      </c>
      <c r="C1872">
        <v>17</v>
      </c>
      <c r="D1872" t="s">
        <v>125</v>
      </c>
      <c r="E1872" t="s">
        <v>427</v>
      </c>
      <c r="F1872">
        <v>9.16</v>
      </c>
      <c r="G1872">
        <v>2024</v>
      </c>
    </row>
    <row r="1873" spans="1:7" hidden="1" x14ac:dyDescent="0.2">
      <c r="A1873" t="s">
        <v>42</v>
      </c>
      <c r="B1873" t="s">
        <v>17</v>
      </c>
      <c r="C1873">
        <v>17</v>
      </c>
      <c r="D1873" t="s">
        <v>128</v>
      </c>
      <c r="E1873" t="s">
        <v>152</v>
      </c>
      <c r="F1873">
        <v>25.7</v>
      </c>
      <c r="G1873">
        <v>2024</v>
      </c>
    </row>
    <row r="1874" spans="1:7" hidden="1" x14ac:dyDescent="0.2">
      <c r="A1874" t="s">
        <v>42</v>
      </c>
      <c r="B1874" t="s">
        <v>17</v>
      </c>
      <c r="C1874">
        <v>17</v>
      </c>
      <c r="D1874" t="s">
        <v>128</v>
      </c>
      <c r="E1874" t="s">
        <v>151</v>
      </c>
      <c r="F1874">
        <v>7.2</v>
      </c>
      <c r="G1874">
        <v>2024</v>
      </c>
    </row>
    <row r="1875" spans="1:7" hidden="1" x14ac:dyDescent="0.2">
      <c r="A1875" t="s">
        <v>42</v>
      </c>
      <c r="B1875" t="s">
        <v>17</v>
      </c>
      <c r="C1875">
        <v>17</v>
      </c>
      <c r="D1875" t="s">
        <v>128</v>
      </c>
      <c r="E1875" t="s">
        <v>153</v>
      </c>
      <c r="F1875">
        <v>4</v>
      </c>
      <c r="G1875">
        <v>2024</v>
      </c>
    </row>
    <row r="1876" spans="1:7" hidden="1" x14ac:dyDescent="0.2">
      <c r="A1876" t="s">
        <v>42</v>
      </c>
      <c r="B1876" t="s">
        <v>17</v>
      </c>
      <c r="C1876">
        <v>17</v>
      </c>
      <c r="D1876" t="s">
        <v>127</v>
      </c>
      <c r="E1876" t="s">
        <v>314</v>
      </c>
      <c r="F1876">
        <v>11.1</v>
      </c>
      <c r="G1876">
        <v>2024</v>
      </c>
    </row>
    <row r="1877" spans="1:7" hidden="1" x14ac:dyDescent="0.2">
      <c r="A1877" t="s">
        <v>42</v>
      </c>
      <c r="B1877" t="s">
        <v>17</v>
      </c>
      <c r="C1877">
        <v>17</v>
      </c>
      <c r="D1877" t="s">
        <v>127</v>
      </c>
      <c r="E1877" t="s">
        <v>154</v>
      </c>
      <c r="F1877">
        <v>23.5</v>
      </c>
      <c r="G1877">
        <v>2024</v>
      </c>
    </row>
    <row r="1878" spans="1:7" hidden="1" x14ac:dyDescent="0.2">
      <c r="A1878" t="s">
        <v>42</v>
      </c>
      <c r="B1878" t="s">
        <v>17</v>
      </c>
      <c r="C1878">
        <v>17</v>
      </c>
      <c r="D1878" t="s">
        <v>129</v>
      </c>
      <c r="E1878" t="s">
        <v>156</v>
      </c>
      <c r="F1878">
        <v>15.4</v>
      </c>
      <c r="G1878">
        <v>2024</v>
      </c>
    </row>
    <row r="1879" spans="1:7" hidden="1" x14ac:dyDescent="0.2">
      <c r="A1879" t="s">
        <v>42</v>
      </c>
      <c r="B1879" t="s">
        <v>17</v>
      </c>
      <c r="C1879">
        <v>17</v>
      </c>
      <c r="D1879" t="s">
        <v>131</v>
      </c>
      <c r="E1879" t="s">
        <v>339</v>
      </c>
      <c r="F1879">
        <v>12</v>
      </c>
      <c r="G1879">
        <v>2024</v>
      </c>
    </row>
    <row r="1880" spans="1:7" hidden="1" x14ac:dyDescent="0.2">
      <c r="A1880" t="s">
        <v>42</v>
      </c>
      <c r="B1880" t="s">
        <v>17</v>
      </c>
      <c r="C1880">
        <v>17</v>
      </c>
      <c r="D1880" t="s">
        <v>130</v>
      </c>
      <c r="E1880" t="s">
        <v>273</v>
      </c>
      <c r="F1880">
        <v>15</v>
      </c>
      <c r="G1880">
        <v>2024</v>
      </c>
    </row>
    <row r="1881" spans="1:7" hidden="1" x14ac:dyDescent="0.2">
      <c r="A1881" t="s">
        <v>42</v>
      </c>
      <c r="B1881" t="s">
        <v>17</v>
      </c>
      <c r="C1881">
        <v>17</v>
      </c>
      <c r="D1881" t="s">
        <v>293</v>
      </c>
      <c r="E1881" t="s">
        <v>428</v>
      </c>
      <c r="F1881">
        <v>1.9</v>
      </c>
      <c r="G1881">
        <v>2024</v>
      </c>
    </row>
    <row r="1882" spans="1:7" hidden="1" x14ac:dyDescent="0.2">
      <c r="A1882" t="s">
        <v>14</v>
      </c>
      <c r="B1882" t="s">
        <v>16</v>
      </c>
      <c r="C1882">
        <v>1</v>
      </c>
      <c r="D1882" t="s">
        <v>125</v>
      </c>
      <c r="E1882" t="s">
        <v>202</v>
      </c>
      <c r="F1882">
        <v>29.36</v>
      </c>
      <c r="G1882">
        <v>2025</v>
      </c>
    </row>
    <row r="1883" spans="1:7" hidden="1" x14ac:dyDescent="0.2">
      <c r="A1883" t="s">
        <v>14</v>
      </c>
      <c r="B1883" t="s">
        <v>16</v>
      </c>
      <c r="C1883">
        <v>1</v>
      </c>
      <c r="D1883" t="s">
        <v>128</v>
      </c>
      <c r="E1883" t="s">
        <v>363</v>
      </c>
      <c r="F1883">
        <v>12.8</v>
      </c>
      <c r="G1883">
        <v>2025</v>
      </c>
    </row>
    <row r="1884" spans="1:7" hidden="1" x14ac:dyDescent="0.2">
      <c r="A1884" t="s">
        <v>14</v>
      </c>
      <c r="B1884" t="s">
        <v>16</v>
      </c>
      <c r="C1884">
        <v>1</v>
      </c>
      <c r="D1884" t="s">
        <v>128</v>
      </c>
      <c r="E1884" t="s">
        <v>295</v>
      </c>
      <c r="F1884">
        <v>3.7</v>
      </c>
      <c r="G1884">
        <v>2025</v>
      </c>
    </row>
    <row r="1885" spans="1:7" hidden="1" x14ac:dyDescent="0.2">
      <c r="A1885" t="s">
        <v>14</v>
      </c>
      <c r="B1885" t="s">
        <v>16</v>
      </c>
      <c r="C1885">
        <v>1</v>
      </c>
      <c r="D1885" t="s">
        <v>128</v>
      </c>
      <c r="E1885" t="s">
        <v>283</v>
      </c>
      <c r="F1885">
        <v>9.1</v>
      </c>
      <c r="G1885">
        <v>2025</v>
      </c>
    </row>
    <row r="1886" spans="1:7" hidden="1" x14ac:dyDescent="0.2">
      <c r="A1886" t="s">
        <v>14</v>
      </c>
      <c r="B1886" t="s">
        <v>16</v>
      </c>
      <c r="C1886">
        <v>1</v>
      </c>
      <c r="D1886" t="s">
        <v>127</v>
      </c>
      <c r="E1886" t="s">
        <v>314</v>
      </c>
      <c r="F1886">
        <v>12.1</v>
      </c>
      <c r="G1886">
        <v>2025</v>
      </c>
    </row>
    <row r="1887" spans="1:7" hidden="1" x14ac:dyDescent="0.2">
      <c r="A1887" t="s">
        <v>14</v>
      </c>
      <c r="B1887" t="s">
        <v>16</v>
      </c>
      <c r="C1887">
        <v>1</v>
      </c>
      <c r="D1887" t="s">
        <v>127</v>
      </c>
      <c r="E1887" t="s">
        <v>306</v>
      </c>
      <c r="F1887">
        <v>16.399999999999999</v>
      </c>
      <c r="G1887">
        <v>2025</v>
      </c>
    </row>
    <row r="1888" spans="1:7" hidden="1" x14ac:dyDescent="0.2">
      <c r="A1888" t="s">
        <v>14</v>
      </c>
      <c r="B1888" t="s">
        <v>16</v>
      </c>
      <c r="C1888">
        <v>1</v>
      </c>
      <c r="D1888" t="s">
        <v>129</v>
      </c>
      <c r="E1888" t="s">
        <v>236</v>
      </c>
      <c r="F1888">
        <v>10.5</v>
      </c>
      <c r="G1888">
        <v>2025</v>
      </c>
    </row>
    <row r="1889" spans="1:7" hidden="1" x14ac:dyDescent="0.2">
      <c r="A1889" t="s">
        <v>14</v>
      </c>
      <c r="B1889" t="s">
        <v>16</v>
      </c>
      <c r="C1889">
        <v>1</v>
      </c>
      <c r="D1889" t="s">
        <v>131</v>
      </c>
      <c r="E1889" t="s">
        <v>210</v>
      </c>
      <c r="F1889">
        <v>11</v>
      </c>
      <c r="G1889">
        <v>2025</v>
      </c>
    </row>
    <row r="1890" spans="1:7" hidden="1" x14ac:dyDescent="0.2">
      <c r="A1890" t="s">
        <v>14</v>
      </c>
      <c r="B1890" t="s">
        <v>16</v>
      </c>
      <c r="C1890">
        <v>1</v>
      </c>
      <c r="D1890" t="s">
        <v>130</v>
      </c>
      <c r="E1890" t="s">
        <v>184</v>
      </c>
      <c r="F1890">
        <v>1</v>
      </c>
      <c r="G1890">
        <v>2025</v>
      </c>
    </row>
    <row r="1891" spans="1:7" hidden="1" x14ac:dyDescent="0.2">
      <c r="A1891" t="s">
        <v>14</v>
      </c>
      <c r="B1891" t="s">
        <v>16</v>
      </c>
      <c r="C1891">
        <v>1</v>
      </c>
      <c r="D1891" t="s">
        <v>293</v>
      </c>
      <c r="E1891" t="s">
        <v>343</v>
      </c>
      <c r="F1891">
        <v>7.4</v>
      </c>
      <c r="G1891">
        <v>2025</v>
      </c>
    </row>
    <row r="1892" spans="1:7" hidden="1" x14ac:dyDescent="0.2">
      <c r="A1892" t="s">
        <v>26</v>
      </c>
      <c r="B1892" t="s">
        <v>28</v>
      </c>
      <c r="C1892">
        <v>1</v>
      </c>
      <c r="D1892" t="s">
        <v>125</v>
      </c>
      <c r="E1892" t="s">
        <v>230</v>
      </c>
      <c r="F1892">
        <v>8.82</v>
      </c>
      <c r="G1892">
        <v>2025</v>
      </c>
    </row>
    <row r="1893" spans="1:7" hidden="1" x14ac:dyDescent="0.2">
      <c r="A1893" t="s">
        <v>26</v>
      </c>
      <c r="B1893" t="s">
        <v>28</v>
      </c>
      <c r="C1893">
        <v>1</v>
      </c>
      <c r="D1893" t="s">
        <v>128</v>
      </c>
      <c r="E1893" t="s">
        <v>179</v>
      </c>
      <c r="F1893">
        <v>18.100000000000001</v>
      </c>
      <c r="G1893">
        <v>2025</v>
      </c>
    </row>
    <row r="1894" spans="1:7" hidden="1" x14ac:dyDescent="0.2">
      <c r="A1894" t="s">
        <v>26</v>
      </c>
      <c r="B1894" t="s">
        <v>28</v>
      </c>
      <c r="C1894">
        <v>1</v>
      </c>
      <c r="D1894" t="s">
        <v>128</v>
      </c>
      <c r="E1894" t="s">
        <v>288</v>
      </c>
      <c r="F1894">
        <v>15.1</v>
      </c>
      <c r="G1894">
        <v>2025</v>
      </c>
    </row>
    <row r="1895" spans="1:7" hidden="1" x14ac:dyDescent="0.2">
      <c r="A1895" t="s">
        <v>26</v>
      </c>
      <c r="B1895" t="s">
        <v>28</v>
      </c>
      <c r="C1895">
        <v>1</v>
      </c>
      <c r="D1895" t="s">
        <v>128</v>
      </c>
      <c r="E1895" t="s">
        <v>257</v>
      </c>
      <c r="F1895">
        <v>0</v>
      </c>
      <c r="G1895">
        <v>2025</v>
      </c>
    </row>
    <row r="1896" spans="1:7" hidden="1" x14ac:dyDescent="0.2">
      <c r="A1896" t="s">
        <v>26</v>
      </c>
      <c r="B1896" t="s">
        <v>28</v>
      </c>
      <c r="C1896">
        <v>1</v>
      </c>
      <c r="D1896" t="s">
        <v>127</v>
      </c>
      <c r="E1896" t="s">
        <v>519</v>
      </c>
      <c r="F1896">
        <v>11</v>
      </c>
      <c r="G1896">
        <v>2025</v>
      </c>
    </row>
    <row r="1897" spans="1:7" hidden="1" x14ac:dyDescent="0.2">
      <c r="A1897" t="s">
        <v>26</v>
      </c>
      <c r="B1897" t="s">
        <v>28</v>
      </c>
      <c r="C1897">
        <v>1</v>
      </c>
      <c r="D1897" t="s">
        <v>127</v>
      </c>
      <c r="E1897" t="s">
        <v>149</v>
      </c>
      <c r="F1897">
        <v>12.4</v>
      </c>
      <c r="G1897">
        <v>2025</v>
      </c>
    </row>
    <row r="1898" spans="1:7" hidden="1" x14ac:dyDescent="0.2">
      <c r="A1898" t="s">
        <v>26</v>
      </c>
      <c r="B1898" t="s">
        <v>28</v>
      </c>
      <c r="C1898">
        <v>1</v>
      </c>
      <c r="D1898" t="s">
        <v>129</v>
      </c>
      <c r="E1898" t="s">
        <v>376</v>
      </c>
      <c r="F1898">
        <v>3</v>
      </c>
      <c r="G1898">
        <v>2025</v>
      </c>
    </row>
    <row r="1899" spans="1:7" hidden="1" x14ac:dyDescent="0.2">
      <c r="A1899" t="s">
        <v>26</v>
      </c>
      <c r="B1899" t="s">
        <v>28</v>
      </c>
      <c r="C1899">
        <v>1</v>
      </c>
      <c r="D1899" t="s">
        <v>131</v>
      </c>
      <c r="E1899" t="s">
        <v>520</v>
      </c>
      <c r="F1899">
        <v>8</v>
      </c>
      <c r="G1899">
        <v>2025</v>
      </c>
    </row>
    <row r="1900" spans="1:7" x14ac:dyDescent="0.2">
      <c r="A1900" t="s">
        <v>26</v>
      </c>
      <c r="B1900" t="s">
        <v>28</v>
      </c>
      <c r="C1900">
        <v>1</v>
      </c>
      <c r="D1900" t="s">
        <v>130</v>
      </c>
      <c r="E1900" t="s">
        <v>215</v>
      </c>
      <c r="F1900">
        <v>10</v>
      </c>
      <c r="G1900">
        <v>2025</v>
      </c>
    </row>
    <row r="1901" spans="1:7" hidden="1" x14ac:dyDescent="0.2">
      <c r="A1901" t="s">
        <v>26</v>
      </c>
      <c r="B1901" t="s">
        <v>28</v>
      </c>
      <c r="C1901">
        <v>1</v>
      </c>
      <c r="D1901" t="s">
        <v>293</v>
      </c>
      <c r="E1901" t="s">
        <v>322</v>
      </c>
      <c r="F1901">
        <v>7.2</v>
      </c>
      <c r="G1901">
        <v>2025</v>
      </c>
    </row>
    <row r="1902" spans="1:7" hidden="1" x14ac:dyDescent="0.2">
      <c r="A1902" t="s">
        <v>42</v>
      </c>
      <c r="B1902" t="s">
        <v>17</v>
      </c>
      <c r="C1902">
        <v>1</v>
      </c>
      <c r="D1902" t="s">
        <v>125</v>
      </c>
      <c r="E1902" t="s">
        <v>141</v>
      </c>
      <c r="F1902">
        <v>7.82</v>
      </c>
      <c r="G1902">
        <v>2025</v>
      </c>
    </row>
    <row r="1903" spans="1:7" hidden="1" x14ac:dyDescent="0.2">
      <c r="A1903" t="s">
        <v>42</v>
      </c>
      <c r="B1903" t="s">
        <v>17</v>
      </c>
      <c r="C1903">
        <v>1</v>
      </c>
      <c r="D1903" t="s">
        <v>128</v>
      </c>
      <c r="E1903" t="s">
        <v>277</v>
      </c>
      <c r="F1903">
        <v>8.5</v>
      </c>
      <c r="G1903">
        <v>2025</v>
      </c>
    </row>
    <row r="1904" spans="1:7" hidden="1" x14ac:dyDescent="0.2">
      <c r="A1904" t="s">
        <v>42</v>
      </c>
      <c r="B1904" t="s">
        <v>17</v>
      </c>
      <c r="C1904">
        <v>1</v>
      </c>
      <c r="D1904" t="s">
        <v>128</v>
      </c>
      <c r="E1904" t="s">
        <v>522</v>
      </c>
      <c r="F1904">
        <v>9.3000000000000007</v>
      </c>
      <c r="G1904">
        <v>2025</v>
      </c>
    </row>
    <row r="1905" spans="1:7" hidden="1" x14ac:dyDescent="0.2">
      <c r="A1905" t="s">
        <v>42</v>
      </c>
      <c r="B1905" t="s">
        <v>17</v>
      </c>
      <c r="C1905">
        <v>1</v>
      </c>
      <c r="D1905" t="s">
        <v>128</v>
      </c>
      <c r="E1905" t="s">
        <v>146</v>
      </c>
      <c r="F1905">
        <v>19.100000000000001</v>
      </c>
      <c r="G1905">
        <v>2025</v>
      </c>
    </row>
    <row r="1906" spans="1:7" hidden="1" x14ac:dyDescent="0.2">
      <c r="A1906" t="s">
        <v>42</v>
      </c>
      <c r="B1906" t="s">
        <v>17</v>
      </c>
      <c r="C1906">
        <v>1</v>
      </c>
      <c r="D1906" t="s">
        <v>127</v>
      </c>
      <c r="E1906" t="s">
        <v>180</v>
      </c>
      <c r="F1906">
        <v>13.5</v>
      </c>
      <c r="G1906">
        <v>2025</v>
      </c>
    </row>
    <row r="1907" spans="1:7" hidden="1" x14ac:dyDescent="0.2">
      <c r="A1907" t="s">
        <v>42</v>
      </c>
      <c r="B1907" t="s">
        <v>17</v>
      </c>
      <c r="C1907">
        <v>1</v>
      </c>
      <c r="D1907" t="s">
        <v>127</v>
      </c>
      <c r="E1907" t="s">
        <v>197</v>
      </c>
      <c r="F1907">
        <v>12.7</v>
      </c>
      <c r="G1907">
        <v>2025</v>
      </c>
    </row>
    <row r="1908" spans="1:7" hidden="1" x14ac:dyDescent="0.2">
      <c r="A1908" t="s">
        <v>42</v>
      </c>
      <c r="B1908" t="s">
        <v>17</v>
      </c>
      <c r="C1908">
        <v>1</v>
      </c>
      <c r="D1908" t="s">
        <v>129</v>
      </c>
      <c r="E1908" t="s">
        <v>213</v>
      </c>
      <c r="F1908">
        <v>3.6</v>
      </c>
      <c r="G1908">
        <v>2025</v>
      </c>
    </row>
    <row r="1909" spans="1:7" hidden="1" x14ac:dyDescent="0.2">
      <c r="A1909" t="s">
        <v>42</v>
      </c>
      <c r="B1909" t="s">
        <v>17</v>
      </c>
      <c r="C1909">
        <v>1</v>
      </c>
      <c r="D1909" t="s">
        <v>131</v>
      </c>
      <c r="E1909" t="s">
        <v>523</v>
      </c>
      <c r="F1909">
        <v>12</v>
      </c>
      <c r="G1909">
        <v>2025</v>
      </c>
    </row>
    <row r="1910" spans="1:7" hidden="1" x14ac:dyDescent="0.2">
      <c r="A1910" t="s">
        <v>42</v>
      </c>
      <c r="B1910" t="s">
        <v>17</v>
      </c>
      <c r="C1910">
        <v>1</v>
      </c>
      <c r="D1910" t="s">
        <v>130</v>
      </c>
      <c r="E1910" t="s">
        <v>354</v>
      </c>
      <c r="F1910">
        <v>2</v>
      </c>
      <c r="G1910">
        <v>2025</v>
      </c>
    </row>
    <row r="1911" spans="1:7" hidden="1" x14ac:dyDescent="0.2">
      <c r="A1911" t="s">
        <v>42</v>
      </c>
      <c r="B1911" t="s">
        <v>17</v>
      </c>
      <c r="C1911">
        <v>1</v>
      </c>
      <c r="D1911" t="s">
        <v>294</v>
      </c>
      <c r="E1911" t="s">
        <v>232</v>
      </c>
      <c r="F1911">
        <v>4</v>
      </c>
      <c r="G1911">
        <v>2025</v>
      </c>
    </row>
    <row r="1912" spans="1:7" hidden="1" x14ac:dyDescent="0.2">
      <c r="A1912" t="s">
        <v>521</v>
      </c>
      <c r="B1912" t="s">
        <v>29</v>
      </c>
      <c r="C1912">
        <v>1</v>
      </c>
      <c r="D1912" t="s">
        <v>125</v>
      </c>
      <c r="E1912" t="s">
        <v>368</v>
      </c>
      <c r="F1912">
        <v>6.84</v>
      </c>
      <c r="G1912">
        <v>2025</v>
      </c>
    </row>
    <row r="1913" spans="1:7" hidden="1" x14ac:dyDescent="0.2">
      <c r="A1913" t="s">
        <v>521</v>
      </c>
      <c r="B1913" t="s">
        <v>29</v>
      </c>
      <c r="C1913">
        <v>1</v>
      </c>
      <c r="D1913" t="s">
        <v>128</v>
      </c>
      <c r="E1913" t="s">
        <v>162</v>
      </c>
      <c r="F1913">
        <v>15.6</v>
      </c>
      <c r="G1913">
        <v>2025</v>
      </c>
    </row>
    <row r="1914" spans="1:7" hidden="1" x14ac:dyDescent="0.2">
      <c r="A1914" t="s">
        <v>521</v>
      </c>
      <c r="B1914" t="s">
        <v>29</v>
      </c>
      <c r="C1914">
        <v>1</v>
      </c>
      <c r="D1914" t="s">
        <v>128</v>
      </c>
      <c r="E1914" t="s">
        <v>171</v>
      </c>
      <c r="F1914">
        <v>12.8</v>
      </c>
      <c r="G1914">
        <v>2025</v>
      </c>
    </row>
    <row r="1915" spans="1:7" hidden="1" x14ac:dyDescent="0.2">
      <c r="A1915" t="s">
        <v>521</v>
      </c>
      <c r="B1915" t="s">
        <v>29</v>
      </c>
      <c r="C1915">
        <v>1</v>
      </c>
      <c r="D1915" t="s">
        <v>128</v>
      </c>
      <c r="E1915" t="s">
        <v>199</v>
      </c>
      <c r="F1915">
        <v>8.6999999999999993</v>
      </c>
      <c r="G1915">
        <v>2025</v>
      </c>
    </row>
    <row r="1916" spans="1:7" hidden="1" x14ac:dyDescent="0.2">
      <c r="A1916" t="s">
        <v>521</v>
      </c>
      <c r="B1916" t="s">
        <v>29</v>
      </c>
      <c r="C1916">
        <v>1</v>
      </c>
      <c r="D1916" t="s">
        <v>127</v>
      </c>
      <c r="E1916" t="s">
        <v>198</v>
      </c>
      <c r="F1916">
        <v>11.3</v>
      </c>
      <c r="G1916">
        <v>2025</v>
      </c>
    </row>
    <row r="1917" spans="1:7" hidden="1" x14ac:dyDescent="0.2">
      <c r="A1917" t="s">
        <v>521</v>
      </c>
      <c r="B1917" t="s">
        <v>29</v>
      </c>
      <c r="C1917">
        <v>1</v>
      </c>
      <c r="D1917" t="s">
        <v>127</v>
      </c>
      <c r="E1917" t="s">
        <v>348</v>
      </c>
      <c r="F1917">
        <v>4.5</v>
      </c>
      <c r="G1917">
        <v>2025</v>
      </c>
    </row>
    <row r="1918" spans="1:7" hidden="1" x14ac:dyDescent="0.2">
      <c r="A1918" t="s">
        <v>521</v>
      </c>
      <c r="B1918" t="s">
        <v>29</v>
      </c>
      <c r="C1918">
        <v>1</v>
      </c>
      <c r="D1918" t="s">
        <v>129</v>
      </c>
      <c r="E1918" t="s">
        <v>196</v>
      </c>
      <c r="F1918">
        <v>1</v>
      </c>
      <c r="G1918">
        <v>2025</v>
      </c>
    </row>
    <row r="1919" spans="1:7" hidden="1" x14ac:dyDescent="0.2">
      <c r="A1919" t="s">
        <v>521</v>
      </c>
      <c r="B1919" t="s">
        <v>29</v>
      </c>
      <c r="C1919">
        <v>1</v>
      </c>
      <c r="D1919" t="s">
        <v>131</v>
      </c>
      <c r="E1919" t="s">
        <v>374</v>
      </c>
      <c r="F1919">
        <v>6</v>
      </c>
      <c r="G1919">
        <v>2025</v>
      </c>
    </row>
    <row r="1920" spans="1:7" hidden="1" x14ac:dyDescent="0.2">
      <c r="A1920" t="s">
        <v>521</v>
      </c>
      <c r="B1920" t="s">
        <v>29</v>
      </c>
      <c r="C1920">
        <v>1</v>
      </c>
      <c r="D1920" t="s">
        <v>130</v>
      </c>
      <c r="E1920" t="s">
        <v>167</v>
      </c>
      <c r="F1920">
        <v>4</v>
      </c>
      <c r="G1920">
        <v>2025</v>
      </c>
    </row>
    <row r="1921" spans="1:7" hidden="1" x14ac:dyDescent="0.2">
      <c r="A1921" t="s">
        <v>521</v>
      </c>
      <c r="B1921" t="s">
        <v>29</v>
      </c>
      <c r="C1921">
        <v>1</v>
      </c>
      <c r="D1921" t="s">
        <v>294</v>
      </c>
      <c r="E1921" t="s">
        <v>151</v>
      </c>
      <c r="F1921">
        <v>7.1</v>
      </c>
      <c r="G1921">
        <v>2025</v>
      </c>
    </row>
    <row r="1922" spans="1:7" hidden="1" x14ac:dyDescent="0.2">
      <c r="A1922" t="s">
        <v>524</v>
      </c>
      <c r="B1922" t="s">
        <v>21</v>
      </c>
      <c r="C1922">
        <v>1</v>
      </c>
      <c r="D1922" t="s">
        <v>125</v>
      </c>
      <c r="E1922" t="s">
        <v>212</v>
      </c>
      <c r="F1922">
        <v>38.76</v>
      </c>
      <c r="G1922">
        <v>2025</v>
      </c>
    </row>
    <row r="1923" spans="1:7" hidden="1" x14ac:dyDescent="0.2">
      <c r="A1923" t="s">
        <v>524</v>
      </c>
      <c r="B1923" t="s">
        <v>21</v>
      </c>
      <c r="C1923">
        <v>1</v>
      </c>
      <c r="D1923" t="s">
        <v>128</v>
      </c>
      <c r="E1923" t="s">
        <v>145</v>
      </c>
      <c r="F1923">
        <v>1.3</v>
      </c>
      <c r="G1923">
        <v>2025</v>
      </c>
    </row>
    <row r="1924" spans="1:7" hidden="1" x14ac:dyDescent="0.2">
      <c r="A1924" t="s">
        <v>524</v>
      </c>
      <c r="B1924" t="s">
        <v>21</v>
      </c>
      <c r="C1924">
        <v>1</v>
      </c>
      <c r="D1924" t="s">
        <v>128</v>
      </c>
      <c r="E1924" t="s">
        <v>222</v>
      </c>
      <c r="F1924">
        <v>4.5999999999999996</v>
      </c>
      <c r="G1924">
        <v>2025</v>
      </c>
    </row>
    <row r="1925" spans="1:7" hidden="1" x14ac:dyDescent="0.2">
      <c r="A1925" t="s">
        <v>524</v>
      </c>
      <c r="B1925" t="s">
        <v>21</v>
      </c>
      <c r="C1925">
        <v>1</v>
      </c>
      <c r="D1925" t="s">
        <v>128</v>
      </c>
      <c r="E1925" t="s">
        <v>527</v>
      </c>
      <c r="F1925">
        <v>21.6</v>
      </c>
      <c r="G1925">
        <v>2025</v>
      </c>
    </row>
    <row r="1926" spans="1:7" hidden="1" x14ac:dyDescent="0.2">
      <c r="A1926" t="s">
        <v>524</v>
      </c>
      <c r="B1926" t="s">
        <v>21</v>
      </c>
      <c r="C1926">
        <v>1</v>
      </c>
      <c r="D1926" t="s">
        <v>127</v>
      </c>
      <c r="E1926" t="s">
        <v>528</v>
      </c>
      <c r="F1926">
        <v>8.1</v>
      </c>
      <c r="G1926">
        <v>2025</v>
      </c>
    </row>
    <row r="1927" spans="1:7" hidden="1" x14ac:dyDescent="0.2">
      <c r="A1927" t="s">
        <v>524</v>
      </c>
      <c r="B1927" t="s">
        <v>21</v>
      </c>
      <c r="C1927">
        <v>1</v>
      </c>
      <c r="D1927" t="s">
        <v>127</v>
      </c>
      <c r="E1927" t="s">
        <v>529</v>
      </c>
      <c r="F1927">
        <v>7.1</v>
      </c>
      <c r="G1927">
        <v>2025</v>
      </c>
    </row>
    <row r="1928" spans="1:7" hidden="1" x14ac:dyDescent="0.2">
      <c r="A1928" t="s">
        <v>524</v>
      </c>
      <c r="B1928" t="s">
        <v>21</v>
      </c>
      <c r="C1928">
        <v>1</v>
      </c>
      <c r="D1928" t="s">
        <v>129</v>
      </c>
      <c r="E1928" t="s">
        <v>530</v>
      </c>
      <c r="F1928">
        <v>11.4</v>
      </c>
      <c r="G1928">
        <v>2025</v>
      </c>
    </row>
    <row r="1929" spans="1:7" hidden="1" x14ac:dyDescent="0.2">
      <c r="A1929" t="s">
        <v>524</v>
      </c>
      <c r="B1929" t="s">
        <v>21</v>
      </c>
      <c r="C1929">
        <v>1</v>
      </c>
      <c r="D1929" t="s">
        <v>131</v>
      </c>
      <c r="E1929" t="s">
        <v>214</v>
      </c>
      <c r="F1929">
        <v>9</v>
      </c>
      <c r="G1929">
        <v>2025</v>
      </c>
    </row>
    <row r="1930" spans="1:7" hidden="1" x14ac:dyDescent="0.2">
      <c r="A1930" t="s">
        <v>524</v>
      </c>
      <c r="B1930" t="s">
        <v>21</v>
      </c>
      <c r="C1930">
        <v>1</v>
      </c>
      <c r="D1930" t="s">
        <v>130</v>
      </c>
      <c r="E1930" t="s">
        <v>323</v>
      </c>
      <c r="F1930">
        <v>17</v>
      </c>
      <c r="G1930">
        <v>2025</v>
      </c>
    </row>
    <row r="1931" spans="1:7" hidden="1" x14ac:dyDescent="0.2">
      <c r="A1931" t="s">
        <v>524</v>
      </c>
      <c r="B1931" t="s">
        <v>21</v>
      </c>
      <c r="C1931">
        <v>1</v>
      </c>
      <c r="D1931" t="s">
        <v>293</v>
      </c>
      <c r="E1931" t="s">
        <v>164</v>
      </c>
      <c r="F1931">
        <v>3.8</v>
      </c>
      <c r="G1931">
        <v>2025</v>
      </c>
    </row>
    <row r="1932" spans="1:7" hidden="1" x14ac:dyDescent="0.2">
      <c r="A1932" t="s">
        <v>18</v>
      </c>
      <c r="B1932" t="s">
        <v>20</v>
      </c>
      <c r="C1932">
        <v>1</v>
      </c>
      <c r="D1932" t="s">
        <v>125</v>
      </c>
      <c r="E1932" t="s">
        <v>258</v>
      </c>
      <c r="F1932">
        <v>18.32</v>
      </c>
      <c r="G1932">
        <v>2025</v>
      </c>
    </row>
    <row r="1933" spans="1:7" hidden="1" x14ac:dyDescent="0.2">
      <c r="A1933" t="s">
        <v>18</v>
      </c>
      <c r="B1933" t="s">
        <v>20</v>
      </c>
      <c r="C1933">
        <v>1</v>
      </c>
      <c r="D1933" t="s">
        <v>128</v>
      </c>
      <c r="E1933" t="s">
        <v>134</v>
      </c>
      <c r="F1933">
        <v>24.6</v>
      </c>
      <c r="G1933">
        <v>2025</v>
      </c>
    </row>
    <row r="1934" spans="1:7" hidden="1" x14ac:dyDescent="0.2">
      <c r="A1934" t="s">
        <v>18</v>
      </c>
      <c r="B1934" t="s">
        <v>20</v>
      </c>
      <c r="C1934">
        <v>1</v>
      </c>
      <c r="D1934" t="s">
        <v>128</v>
      </c>
      <c r="E1934" t="s">
        <v>248</v>
      </c>
      <c r="F1934">
        <v>14.9</v>
      </c>
      <c r="G1934">
        <v>2025</v>
      </c>
    </row>
    <row r="1935" spans="1:7" hidden="1" x14ac:dyDescent="0.2">
      <c r="A1935" t="s">
        <v>18</v>
      </c>
      <c r="B1935" t="s">
        <v>20</v>
      </c>
      <c r="C1935">
        <v>1</v>
      </c>
      <c r="D1935" t="s">
        <v>128</v>
      </c>
      <c r="E1935" t="s">
        <v>303</v>
      </c>
      <c r="F1935">
        <v>13.7</v>
      </c>
      <c r="G1935">
        <v>2025</v>
      </c>
    </row>
    <row r="1936" spans="1:7" hidden="1" x14ac:dyDescent="0.2">
      <c r="A1936" t="s">
        <v>18</v>
      </c>
      <c r="B1936" t="s">
        <v>20</v>
      </c>
      <c r="C1936">
        <v>1</v>
      </c>
      <c r="D1936" t="s">
        <v>127</v>
      </c>
      <c r="E1936" t="s">
        <v>154</v>
      </c>
      <c r="F1936">
        <v>28.7</v>
      </c>
      <c r="G1936">
        <v>2025</v>
      </c>
    </row>
    <row r="1937" spans="1:7" hidden="1" x14ac:dyDescent="0.2">
      <c r="A1937" t="s">
        <v>18</v>
      </c>
      <c r="B1937" t="s">
        <v>20</v>
      </c>
      <c r="C1937">
        <v>1</v>
      </c>
      <c r="D1937" t="s">
        <v>127</v>
      </c>
      <c r="E1937" t="s">
        <v>208</v>
      </c>
      <c r="F1937">
        <v>18.7</v>
      </c>
      <c r="G1937">
        <v>2025</v>
      </c>
    </row>
    <row r="1938" spans="1:7" hidden="1" x14ac:dyDescent="0.2">
      <c r="A1938" t="s">
        <v>18</v>
      </c>
      <c r="B1938" t="s">
        <v>20</v>
      </c>
      <c r="C1938">
        <v>1</v>
      </c>
      <c r="D1938" t="s">
        <v>129</v>
      </c>
      <c r="E1938" t="s">
        <v>327</v>
      </c>
      <c r="F1938">
        <v>8.9</v>
      </c>
      <c r="G1938">
        <v>2025</v>
      </c>
    </row>
    <row r="1939" spans="1:7" hidden="1" x14ac:dyDescent="0.2">
      <c r="A1939" t="s">
        <v>18</v>
      </c>
      <c r="B1939" t="s">
        <v>20</v>
      </c>
      <c r="C1939">
        <v>1</v>
      </c>
      <c r="D1939" t="s">
        <v>131</v>
      </c>
      <c r="E1939" t="s">
        <v>350</v>
      </c>
      <c r="F1939">
        <v>9</v>
      </c>
      <c r="G1939">
        <v>2025</v>
      </c>
    </row>
    <row r="1940" spans="1:7" hidden="1" x14ac:dyDescent="0.2">
      <c r="A1940" t="s">
        <v>18</v>
      </c>
      <c r="B1940" t="s">
        <v>20</v>
      </c>
      <c r="C1940">
        <v>1</v>
      </c>
      <c r="D1940" t="s">
        <v>130</v>
      </c>
      <c r="E1940" t="s">
        <v>405</v>
      </c>
      <c r="F1940">
        <v>4</v>
      </c>
      <c r="G1940">
        <v>2025</v>
      </c>
    </row>
    <row r="1941" spans="1:7" hidden="1" x14ac:dyDescent="0.2">
      <c r="A1941" t="s">
        <v>18</v>
      </c>
      <c r="B1941" t="s">
        <v>20</v>
      </c>
      <c r="C1941">
        <v>1</v>
      </c>
      <c r="D1941" t="s">
        <v>294</v>
      </c>
      <c r="E1941" t="s">
        <v>276</v>
      </c>
      <c r="F1941">
        <v>4.8</v>
      </c>
      <c r="G1941">
        <v>2025</v>
      </c>
    </row>
    <row r="1942" spans="1:7" hidden="1" x14ac:dyDescent="0.2">
      <c r="A1942" t="s">
        <v>525</v>
      </c>
      <c r="B1942" t="s">
        <v>36</v>
      </c>
      <c r="C1942">
        <v>1</v>
      </c>
      <c r="D1942" t="s">
        <v>125</v>
      </c>
      <c r="E1942" t="s">
        <v>250</v>
      </c>
      <c r="F1942">
        <v>20.12</v>
      </c>
      <c r="G1942">
        <v>2025</v>
      </c>
    </row>
    <row r="1943" spans="1:7" hidden="1" x14ac:dyDescent="0.2">
      <c r="A1943" t="s">
        <v>525</v>
      </c>
      <c r="B1943" t="s">
        <v>36</v>
      </c>
      <c r="C1943">
        <v>1</v>
      </c>
      <c r="D1943" t="s">
        <v>128</v>
      </c>
      <c r="E1943" t="s">
        <v>177</v>
      </c>
      <c r="F1943">
        <v>14.5</v>
      </c>
      <c r="G1943">
        <v>2025</v>
      </c>
    </row>
    <row r="1944" spans="1:7" hidden="1" x14ac:dyDescent="0.2">
      <c r="A1944" t="s">
        <v>525</v>
      </c>
      <c r="B1944" t="s">
        <v>36</v>
      </c>
      <c r="C1944">
        <v>1</v>
      </c>
      <c r="D1944" t="s">
        <v>128</v>
      </c>
      <c r="E1944" t="s">
        <v>161</v>
      </c>
      <c r="F1944">
        <v>8.9</v>
      </c>
      <c r="G1944">
        <v>2025</v>
      </c>
    </row>
    <row r="1945" spans="1:7" hidden="1" x14ac:dyDescent="0.2">
      <c r="A1945" t="s">
        <v>525</v>
      </c>
      <c r="B1945" t="s">
        <v>36</v>
      </c>
      <c r="C1945">
        <v>1</v>
      </c>
      <c r="D1945" t="s">
        <v>128</v>
      </c>
      <c r="E1945" t="s">
        <v>204</v>
      </c>
      <c r="F1945">
        <v>2.5</v>
      </c>
      <c r="G1945">
        <v>2025</v>
      </c>
    </row>
    <row r="1946" spans="1:7" hidden="1" x14ac:dyDescent="0.2">
      <c r="A1946" t="s">
        <v>525</v>
      </c>
      <c r="B1946" t="s">
        <v>36</v>
      </c>
      <c r="C1946">
        <v>1</v>
      </c>
      <c r="D1946" t="s">
        <v>127</v>
      </c>
      <c r="E1946" t="s">
        <v>207</v>
      </c>
      <c r="F1946">
        <v>10</v>
      </c>
      <c r="G1946">
        <v>2025</v>
      </c>
    </row>
    <row r="1947" spans="1:7" hidden="1" x14ac:dyDescent="0.2">
      <c r="A1947" t="s">
        <v>525</v>
      </c>
      <c r="B1947" t="s">
        <v>36</v>
      </c>
      <c r="C1947">
        <v>1</v>
      </c>
      <c r="D1947" t="s">
        <v>127</v>
      </c>
      <c r="E1947" t="s">
        <v>235</v>
      </c>
      <c r="F1947">
        <v>14.2</v>
      </c>
      <c r="G1947">
        <v>2025</v>
      </c>
    </row>
    <row r="1948" spans="1:7" hidden="1" x14ac:dyDescent="0.2">
      <c r="A1948" t="s">
        <v>525</v>
      </c>
      <c r="B1948" t="s">
        <v>36</v>
      </c>
      <c r="C1948">
        <v>1</v>
      </c>
      <c r="D1948" t="s">
        <v>129</v>
      </c>
      <c r="E1948" t="s">
        <v>156</v>
      </c>
      <c r="F1948">
        <v>10.9</v>
      </c>
      <c r="G1948">
        <v>2025</v>
      </c>
    </row>
    <row r="1949" spans="1:7" hidden="1" x14ac:dyDescent="0.2">
      <c r="A1949" t="s">
        <v>525</v>
      </c>
      <c r="B1949" t="s">
        <v>36</v>
      </c>
      <c r="C1949">
        <v>1</v>
      </c>
      <c r="D1949" t="s">
        <v>131</v>
      </c>
      <c r="E1949" t="s">
        <v>183</v>
      </c>
      <c r="F1949">
        <v>8</v>
      </c>
      <c r="G1949">
        <v>2025</v>
      </c>
    </row>
    <row r="1950" spans="1:7" hidden="1" x14ac:dyDescent="0.2">
      <c r="A1950" t="s">
        <v>525</v>
      </c>
      <c r="B1950" t="s">
        <v>36</v>
      </c>
      <c r="C1950">
        <v>1</v>
      </c>
      <c r="D1950" t="s">
        <v>130</v>
      </c>
      <c r="E1950" t="s">
        <v>142</v>
      </c>
      <c r="F1950">
        <v>7</v>
      </c>
      <c r="G1950">
        <v>2025</v>
      </c>
    </row>
    <row r="1951" spans="1:7" hidden="1" x14ac:dyDescent="0.2">
      <c r="A1951" t="s">
        <v>525</v>
      </c>
      <c r="B1951" t="s">
        <v>36</v>
      </c>
      <c r="C1951">
        <v>1</v>
      </c>
      <c r="D1951" t="s">
        <v>294</v>
      </c>
      <c r="E1951" t="s">
        <v>310</v>
      </c>
      <c r="F1951">
        <v>2.5</v>
      </c>
      <c r="G1951">
        <v>2025</v>
      </c>
    </row>
    <row r="1952" spans="1:7" hidden="1" x14ac:dyDescent="0.2">
      <c r="A1952" t="s">
        <v>526</v>
      </c>
      <c r="B1952" t="s">
        <v>32</v>
      </c>
      <c r="C1952">
        <v>1</v>
      </c>
      <c r="D1952" t="s">
        <v>125</v>
      </c>
      <c r="E1952" t="s">
        <v>185</v>
      </c>
      <c r="F1952">
        <v>24.2</v>
      </c>
      <c r="G1952">
        <v>2025</v>
      </c>
    </row>
    <row r="1953" spans="1:7" hidden="1" x14ac:dyDescent="0.2">
      <c r="A1953" t="s">
        <v>526</v>
      </c>
      <c r="B1953" t="s">
        <v>32</v>
      </c>
      <c r="C1953">
        <v>1</v>
      </c>
      <c r="D1953" t="s">
        <v>128</v>
      </c>
      <c r="E1953" t="s">
        <v>186</v>
      </c>
      <c r="F1953">
        <v>10.4</v>
      </c>
      <c r="G1953">
        <v>2025</v>
      </c>
    </row>
    <row r="1954" spans="1:7" hidden="1" x14ac:dyDescent="0.2">
      <c r="A1954" t="s">
        <v>526</v>
      </c>
      <c r="B1954" t="s">
        <v>32</v>
      </c>
      <c r="C1954">
        <v>1</v>
      </c>
      <c r="D1954" t="s">
        <v>128</v>
      </c>
      <c r="E1954" t="s">
        <v>224</v>
      </c>
      <c r="F1954">
        <v>19</v>
      </c>
      <c r="G1954">
        <v>2025</v>
      </c>
    </row>
    <row r="1955" spans="1:7" hidden="1" x14ac:dyDescent="0.2">
      <c r="A1955" t="s">
        <v>526</v>
      </c>
      <c r="B1955" t="s">
        <v>32</v>
      </c>
      <c r="C1955">
        <v>1</v>
      </c>
      <c r="D1955" t="s">
        <v>128</v>
      </c>
      <c r="E1955" t="s">
        <v>133</v>
      </c>
      <c r="F1955">
        <v>6</v>
      </c>
      <c r="G1955">
        <v>2025</v>
      </c>
    </row>
    <row r="1956" spans="1:7" hidden="1" x14ac:dyDescent="0.2">
      <c r="A1956" t="s">
        <v>526</v>
      </c>
      <c r="B1956" t="s">
        <v>32</v>
      </c>
      <c r="C1956">
        <v>1</v>
      </c>
      <c r="D1956" t="s">
        <v>127</v>
      </c>
      <c r="E1956" t="s">
        <v>148</v>
      </c>
      <c r="F1956">
        <v>15</v>
      </c>
      <c r="G1956">
        <v>2025</v>
      </c>
    </row>
    <row r="1957" spans="1:7" hidden="1" x14ac:dyDescent="0.2">
      <c r="A1957" t="s">
        <v>526</v>
      </c>
      <c r="B1957" t="s">
        <v>32</v>
      </c>
      <c r="C1957">
        <v>1</v>
      </c>
      <c r="D1957" t="s">
        <v>127</v>
      </c>
      <c r="E1957" t="s">
        <v>226</v>
      </c>
      <c r="F1957">
        <v>15.5</v>
      </c>
      <c r="G1957">
        <v>2025</v>
      </c>
    </row>
    <row r="1958" spans="1:7" hidden="1" x14ac:dyDescent="0.2">
      <c r="A1958" t="s">
        <v>526</v>
      </c>
      <c r="B1958" t="s">
        <v>32</v>
      </c>
      <c r="C1958">
        <v>1</v>
      </c>
      <c r="D1958" t="s">
        <v>129</v>
      </c>
      <c r="E1958" t="s">
        <v>170</v>
      </c>
      <c r="F1958">
        <v>5.2</v>
      </c>
      <c r="G1958">
        <v>2025</v>
      </c>
    </row>
    <row r="1959" spans="1:7" hidden="1" x14ac:dyDescent="0.2">
      <c r="A1959" t="s">
        <v>526</v>
      </c>
      <c r="B1959" t="s">
        <v>32</v>
      </c>
      <c r="C1959">
        <v>1</v>
      </c>
      <c r="D1959" t="s">
        <v>131</v>
      </c>
      <c r="E1959" t="s">
        <v>339</v>
      </c>
      <c r="F1959">
        <v>4</v>
      </c>
      <c r="G1959">
        <v>2025</v>
      </c>
    </row>
    <row r="1960" spans="1:7" hidden="1" x14ac:dyDescent="0.2">
      <c r="A1960" t="s">
        <v>526</v>
      </c>
      <c r="B1960" t="s">
        <v>32</v>
      </c>
      <c r="C1960">
        <v>1</v>
      </c>
      <c r="D1960" t="s">
        <v>130</v>
      </c>
      <c r="E1960" t="s">
        <v>385</v>
      </c>
      <c r="F1960">
        <v>10</v>
      </c>
      <c r="G1960">
        <v>2025</v>
      </c>
    </row>
    <row r="1961" spans="1:7" hidden="1" x14ac:dyDescent="0.2">
      <c r="A1961" t="s">
        <v>526</v>
      </c>
      <c r="B1961" t="s">
        <v>32</v>
      </c>
      <c r="C1961">
        <v>1</v>
      </c>
      <c r="D1961" t="s">
        <v>293</v>
      </c>
      <c r="E1961" t="s">
        <v>225</v>
      </c>
      <c r="F1961">
        <v>3.9</v>
      </c>
      <c r="G1961">
        <v>2025</v>
      </c>
    </row>
    <row r="1962" spans="1:7" hidden="1" x14ac:dyDescent="0.2">
      <c r="A1962" t="s">
        <v>77</v>
      </c>
      <c r="B1962" t="s">
        <v>45</v>
      </c>
      <c r="C1962">
        <v>1</v>
      </c>
      <c r="D1962" t="s">
        <v>125</v>
      </c>
      <c r="E1962" t="s">
        <v>241</v>
      </c>
      <c r="F1962">
        <v>22.58</v>
      </c>
      <c r="G1962">
        <v>2025</v>
      </c>
    </row>
    <row r="1963" spans="1:7" hidden="1" x14ac:dyDescent="0.2">
      <c r="A1963" t="s">
        <v>77</v>
      </c>
      <c r="B1963" t="s">
        <v>45</v>
      </c>
      <c r="C1963">
        <v>1</v>
      </c>
      <c r="D1963" t="s">
        <v>128</v>
      </c>
      <c r="E1963" t="s">
        <v>187</v>
      </c>
      <c r="F1963">
        <v>6.5</v>
      </c>
      <c r="G1963">
        <v>2025</v>
      </c>
    </row>
    <row r="1964" spans="1:7" hidden="1" x14ac:dyDescent="0.2">
      <c r="A1964" t="s">
        <v>77</v>
      </c>
      <c r="B1964" t="s">
        <v>45</v>
      </c>
      <c r="C1964">
        <v>1</v>
      </c>
      <c r="D1964" t="s">
        <v>128</v>
      </c>
      <c r="E1964" t="s">
        <v>218</v>
      </c>
      <c r="F1964">
        <v>9.6</v>
      </c>
      <c r="G1964">
        <v>2025</v>
      </c>
    </row>
    <row r="1965" spans="1:7" hidden="1" x14ac:dyDescent="0.2">
      <c r="A1965" t="s">
        <v>77</v>
      </c>
      <c r="B1965" t="s">
        <v>45</v>
      </c>
      <c r="C1965">
        <v>1</v>
      </c>
      <c r="D1965" t="s">
        <v>128</v>
      </c>
      <c r="E1965" t="s">
        <v>220</v>
      </c>
      <c r="F1965">
        <v>7.8</v>
      </c>
      <c r="G1965">
        <v>2025</v>
      </c>
    </row>
    <row r="1966" spans="1:7" hidden="1" x14ac:dyDescent="0.2">
      <c r="A1966" t="s">
        <v>77</v>
      </c>
      <c r="B1966" t="s">
        <v>45</v>
      </c>
      <c r="C1966">
        <v>1</v>
      </c>
      <c r="D1966" t="s">
        <v>127</v>
      </c>
      <c r="E1966" t="s">
        <v>136</v>
      </c>
      <c r="F1966">
        <v>19.399999999999999</v>
      </c>
      <c r="G1966">
        <v>2025</v>
      </c>
    </row>
    <row r="1967" spans="1:7" hidden="1" x14ac:dyDescent="0.2">
      <c r="A1967" t="s">
        <v>77</v>
      </c>
      <c r="B1967" t="s">
        <v>45</v>
      </c>
      <c r="C1967">
        <v>1</v>
      </c>
      <c r="D1967" t="s">
        <v>127</v>
      </c>
      <c r="E1967" t="s">
        <v>531</v>
      </c>
      <c r="F1967">
        <v>13.3</v>
      </c>
      <c r="G1967">
        <v>2025</v>
      </c>
    </row>
    <row r="1968" spans="1:7" hidden="1" x14ac:dyDescent="0.2">
      <c r="A1968" t="s">
        <v>77</v>
      </c>
      <c r="B1968" t="s">
        <v>45</v>
      </c>
      <c r="C1968">
        <v>1</v>
      </c>
      <c r="D1968" t="s">
        <v>129</v>
      </c>
      <c r="E1968" t="s">
        <v>317</v>
      </c>
      <c r="F1968">
        <v>10.1</v>
      </c>
      <c r="G1968">
        <v>2025</v>
      </c>
    </row>
    <row r="1969" spans="1:7" hidden="1" x14ac:dyDescent="0.2">
      <c r="A1969" t="s">
        <v>77</v>
      </c>
      <c r="B1969" t="s">
        <v>45</v>
      </c>
      <c r="C1969">
        <v>1</v>
      </c>
      <c r="D1969" t="s">
        <v>131</v>
      </c>
      <c r="E1969" t="s">
        <v>532</v>
      </c>
      <c r="F1969">
        <v>11</v>
      </c>
      <c r="G1969">
        <v>2025</v>
      </c>
    </row>
    <row r="1970" spans="1:7" hidden="1" x14ac:dyDescent="0.2">
      <c r="A1970" t="s">
        <v>77</v>
      </c>
      <c r="B1970" t="s">
        <v>45</v>
      </c>
      <c r="C1970">
        <v>1</v>
      </c>
      <c r="D1970" t="s">
        <v>130</v>
      </c>
      <c r="E1970" t="s">
        <v>194</v>
      </c>
      <c r="F1970">
        <v>1</v>
      </c>
      <c r="G1970">
        <v>2025</v>
      </c>
    </row>
    <row r="1971" spans="1:7" hidden="1" x14ac:dyDescent="0.2">
      <c r="A1971" t="s">
        <v>77</v>
      </c>
      <c r="B1971" t="s">
        <v>45</v>
      </c>
      <c r="C1971">
        <v>1</v>
      </c>
      <c r="D1971" t="s">
        <v>294</v>
      </c>
      <c r="E1971" t="s">
        <v>231</v>
      </c>
      <c r="F1971">
        <v>3.6</v>
      </c>
      <c r="G1971">
        <v>2025</v>
      </c>
    </row>
    <row r="1972" spans="1:7" hidden="1" x14ac:dyDescent="0.2">
      <c r="A1972" t="s">
        <v>46</v>
      </c>
      <c r="B1972" t="s">
        <v>47</v>
      </c>
      <c r="C1972">
        <v>1</v>
      </c>
      <c r="D1972" t="s">
        <v>125</v>
      </c>
      <c r="E1972" t="s">
        <v>126</v>
      </c>
      <c r="F1972">
        <v>10.32</v>
      </c>
      <c r="G1972">
        <v>2025</v>
      </c>
    </row>
    <row r="1973" spans="1:7" hidden="1" x14ac:dyDescent="0.2">
      <c r="A1973" t="s">
        <v>46</v>
      </c>
      <c r="B1973" t="s">
        <v>47</v>
      </c>
      <c r="C1973">
        <v>1</v>
      </c>
      <c r="D1973" t="s">
        <v>128</v>
      </c>
      <c r="E1973" t="s">
        <v>173</v>
      </c>
      <c r="F1973">
        <v>7.2</v>
      </c>
      <c r="G1973">
        <v>2025</v>
      </c>
    </row>
    <row r="1974" spans="1:7" hidden="1" x14ac:dyDescent="0.2">
      <c r="A1974" t="s">
        <v>46</v>
      </c>
      <c r="B1974" t="s">
        <v>47</v>
      </c>
      <c r="C1974">
        <v>1</v>
      </c>
      <c r="D1974" t="s">
        <v>128</v>
      </c>
      <c r="E1974" t="s">
        <v>172</v>
      </c>
      <c r="F1974">
        <v>7.1</v>
      </c>
      <c r="G1974">
        <v>2025</v>
      </c>
    </row>
    <row r="1975" spans="1:7" hidden="1" x14ac:dyDescent="0.2">
      <c r="A1975" t="s">
        <v>46</v>
      </c>
      <c r="B1975" t="s">
        <v>47</v>
      </c>
      <c r="C1975">
        <v>1</v>
      </c>
      <c r="D1975" t="s">
        <v>128</v>
      </c>
      <c r="E1975" t="s">
        <v>178</v>
      </c>
      <c r="F1975">
        <v>5</v>
      </c>
      <c r="G1975">
        <v>2025</v>
      </c>
    </row>
    <row r="1976" spans="1:7" hidden="1" x14ac:dyDescent="0.2">
      <c r="A1976" t="s">
        <v>46</v>
      </c>
      <c r="B1976" t="s">
        <v>47</v>
      </c>
      <c r="C1976">
        <v>1</v>
      </c>
      <c r="D1976" t="s">
        <v>127</v>
      </c>
      <c r="E1976" t="s">
        <v>372</v>
      </c>
      <c r="F1976">
        <v>18.7</v>
      </c>
      <c r="G1976">
        <v>2025</v>
      </c>
    </row>
    <row r="1977" spans="1:7" hidden="1" x14ac:dyDescent="0.2">
      <c r="A1977" t="s">
        <v>46</v>
      </c>
      <c r="B1977" t="s">
        <v>47</v>
      </c>
      <c r="C1977">
        <v>1</v>
      </c>
      <c r="D1977" t="s">
        <v>127</v>
      </c>
      <c r="E1977" t="s">
        <v>255</v>
      </c>
      <c r="F1977">
        <v>12.5</v>
      </c>
      <c r="G1977">
        <v>2025</v>
      </c>
    </row>
    <row r="1978" spans="1:7" hidden="1" x14ac:dyDescent="0.2">
      <c r="A1978" t="s">
        <v>46</v>
      </c>
      <c r="B1978" t="s">
        <v>47</v>
      </c>
      <c r="C1978">
        <v>1</v>
      </c>
      <c r="D1978" t="s">
        <v>129</v>
      </c>
      <c r="E1978" t="s">
        <v>182</v>
      </c>
      <c r="F1978">
        <v>12.8</v>
      </c>
      <c r="G1978">
        <v>2025</v>
      </c>
    </row>
    <row r="1979" spans="1:7" hidden="1" x14ac:dyDescent="0.2">
      <c r="A1979" t="s">
        <v>46</v>
      </c>
      <c r="B1979" t="s">
        <v>47</v>
      </c>
      <c r="C1979">
        <v>1</v>
      </c>
      <c r="D1979" t="s">
        <v>131</v>
      </c>
      <c r="E1979" t="s">
        <v>242</v>
      </c>
      <c r="F1979">
        <v>14</v>
      </c>
      <c r="G1979">
        <v>2025</v>
      </c>
    </row>
    <row r="1980" spans="1:7" hidden="1" x14ac:dyDescent="0.2">
      <c r="A1980" t="s">
        <v>46</v>
      </c>
      <c r="B1980" t="s">
        <v>47</v>
      </c>
      <c r="C1980">
        <v>1</v>
      </c>
      <c r="D1980" t="s">
        <v>130</v>
      </c>
      <c r="E1980" t="s">
        <v>193</v>
      </c>
      <c r="F1980">
        <v>7</v>
      </c>
      <c r="G1980">
        <v>2025</v>
      </c>
    </row>
    <row r="1981" spans="1:7" hidden="1" x14ac:dyDescent="0.2">
      <c r="A1981" t="s">
        <v>46</v>
      </c>
      <c r="B1981" t="s">
        <v>47</v>
      </c>
      <c r="C1981">
        <v>1</v>
      </c>
      <c r="D1981" t="s">
        <v>293</v>
      </c>
      <c r="E1981" t="s">
        <v>278</v>
      </c>
      <c r="F1981">
        <v>8</v>
      </c>
      <c r="G1981">
        <v>2025</v>
      </c>
    </row>
    <row r="1982" spans="1:7" hidden="1" x14ac:dyDescent="0.2">
      <c r="A1982" t="s">
        <v>35</v>
      </c>
      <c r="B1982" t="s">
        <v>49</v>
      </c>
      <c r="C1982">
        <v>1</v>
      </c>
      <c r="D1982" t="s">
        <v>125</v>
      </c>
      <c r="E1982" t="s">
        <v>168</v>
      </c>
      <c r="F1982">
        <v>24.28</v>
      </c>
      <c r="G1982">
        <v>2025</v>
      </c>
    </row>
    <row r="1983" spans="1:7" hidden="1" x14ac:dyDescent="0.2">
      <c r="A1983" t="s">
        <v>35</v>
      </c>
      <c r="B1983" t="s">
        <v>49</v>
      </c>
      <c r="C1983">
        <v>1</v>
      </c>
      <c r="D1983" t="s">
        <v>128</v>
      </c>
      <c r="E1983" t="s">
        <v>188</v>
      </c>
      <c r="F1983">
        <v>9.5</v>
      </c>
      <c r="G1983">
        <v>2025</v>
      </c>
    </row>
    <row r="1984" spans="1:7" hidden="1" x14ac:dyDescent="0.2">
      <c r="A1984" t="s">
        <v>35</v>
      </c>
      <c r="B1984" t="s">
        <v>49</v>
      </c>
      <c r="C1984">
        <v>1</v>
      </c>
      <c r="D1984" t="s">
        <v>128</v>
      </c>
      <c r="E1984" t="s">
        <v>160</v>
      </c>
      <c r="F1984">
        <v>4.5</v>
      </c>
      <c r="G1984">
        <v>2025</v>
      </c>
    </row>
    <row r="1985" spans="1:7" hidden="1" x14ac:dyDescent="0.2">
      <c r="A1985" t="s">
        <v>35</v>
      </c>
      <c r="B1985" t="s">
        <v>49</v>
      </c>
      <c r="C1985">
        <v>1</v>
      </c>
      <c r="D1985" t="s">
        <v>128</v>
      </c>
      <c r="E1985" t="s">
        <v>262</v>
      </c>
      <c r="F1985">
        <v>6.3</v>
      </c>
      <c r="G1985">
        <v>2025</v>
      </c>
    </row>
    <row r="1986" spans="1:7" hidden="1" x14ac:dyDescent="0.2">
      <c r="A1986" t="s">
        <v>35</v>
      </c>
      <c r="B1986" t="s">
        <v>49</v>
      </c>
      <c r="C1986">
        <v>1</v>
      </c>
      <c r="D1986" t="s">
        <v>127</v>
      </c>
      <c r="E1986" t="s">
        <v>256</v>
      </c>
      <c r="F1986">
        <v>13.4</v>
      </c>
      <c r="G1986">
        <v>2025</v>
      </c>
    </row>
    <row r="1987" spans="1:7" hidden="1" x14ac:dyDescent="0.2">
      <c r="A1987" t="s">
        <v>35</v>
      </c>
      <c r="B1987" t="s">
        <v>49</v>
      </c>
      <c r="C1987">
        <v>1</v>
      </c>
      <c r="D1987" t="s">
        <v>127</v>
      </c>
      <c r="E1987" t="s">
        <v>534</v>
      </c>
      <c r="F1987">
        <v>7.4</v>
      </c>
      <c r="G1987">
        <v>2025</v>
      </c>
    </row>
    <row r="1988" spans="1:7" hidden="1" x14ac:dyDescent="0.2">
      <c r="A1988" t="s">
        <v>35</v>
      </c>
      <c r="B1988" t="s">
        <v>49</v>
      </c>
      <c r="C1988">
        <v>1</v>
      </c>
      <c r="D1988" t="s">
        <v>129</v>
      </c>
      <c r="E1988" t="s">
        <v>137</v>
      </c>
      <c r="F1988">
        <v>9.1</v>
      </c>
      <c r="G1988">
        <v>2025</v>
      </c>
    </row>
    <row r="1989" spans="1:7" hidden="1" x14ac:dyDescent="0.2">
      <c r="A1989" t="s">
        <v>35</v>
      </c>
      <c r="B1989" t="s">
        <v>49</v>
      </c>
      <c r="C1989">
        <v>1</v>
      </c>
      <c r="D1989" t="s">
        <v>131</v>
      </c>
      <c r="E1989" t="s">
        <v>533</v>
      </c>
      <c r="F1989">
        <v>14</v>
      </c>
      <c r="G1989">
        <v>2025</v>
      </c>
    </row>
    <row r="1990" spans="1:7" hidden="1" x14ac:dyDescent="0.2">
      <c r="A1990" t="s">
        <v>35</v>
      </c>
      <c r="B1990" t="s">
        <v>49</v>
      </c>
      <c r="C1990">
        <v>1</v>
      </c>
      <c r="D1990" t="s">
        <v>130</v>
      </c>
      <c r="E1990" t="s">
        <v>287</v>
      </c>
      <c r="F1990">
        <v>2</v>
      </c>
      <c r="G1990">
        <v>2025</v>
      </c>
    </row>
    <row r="1991" spans="1:7" hidden="1" x14ac:dyDescent="0.2">
      <c r="A1991" t="s">
        <v>35</v>
      </c>
      <c r="B1991" t="s">
        <v>49</v>
      </c>
      <c r="C1991">
        <v>1</v>
      </c>
      <c r="D1991" t="s">
        <v>294</v>
      </c>
      <c r="E1991" t="s">
        <v>205</v>
      </c>
      <c r="F1991">
        <v>3.1</v>
      </c>
      <c r="G1991">
        <v>2025</v>
      </c>
    </row>
    <row r="1992" spans="1:7" hidden="1" x14ac:dyDescent="0.2">
      <c r="A1992" t="s">
        <v>31</v>
      </c>
      <c r="B1992" t="s">
        <v>33</v>
      </c>
      <c r="C1992">
        <v>1</v>
      </c>
      <c r="D1992" t="s">
        <v>125</v>
      </c>
      <c r="E1992" t="s">
        <v>203</v>
      </c>
      <c r="F1992">
        <v>15.92</v>
      </c>
      <c r="G1992">
        <v>2025</v>
      </c>
    </row>
    <row r="1993" spans="1:7" hidden="1" x14ac:dyDescent="0.2">
      <c r="A1993" t="s">
        <v>31</v>
      </c>
      <c r="B1993" t="s">
        <v>33</v>
      </c>
      <c r="C1993">
        <v>1</v>
      </c>
      <c r="D1993" t="s">
        <v>128</v>
      </c>
      <c r="E1993" t="s">
        <v>152</v>
      </c>
      <c r="F1993">
        <v>7.6</v>
      </c>
      <c r="G1993">
        <v>2025</v>
      </c>
    </row>
    <row r="1994" spans="1:7" hidden="1" x14ac:dyDescent="0.2">
      <c r="A1994" t="s">
        <v>31</v>
      </c>
      <c r="B1994" t="s">
        <v>33</v>
      </c>
      <c r="C1994">
        <v>1</v>
      </c>
      <c r="D1994" t="s">
        <v>128</v>
      </c>
      <c r="E1994" t="s">
        <v>243</v>
      </c>
      <c r="F1994">
        <v>4.7</v>
      </c>
      <c r="G1994">
        <v>2025</v>
      </c>
    </row>
    <row r="1995" spans="1:7" hidden="1" x14ac:dyDescent="0.2">
      <c r="A1995" t="s">
        <v>31</v>
      </c>
      <c r="B1995" t="s">
        <v>33</v>
      </c>
      <c r="C1995">
        <v>1</v>
      </c>
      <c r="D1995" t="s">
        <v>128</v>
      </c>
      <c r="E1995" t="s">
        <v>292</v>
      </c>
      <c r="F1995">
        <v>2.6</v>
      </c>
      <c r="G1995">
        <v>2025</v>
      </c>
    </row>
    <row r="1996" spans="1:7" hidden="1" x14ac:dyDescent="0.2">
      <c r="A1996" t="s">
        <v>31</v>
      </c>
      <c r="B1996" t="s">
        <v>33</v>
      </c>
      <c r="C1996">
        <v>1</v>
      </c>
      <c r="D1996" t="s">
        <v>127</v>
      </c>
      <c r="E1996" t="s">
        <v>174</v>
      </c>
      <c r="F1996">
        <v>21.4</v>
      </c>
      <c r="G1996">
        <v>2025</v>
      </c>
    </row>
    <row r="1997" spans="1:7" hidden="1" x14ac:dyDescent="0.2">
      <c r="A1997" t="s">
        <v>31</v>
      </c>
      <c r="B1997" t="s">
        <v>33</v>
      </c>
      <c r="C1997">
        <v>1</v>
      </c>
      <c r="D1997" t="s">
        <v>127</v>
      </c>
      <c r="E1997" t="s">
        <v>216</v>
      </c>
      <c r="F1997">
        <v>16.399999999999999</v>
      </c>
      <c r="G1997">
        <v>2025</v>
      </c>
    </row>
    <row r="1998" spans="1:7" hidden="1" x14ac:dyDescent="0.2">
      <c r="A1998" t="s">
        <v>31</v>
      </c>
      <c r="B1998" t="s">
        <v>33</v>
      </c>
      <c r="C1998">
        <v>1</v>
      </c>
      <c r="D1998" t="s">
        <v>129</v>
      </c>
      <c r="E1998" t="s">
        <v>249</v>
      </c>
      <c r="F1998">
        <v>11.7</v>
      </c>
      <c r="G1998">
        <v>2025</v>
      </c>
    </row>
    <row r="1999" spans="1:7" hidden="1" x14ac:dyDescent="0.2">
      <c r="A1999" t="s">
        <v>31</v>
      </c>
      <c r="B1999" t="s">
        <v>33</v>
      </c>
      <c r="C1999">
        <v>1</v>
      </c>
      <c r="D1999" t="s">
        <v>131</v>
      </c>
      <c r="E1999" t="s">
        <v>195</v>
      </c>
      <c r="F1999">
        <v>14</v>
      </c>
      <c r="G1999">
        <v>2025</v>
      </c>
    </row>
    <row r="2000" spans="1:7" hidden="1" x14ac:dyDescent="0.2">
      <c r="A2000" t="s">
        <v>31</v>
      </c>
      <c r="B2000" t="s">
        <v>33</v>
      </c>
      <c r="C2000">
        <v>1</v>
      </c>
      <c r="D2000" t="s">
        <v>130</v>
      </c>
      <c r="E2000" t="s">
        <v>326</v>
      </c>
      <c r="F2000">
        <v>11</v>
      </c>
      <c r="G2000">
        <v>2025</v>
      </c>
    </row>
    <row r="2001" spans="1:7" hidden="1" x14ac:dyDescent="0.2">
      <c r="A2001" t="s">
        <v>31</v>
      </c>
      <c r="B2001" t="s">
        <v>33</v>
      </c>
      <c r="C2001">
        <v>1</v>
      </c>
      <c r="D2001" t="s">
        <v>293</v>
      </c>
      <c r="E2001" t="s">
        <v>259</v>
      </c>
      <c r="F2001">
        <v>13.8</v>
      </c>
      <c r="G2001">
        <v>2025</v>
      </c>
    </row>
    <row r="2002" spans="1:7" hidden="1" x14ac:dyDescent="0.2">
      <c r="A2002" t="s">
        <v>14</v>
      </c>
      <c r="B2002" t="s">
        <v>16</v>
      </c>
      <c r="C2002">
        <v>2</v>
      </c>
      <c r="D2002" t="s">
        <v>125</v>
      </c>
      <c r="E2002" t="s">
        <v>202</v>
      </c>
      <c r="F2002">
        <v>26.3</v>
      </c>
      <c r="G2002">
        <v>2025</v>
      </c>
    </row>
    <row r="2003" spans="1:7" hidden="1" x14ac:dyDescent="0.2">
      <c r="A2003" t="s">
        <v>14</v>
      </c>
      <c r="B2003" t="s">
        <v>16</v>
      </c>
      <c r="C2003">
        <v>2</v>
      </c>
      <c r="D2003" t="s">
        <v>128</v>
      </c>
      <c r="E2003" t="s">
        <v>295</v>
      </c>
      <c r="F2003">
        <v>7.3</v>
      </c>
      <c r="G2003">
        <v>2025</v>
      </c>
    </row>
    <row r="2004" spans="1:7" hidden="1" x14ac:dyDescent="0.2">
      <c r="A2004" t="s">
        <v>14</v>
      </c>
      <c r="B2004" t="s">
        <v>16</v>
      </c>
      <c r="C2004">
        <v>2</v>
      </c>
      <c r="D2004" t="s">
        <v>128</v>
      </c>
      <c r="E2004" t="s">
        <v>363</v>
      </c>
      <c r="F2004">
        <v>7.2</v>
      </c>
      <c r="G2004">
        <v>2025</v>
      </c>
    </row>
    <row r="2005" spans="1:7" hidden="1" x14ac:dyDescent="0.2">
      <c r="A2005" t="s">
        <v>14</v>
      </c>
      <c r="B2005" t="s">
        <v>16</v>
      </c>
      <c r="C2005">
        <v>2</v>
      </c>
      <c r="D2005" t="s">
        <v>128</v>
      </c>
      <c r="E2005" t="s">
        <v>283</v>
      </c>
      <c r="F2005">
        <v>7.1</v>
      </c>
      <c r="G2005">
        <v>2025</v>
      </c>
    </row>
    <row r="2006" spans="1:7" hidden="1" x14ac:dyDescent="0.2">
      <c r="A2006" t="s">
        <v>14</v>
      </c>
      <c r="B2006" t="s">
        <v>16</v>
      </c>
      <c r="C2006">
        <v>2</v>
      </c>
      <c r="D2006" t="s">
        <v>127</v>
      </c>
      <c r="E2006" t="s">
        <v>306</v>
      </c>
      <c r="F2006">
        <v>16.2</v>
      </c>
      <c r="G2006">
        <v>2025</v>
      </c>
    </row>
    <row r="2007" spans="1:7" hidden="1" x14ac:dyDescent="0.2">
      <c r="A2007" t="s">
        <v>14</v>
      </c>
      <c r="B2007" t="s">
        <v>16</v>
      </c>
      <c r="C2007">
        <v>2</v>
      </c>
      <c r="D2007" t="s">
        <v>127</v>
      </c>
      <c r="E2007" t="s">
        <v>189</v>
      </c>
      <c r="F2007">
        <v>15.9</v>
      </c>
      <c r="G2007">
        <v>2025</v>
      </c>
    </row>
    <row r="2008" spans="1:7" hidden="1" x14ac:dyDescent="0.2">
      <c r="A2008" t="s">
        <v>14</v>
      </c>
      <c r="B2008" t="s">
        <v>16</v>
      </c>
      <c r="C2008">
        <v>2</v>
      </c>
      <c r="D2008" t="s">
        <v>129</v>
      </c>
      <c r="E2008" t="s">
        <v>535</v>
      </c>
      <c r="F2008">
        <v>3.2</v>
      </c>
      <c r="G2008">
        <v>2025</v>
      </c>
    </row>
    <row r="2009" spans="1:7" hidden="1" x14ac:dyDescent="0.2">
      <c r="A2009" t="s">
        <v>14</v>
      </c>
      <c r="B2009" t="s">
        <v>16</v>
      </c>
      <c r="C2009">
        <v>2</v>
      </c>
      <c r="D2009" t="s">
        <v>131</v>
      </c>
      <c r="E2009" t="s">
        <v>210</v>
      </c>
      <c r="F2009">
        <v>22</v>
      </c>
      <c r="G2009">
        <v>2025</v>
      </c>
    </row>
    <row r="2010" spans="1:7" hidden="1" x14ac:dyDescent="0.2">
      <c r="A2010" t="s">
        <v>14</v>
      </c>
      <c r="B2010" t="s">
        <v>16</v>
      </c>
      <c r="C2010">
        <v>2</v>
      </c>
      <c r="D2010" t="s">
        <v>130</v>
      </c>
      <c r="E2010" t="s">
        <v>184</v>
      </c>
      <c r="F2010">
        <v>4</v>
      </c>
      <c r="G2010">
        <v>2025</v>
      </c>
    </row>
    <row r="2011" spans="1:7" hidden="1" x14ac:dyDescent="0.2">
      <c r="A2011" t="s">
        <v>14</v>
      </c>
      <c r="B2011" t="s">
        <v>16</v>
      </c>
      <c r="C2011">
        <v>2</v>
      </c>
      <c r="D2011" t="s">
        <v>293</v>
      </c>
      <c r="E2011" t="s">
        <v>314</v>
      </c>
      <c r="F2011">
        <v>7.5</v>
      </c>
      <c r="G2011">
        <v>2025</v>
      </c>
    </row>
    <row r="2012" spans="1:7" hidden="1" x14ac:dyDescent="0.2">
      <c r="A2012" t="s">
        <v>18</v>
      </c>
      <c r="B2012" t="s">
        <v>20</v>
      </c>
      <c r="C2012">
        <v>2</v>
      </c>
      <c r="D2012" t="s">
        <v>125</v>
      </c>
      <c r="E2012" t="s">
        <v>311</v>
      </c>
      <c r="F2012">
        <v>3.98</v>
      </c>
      <c r="G2012">
        <v>2025</v>
      </c>
    </row>
    <row r="2013" spans="1:7" hidden="1" x14ac:dyDescent="0.2">
      <c r="A2013" t="s">
        <v>18</v>
      </c>
      <c r="B2013" t="s">
        <v>20</v>
      </c>
      <c r="C2013">
        <v>2</v>
      </c>
      <c r="D2013" t="s">
        <v>128</v>
      </c>
      <c r="E2013" t="s">
        <v>276</v>
      </c>
      <c r="F2013">
        <v>13.1</v>
      </c>
      <c r="G2013">
        <v>2025</v>
      </c>
    </row>
    <row r="2014" spans="1:7" hidden="1" x14ac:dyDescent="0.2">
      <c r="A2014" t="s">
        <v>18</v>
      </c>
      <c r="B2014" t="s">
        <v>20</v>
      </c>
      <c r="C2014">
        <v>2</v>
      </c>
      <c r="D2014" t="s">
        <v>128</v>
      </c>
      <c r="E2014" t="s">
        <v>248</v>
      </c>
      <c r="F2014">
        <v>14.3</v>
      </c>
      <c r="G2014">
        <v>2025</v>
      </c>
    </row>
    <row r="2015" spans="1:7" hidden="1" x14ac:dyDescent="0.2">
      <c r="A2015" t="s">
        <v>18</v>
      </c>
      <c r="B2015" t="s">
        <v>20</v>
      </c>
      <c r="C2015">
        <v>2</v>
      </c>
      <c r="D2015" t="s">
        <v>128</v>
      </c>
      <c r="E2015" t="s">
        <v>134</v>
      </c>
      <c r="F2015">
        <v>11.4</v>
      </c>
      <c r="G2015">
        <v>2025</v>
      </c>
    </row>
    <row r="2016" spans="1:7" hidden="1" x14ac:dyDescent="0.2">
      <c r="A2016" t="s">
        <v>18</v>
      </c>
      <c r="B2016" t="s">
        <v>20</v>
      </c>
      <c r="C2016">
        <v>2</v>
      </c>
      <c r="D2016" t="s">
        <v>127</v>
      </c>
      <c r="E2016" t="s">
        <v>208</v>
      </c>
      <c r="F2016">
        <v>26</v>
      </c>
      <c r="G2016">
        <v>2025</v>
      </c>
    </row>
    <row r="2017" spans="1:7" hidden="1" x14ac:dyDescent="0.2">
      <c r="A2017" t="s">
        <v>18</v>
      </c>
      <c r="B2017" t="s">
        <v>20</v>
      </c>
      <c r="C2017">
        <v>2</v>
      </c>
      <c r="D2017" t="s">
        <v>127</v>
      </c>
      <c r="E2017" t="s">
        <v>154</v>
      </c>
      <c r="F2017">
        <v>2.2999999999999998</v>
      </c>
      <c r="G2017">
        <v>2025</v>
      </c>
    </row>
    <row r="2018" spans="1:7" hidden="1" x14ac:dyDescent="0.2">
      <c r="A2018" t="s">
        <v>18</v>
      </c>
      <c r="B2018" t="s">
        <v>20</v>
      </c>
      <c r="C2018">
        <v>2</v>
      </c>
      <c r="D2018" t="s">
        <v>129</v>
      </c>
      <c r="E2018" t="s">
        <v>327</v>
      </c>
      <c r="F2018">
        <v>21.4</v>
      </c>
      <c r="G2018">
        <v>2025</v>
      </c>
    </row>
    <row r="2019" spans="1:7" hidden="1" x14ac:dyDescent="0.2">
      <c r="A2019" t="s">
        <v>18</v>
      </c>
      <c r="B2019" t="s">
        <v>20</v>
      </c>
      <c r="C2019">
        <v>2</v>
      </c>
      <c r="D2019" t="s">
        <v>131</v>
      </c>
      <c r="E2019" t="s">
        <v>350</v>
      </c>
      <c r="F2019">
        <v>7</v>
      </c>
      <c r="G2019">
        <v>2025</v>
      </c>
    </row>
    <row r="2020" spans="1:7" hidden="1" x14ac:dyDescent="0.2">
      <c r="A2020" t="s">
        <v>18</v>
      </c>
      <c r="B2020" t="s">
        <v>20</v>
      </c>
      <c r="C2020">
        <v>2</v>
      </c>
      <c r="D2020" t="s">
        <v>130</v>
      </c>
      <c r="E2020" t="s">
        <v>260</v>
      </c>
      <c r="F2020">
        <v>14</v>
      </c>
      <c r="G2020">
        <v>2025</v>
      </c>
    </row>
    <row r="2021" spans="1:7" hidden="1" x14ac:dyDescent="0.2">
      <c r="A2021" t="s">
        <v>18</v>
      </c>
      <c r="B2021" t="s">
        <v>20</v>
      </c>
      <c r="C2021">
        <v>2</v>
      </c>
      <c r="D2021" t="s">
        <v>294</v>
      </c>
      <c r="E2021" t="s">
        <v>303</v>
      </c>
      <c r="F2021">
        <v>9.8000000000000007</v>
      </c>
      <c r="G2021">
        <v>2025</v>
      </c>
    </row>
    <row r="2022" spans="1:7" hidden="1" x14ac:dyDescent="0.2">
      <c r="A2022" t="s">
        <v>42</v>
      </c>
      <c r="B2022" t="s">
        <v>17</v>
      </c>
      <c r="C2022">
        <v>2</v>
      </c>
      <c r="D2022" t="s">
        <v>125</v>
      </c>
      <c r="E2022" t="s">
        <v>141</v>
      </c>
      <c r="F2022">
        <v>22.14</v>
      </c>
      <c r="G2022">
        <v>2025</v>
      </c>
    </row>
    <row r="2023" spans="1:7" hidden="1" x14ac:dyDescent="0.2">
      <c r="A2023" t="s">
        <v>42</v>
      </c>
      <c r="B2023" t="s">
        <v>17</v>
      </c>
      <c r="C2023">
        <v>2</v>
      </c>
      <c r="D2023" t="s">
        <v>128</v>
      </c>
      <c r="E2023" t="s">
        <v>146</v>
      </c>
      <c r="F2023">
        <v>13.9</v>
      </c>
      <c r="G2023">
        <v>2025</v>
      </c>
    </row>
    <row r="2024" spans="1:7" hidden="1" x14ac:dyDescent="0.2">
      <c r="A2024" t="s">
        <v>42</v>
      </c>
      <c r="B2024" t="s">
        <v>17</v>
      </c>
      <c r="C2024">
        <v>2</v>
      </c>
      <c r="D2024" t="s">
        <v>128</v>
      </c>
      <c r="E2024" t="s">
        <v>522</v>
      </c>
      <c r="F2024">
        <v>13</v>
      </c>
      <c r="G2024">
        <v>2025</v>
      </c>
    </row>
    <row r="2025" spans="1:7" hidden="1" x14ac:dyDescent="0.2">
      <c r="A2025" t="s">
        <v>42</v>
      </c>
      <c r="B2025" t="s">
        <v>17</v>
      </c>
      <c r="C2025">
        <v>2</v>
      </c>
      <c r="D2025" t="s">
        <v>128</v>
      </c>
      <c r="E2025" t="s">
        <v>232</v>
      </c>
      <c r="F2025">
        <v>12.7</v>
      </c>
      <c r="G2025">
        <v>2025</v>
      </c>
    </row>
    <row r="2026" spans="1:7" hidden="1" x14ac:dyDescent="0.2">
      <c r="A2026" t="s">
        <v>42</v>
      </c>
      <c r="B2026" t="s">
        <v>17</v>
      </c>
      <c r="C2026">
        <v>2</v>
      </c>
      <c r="D2026" t="s">
        <v>127</v>
      </c>
      <c r="E2026" t="s">
        <v>180</v>
      </c>
      <c r="F2026">
        <v>14.4</v>
      </c>
      <c r="G2026">
        <v>2025</v>
      </c>
    </row>
    <row r="2027" spans="1:7" hidden="1" x14ac:dyDescent="0.2">
      <c r="A2027" t="s">
        <v>42</v>
      </c>
      <c r="B2027" t="s">
        <v>17</v>
      </c>
      <c r="C2027">
        <v>2</v>
      </c>
      <c r="D2027" t="s">
        <v>127</v>
      </c>
      <c r="E2027" t="s">
        <v>197</v>
      </c>
      <c r="F2027">
        <v>13</v>
      </c>
      <c r="G2027">
        <v>2025</v>
      </c>
    </row>
    <row r="2028" spans="1:7" hidden="1" x14ac:dyDescent="0.2">
      <c r="A2028" t="s">
        <v>42</v>
      </c>
      <c r="B2028" t="s">
        <v>17</v>
      </c>
      <c r="C2028">
        <v>2</v>
      </c>
      <c r="D2028" t="s">
        <v>129</v>
      </c>
      <c r="E2028" t="s">
        <v>536</v>
      </c>
      <c r="F2028">
        <v>13.4</v>
      </c>
      <c r="G2028">
        <v>2025</v>
      </c>
    </row>
    <row r="2029" spans="1:7" hidden="1" x14ac:dyDescent="0.2">
      <c r="A2029" t="s">
        <v>42</v>
      </c>
      <c r="B2029" t="s">
        <v>17</v>
      </c>
      <c r="C2029">
        <v>2</v>
      </c>
      <c r="D2029" t="s">
        <v>131</v>
      </c>
      <c r="E2029" t="s">
        <v>523</v>
      </c>
      <c r="F2029">
        <v>12</v>
      </c>
      <c r="G2029">
        <v>2025</v>
      </c>
    </row>
    <row r="2030" spans="1:7" hidden="1" x14ac:dyDescent="0.2">
      <c r="A2030" t="s">
        <v>42</v>
      </c>
      <c r="B2030" t="s">
        <v>17</v>
      </c>
      <c r="C2030">
        <v>2</v>
      </c>
      <c r="D2030" t="s">
        <v>130</v>
      </c>
      <c r="E2030" t="s">
        <v>354</v>
      </c>
      <c r="F2030">
        <v>6</v>
      </c>
      <c r="G2030">
        <v>2025</v>
      </c>
    </row>
    <row r="2031" spans="1:7" hidden="1" x14ac:dyDescent="0.2">
      <c r="A2031" t="s">
        <v>42</v>
      </c>
      <c r="B2031" t="s">
        <v>17</v>
      </c>
      <c r="C2031">
        <v>2</v>
      </c>
      <c r="D2031" t="s">
        <v>294</v>
      </c>
      <c r="E2031" t="s">
        <v>277</v>
      </c>
      <c r="F2031">
        <v>6.9</v>
      </c>
      <c r="G2031">
        <v>2025</v>
      </c>
    </row>
    <row r="2032" spans="1:7" hidden="1" x14ac:dyDescent="0.2">
      <c r="A2032" t="s">
        <v>31</v>
      </c>
      <c r="B2032" t="s">
        <v>33</v>
      </c>
      <c r="C2032">
        <v>2</v>
      </c>
      <c r="D2032" t="s">
        <v>125</v>
      </c>
      <c r="E2032" t="s">
        <v>203</v>
      </c>
      <c r="F2032">
        <v>20.88</v>
      </c>
      <c r="G2032">
        <v>2025</v>
      </c>
    </row>
    <row r="2033" spans="1:7" hidden="1" x14ac:dyDescent="0.2">
      <c r="A2033" t="s">
        <v>31</v>
      </c>
      <c r="B2033" t="s">
        <v>33</v>
      </c>
      <c r="C2033">
        <v>2</v>
      </c>
      <c r="D2033" t="s">
        <v>128</v>
      </c>
      <c r="E2033" t="s">
        <v>152</v>
      </c>
      <c r="F2033">
        <v>8.1</v>
      </c>
      <c r="G2033">
        <v>2025</v>
      </c>
    </row>
    <row r="2034" spans="1:7" hidden="1" x14ac:dyDescent="0.2">
      <c r="A2034" t="s">
        <v>31</v>
      </c>
      <c r="B2034" t="s">
        <v>33</v>
      </c>
      <c r="C2034">
        <v>2</v>
      </c>
      <c r="D2034" t="s">
        <v>128</v>
      </c>
      <c r="E2034" t="s">
        <v>243</v>
      </c>
      <c r="F2034">
        <v>7.2</v>
      </c>
      <c r="G2034">
        <v>2025</v>
      </c>
    </row>
    <row r="2035" spans="1:7" hidden="1" x14ac:dyDescent="0.2">
      <c r="A2035" t="s">
        <v>31</v>
      </c>
      <c r="B2035" t="s">
        <v>33</v>
      </c>
      <c r="C2035">
        <v>2</v>
      </c>
      <c r="D2035" t="s">
        <v>128</v>
      </c>
      <c r="E2035" t="s">
        <v>537</v>
      </c>
      <c r="F2035">
        <v>5.5</v>
      </c>
      <c r="G2035">
        <v>2025</v>
      </c>
    </row>
    <row r="2036" spans="1:7" hidden="1" x14ac:dyDescent="0.2">
      <c r="A2036" t="s">
        <v>31</v>
      </c>
      <c r="B2036" t="s">
        <v>33</v>
      </c>
      <c r="C2036">
        <v>2</v>
      </c>
      <c r="D2036" t="s">
        <v>127</v>
      </c>
      <c r="E2036" t="s">
        <v>174</v>
      </c>
      <c r="F2036">
        <v>18.3</v>
      </c>
      <c r="G2036">
        <v>2025</v>
      </c>
    </row>
    <row r="2037" spans="1:7" hidden="1" x14ac:dyDescent="0.2">
      <c r="A2037" t="s">
        <v>31</v>
      </c>
      <c r="B2037" t="s">
        <v>33</v>
      </c>
      <c r="C2037">
        <v>2</v>
      </c>
      <c r="D2037" t="s">
        <v>127</v>
      </c>
      <c r="E2037" t="s">
        <v>216</v>
      </c>
      <c r="F2037">
        <v>16.399999999999999</v>
      </c>
      <c r="G2037">
        <v>2025</v>
      </c>
    </row>
    <row r="2038" spans="1:7" hidden="1" x14ac:dyDescent="0.2">
      <c r="A2038" t="s">
        <v>31</v>
      </c>
      <c r="B2038" t="s">
        <v>33</v>
      </c>
      <c r="C2038">
        <v>2</v>
      </c>
      <c r="D2038" t="s">
        <v>129</v>
      </c>
      <c r="E2038" t="s">
        <v>249</v>
      </c>
      <c r="F2038">
        <v>8.1</v>
      </c>
      <c r="G2038">
        <v>2025</v>
      </c>
    </row>
    <row r="2039" spans="1:7" hidden="1" x14ac:dyDescent="0.2">
      <c r="A2039" t="s">
        <v>31</v>
      </c>
      <c r="B2039" t="s">
        <v>33</v>
      </c>
      <c r="C2039">
        <v>2</v>
      </c>
      <c r="D2039" t="s">
        <v>131</v>
      </c>
      <c r="E2039" t="s">
        <v>195</v>
      </c>
      <c r="F2039">
        <v>9</v>
      </c>
      <c r="G2039">
        <v>2025</v>
      </c>
    </row>
    <row r="2040" spans="1:7" hidden="1" x14ac:dyDescent="0.2">
      <c r="A2040" t="s">
        <v>31</v>
      </c>
      <c r="B2040" t="s">
        <v>33</v>
      </c>
      <c r="C2040">
        <v>2</v>
      </c>
      <c r="D2040" t="s">
        <v>130</v>
      </c>
      <c r="E2040" t="s">
        <v>326</v>
      </c>
      <c r="F2040">
        <v>6</v>
      </c>
      <c r="G2040">
        <v>2025</v>
      </c>
    </row>
    <row r="2041" spans="1:7" hidden="1" x14ac:dyDescent="0.2">
      <c r="A2041" t="s">
        <v>31</v>
      </c>
      <c r="B2041" t="s">
        <v>33</v>
      </c>
      <c r="C2041">
        <v>2</v>
      </c>
      <c r="D2041" t="s">
        <v>293</v>
      </c>
      <c r="E2041" t="s">
        <v>259</v>
      </c>
      <c r="F2041">
        <v>15</v>
      </c>
      <c r="G2041">
        <v>2025</v>
      </c>
    </row>
    <row r="2042" spans="1:7" hidden="1" x14ac:dyDescent="0.2">
      <c r="A2042" t="s">
        <v>524</v>
      </c>
      <c r="B2042" t="s">
        <v>21</v>
      </c>
      <c r="C2042">
        <v>2</v>
      </c>
      <c r="D2042" t="s">
        <v>125</v>
      </c>
      <c r="E2042" t="s">
        <v>212</v>
      </c>
      <c r="F2042">
        <v>11.82</v>
      </c>
      <c r="G2042">
        <v>2025</v>
      </c>
    </row>
    <row r="2043" spans="1:7" hidden="1" x14ac:dyDescent="0.2">
      <c r="A2043" t="s">
        <v>524</v>
      </c>
      <c r="B2043" t="s">
        <v>21</v>
      </c>
      <c r="C2043">
        <v>2</v>
      </c>
      <c r="D2043" t="s">
        <v>128</v>
      </c>
      <c r="E2043" t="s">
        <v>222</v>
      </c>
      <c r="F2043">
        <v>17.8</v>
      </c>
      <c r="G2043">
        <v>2025</v>
      </c>
    </row>
    <row r="2044" spans="1:7" hidden="1" x14ac:dyDescent="0.2">
      <c r="A2044" t="s">
        <v>524</v>
      </c>
      <c r="B2044" t="s">
        <v>21</v>
      </c>
      <c r="C2044">
        <v>2</v>
      </c>
      <c r="D2044" t="s">
        <v>128</v>
      </c>
      <c r="E2044" t="s">
        <v>527</v>
      </c>
      <c r="F2044">
        <v>10.9</v>
      </c>
      <c r="G2044">
        <v>2025</v>
      </c>
    </row>
    <row r="2045" spans="1:7" hidden="1" x14ac:dyDescent="0.2">
      <c r="A2045" t="s">
        <v>524</v>
      </c>
      <c r="B2045" t="s">
        <v>21</v>
      </c>
      <c r="C2045">
        <v>2</v>
      </c>
      <c r="D2045" t="s">
        <v>128</v>
      </c>
      <c r="E2045" t="s">
        <v>219</v>
      </c>
      <c r="F2045">
        <v>9.5</v>
      </c>
      <c r="G2045">
        <v>2025</v>
      </c>
    </row>
    <row r="2046" spans="1:7" hidden="1" x14ac:dyDescent="0.2">
      <c r="A2046" t="s">
        <v>524</v>
      </c>
      <c r="B2046" t="s">
        <v>21</v>
      </c>
      <c r="C2046">
        <v>2</v>
      </c>
      <c r="D2046" t="s">
        <v>127</v>
      </c>
      <c r="E2046" t="s">
        <v>528</v>
      </c>
      <c r="F2046">
        <v>5</v>
      </c>
      <c r="G2046">
        <v>2025</v>
      </c>
    </row>
    <row r="2047" spans="1:7" hidden="1" x14ac:dyDescent="0.2">
      <c r="A2047" t="s">
        <v>524</v>
      </c>
      <c r="B2047" t="s">
        <v>21</v>
      </c>
      <c r="C2047">
        <v>2</v>
      </c>
      <c r="D2047" t="s">
        <v>127</v>
      </c>
      <c r="E2047" t="s">
        <v>529</v>
      </c>
      <c r="F2047">
        <v>3</v>
      </c>
      <c r="G2047">
        <v>2025</v>
      </c>
    </row>
    <row r="2048" spans="1:7" hidden="1" x14ac:dyDescent="0.2">
      <c r="A2048" t="s">
        <v>524</v>
      </c>
      <c r="B2048" t="s">
        <v>21</v>
      </c>
      <c r="C2048">
        <v>2</v>
      </c>
      <c r="D2048" t="s">
        <v>129</v>
      </c>
      <c r="E2048" t="s">
        <v>530</v>
      </c>
      <c r="F2048">
        <v>9.9</v>
      </c>
      <c r="G2048">
        <v>2025</v>
      </c>
    </row>
    <row r="2049" spans="1:7" hidden="1" x14ac:dyDescent="0.2">
      <c r="A2049" t="s">
        <v>524</v>
      </c>
      <c r="B2049" t="s">
        <v>21</v>
      </c>
      <c r="C2049">
        <v>2</v>
      </c>
      <c r="D2049" t="s">
        <v>131</v>
      </c>
      <c r="E2049" t="s">
        <v>214</v>
      </c>
      <c r="F2049">
        <v>7</v>
      </c>
      <c r="G2049">
        <v>2025</v>
      </c>
    </row>
    <row r="2050" spans="1:7" hidden="1" x14ac:dyDescent="0.2">
      <c r="A2050" t="s">
        <v>524</v>
      </c>
      <c r="B2050" t="s">
        <v>21</v>
      </c>
      <c r="C2050">
        <v>2</v>
      </c>
      <c r="D2050" t="s">
        <v>130</v>
      </c>
      <c r="E2050" t="s">
        <v>323</v>
      </c>
      <c r="F2050">
        <v>-4</v>
      </c>
      <c r="G2050">
        <v>2025</v>
      </c>
    </row>
    <row r="2051" spans="1:7" hidden="1" x14ac:dyDescent="0.2">
      <c r="A2051" t="s">
        <v>524</v>
      </c>
      <c r="B2051" t="s">
        <v>21</v>
      </c>
      <c r="C2051">
        <v>2</v>
      </c>
      <c r="D2051" t="s">
        <v>294</v>
      </c>
      <c r="E2051" t="s">
        <v>145</v>
      </c>
      <c r="F2051">
        <v>5.2</v>
      </c>
      <c r="G2051">
        <v>2025</v>
      </c>
    </row>
    <row r="2052" spans="1:7" hidden="1" x14ac:dyDescent="0.2">
      <c r="A2052" t="s">
        <v>525</v>
      </c>
      <c r="B2052" t="s">
        <v>36</v>
      </c>
      <c r="C2052">
        <v>2</v>
      </c>
      <c r="D2052" t="s">
        <v>125</v>
      </c>
      <c r="E2052" t="s">
        <v>250</v>
      </c>
      <c r="F2052">
        <v>19.7</v>
      </c>
      <c r="G2052">
        <v>2025</v>
      </c>
    </row>
    <row r="2053" spans="1:7" hidden="1" x14ac:dyDescent="0.2">
      <c r="A2053" t="s">
        <v>525</v>
      </c>
      <c r="B2053" t="s">
        <v>36</v>
      </c>
      <c r="C2053">
        <v>2</v>
      </c>
      <c r="D2053" t="s">
        <v>128</v>
      </c>
      <c r="E2053" t="s">
        <v>177</v>
      </c>
      <c r="F2053">
        <v>15.7</v>
      </c>
      <c r="G2053">
        <v>2025</v>
      </c>
    </row>
    <row r="2054" spans="1:7" hidden="1" x14ac:dyDescent="0.2">
      <c r="A2054" t="s">
        <v>525</v>
      </c>
      <c r="B2054" t="s">
        <v>36</v>
      </c>
      <c r="C2054">
        <v>2</v>
      </c>
      <c r="D2054" t="s">
        <v>128</v>
      </c>
      <c r="E2054" t="s">
        <v>298</v>
      </c>
      <c r="F2054">
        <v>14.4</v>
      </c>
      <c r="G2054">
        <v>2025</v>
      </c>
    </row>
    <row r="2055" spans="1:7" hidden="1" x14ac:dyDescent="0.2">
      <c r="A2055" t="s">
        <v>525</v>
      </c>
      <c r="B2055" t="s">
        <v>36</v>
      </c>
      <c r="C2055">
        <v>2</v>
      </c>
      <c r="D2055" t="s">
        <v>128</v>
      </c>
      <c r="E2055" t="s">
        <v>204</v>
      </c>
      <c r="F2055">
        <v>12.5</v>
      </c>
      <c r="G2055">
        <v>2025</v>
      </c>
    </row>
    <row r="2056" spans="1:7" hidden="1" x14ac:dyDescent="0.2">
      <c r="A2056" t="s">
        <v>525</v>
      </c>
      <c r="B2056" t="s">
        <v>36</v>
      </c>
      <c r="C2056">
        <v>2</v>
      </c>
      <c r="D2056" t="s">
        <v>127</v>
      </c>
      <c r="E2056" t="s">
        <v>207</v>
      </c>
      <c r="F2056">
        <v>17.899999999999999</v>
      </c>
      <c r="G2056">
        <v>2025</v>
      </c>
    </row>
    <row r="2057" spans="1:7" hidden="1" x14ac:dyDescent="0.2">
      <c r="A2057" t="s">
        <v>525</v>
      </c>
      <c r="B2057" t="s">
        <v>36</v>
      </c>
      <c r="C2057">
        <v>2</v>
      </c>
      <c r="D2057" t="s">
        <v>127</v>
      </c>
      <c r="E2057" t="s">
        <v>235</v>
      </c>
      <c r="F2057">
        <v>2.2999999999999998</v>
      </c>
      <c r="G2057">
        <v>2025</v>
      </c>
    </row>
    <row r="2058" spans="1:7" hidden="1" x14ac:dyDescent="0.2">
      <c r="A2058" t="s">
        <v>525</v>
      </c>
      <c r="B2058" t="s">
        <v>36</v>
      </c>
      <c r="C2058">
        <v>2</v>
      </c>
      <c r="D2058" t="s">
        <v>129</v>
      </c>
      <c r="E2058" t="s">
        <v>156</v>
      </c>
      <c r="F2058">
        <v>4.0999999999999996</v>
      </c>
      <c r="G2058">
        <v>2025</v>
      </c>
    </row>
    <row r="2059" spans="1:7" hidden="1" x14ac:dyDescent="0.2">
      <c r="A2059" t="s">
        <v>525</v>
      </c>
      <c r="B2059" t="s">
        <v>36</v>
      </c>
      <c r="C2059">
        <v>2</v>
      </c>
      <c r="D2059" t="s">
        <v>131</v>
      </c>
      <c r="E2059" t="s">
        <v>183</v>
      </c>
      <c r="F2059">
        <v>12</v>
      </c>
      <c r="G2059">
        <v>2025</v>
      </c>
    </row>
    <row r="2060" spans="1:7" hidden="1" x14ac:dyDescent="0.2">
      <c r="A2060" t="s">
        <v>525</v>
      </c>
      <c r="B2060" t="s">
        <v>36</v>
      </c>
      <c r="C2060">
        <v>2</v>
      </c>
      <c r="D2060" t="s">
        <v>130</v>
      </c>
      <c r="E2060" t="s">
        <v>142</v>
      </c>
      <c r="F2060">
        <v>15</v>
      </c>
      <c r="G2060">
        <v>2025</v>
      </c>
    </row>
    <row r="2061" spans="1:7" hidden="1" x14ac:dyDescent="0.2">
      <c r="A2061" t="s">
        <v>525</v>
      </c>
      <c r="B2061" t="s">
        <v>36</v>
      </c>
      <c r="C2061">
        <v>2</v>
      </c>
      <c r="D2061" t="s">
        <v>294</v>
      </c>
      <c r="E2061" t="s">
        <v>161</v>
      </c>
      <c r="F2061">
        <v>8.4</v>
      </c>
      <c r="G2061">
        <v>2025</v>
      </c>
    </row>
    <row r="2062" spans="1:7" hidden="1" x14ac:dyDescent="0.2">
      <c r="A2062" t="s">
        <v>521</v>
      </c>
      <c r="B2062" t="s">
        <v>29</v>
      </c>
      <c r="C2062">
        <v>2</v>
      </c>
      <c r="D2062" t="s">
        <v>125</v>
      </c>
      <c r="E2062" t="s">
        <v>150</v>
      </c>
      <c r="F2062">
        <v>22.08</v>
      </c>
      <c r="G2062">
        <v>2025</v>
      </c>
    </row>
    <row r="2063" spans="1:7" hidden="1" x14ac:dyDescent="0.2">
      <c r="A2063" t="s">
        <v>521</v>
      </c>
      <c r="B2063" t="s">
        <v>29</v>
      </c>
      <c r="C2063">
        <v>2</v>
      </c>
      <c r="D2063" t="s">
        <v>128</v>
      </c>
      <c r="E2063" t="s">
        <v>171</v>
      </c>
      <c r="F2063">
        <v>9.6</v>
      </c>
      <c r="G2063">
        <v>2025</v>
      </c>
    </row>
    <row r="2064" spans="1:7" hidden="1" x14ac:dyDescent="0.2">
      <c r="A2064" t="s">
        <v>521</v>
      </c>
      <c r="B2064" t="s">
        <v>29</v>
      </c>
      <c r="C2064">
        <v>2</v>
      </c>
      <c r="D2064" t="s">
        <v>128</v>
      </c>
      <c r="E2064" t="s">
        <v>151</v>
      </c>
      <c r="F2064">
        <v>19.600000000000001</v>
      </c>
      <c r="G2064">
        <v>2025</v>
      </c>
    </row>
    <row r="2065" spans="1:7" hidden="1" x14ac:dyDescent="0.2">
      <c r="A2065" t="s">
        <v>521</v>
      </c>
      <c r="B2065" t="s">
        <v>29</v>
      </c>
      <c r="C2065">
        <v>2</v>
      </c>
      <c r="D2065" t="s">
        <v>128</v>
      </c>
      <c r="E2065" t="s">
        <v>280</v>
      </c>
      <c r="F2065">
        <v>28.3</v>
      </c>
      <c r="G2065">
        <v>2025</v>
      </c>
    </row>
    <row r="2066" spans="1:7" hidden="1" x14ac:dyDescent="0.2">
      <c r="A2066" t="s">
        <v>521</v>
      </c>
      <c r="B2066" t="s">
        <v>29</v>
      </c>
      <c r="C2066">
        <v>2</v>
      </c>
      <c r="D2066" t="s">
        <v>127</v>
      </c>
      <c r="E2066" t="s">
        <v>198</v>
      </c>
      <c r="F2066">
        <v>28.5</v>
      </c>
      <c r="G2066">
        <v>2025</v>
      </c>
    </row>
    <row r="2067" spans="1:7" hidden="1" x14ac:dyDescent="0.2">
      <c r="A2067" t="s">
        <v>521</v>
      </c>
      <c r="B2067" t="s">
        <v>29</v>
      </c>
      <c r="C2067">
        <v>2</v>
      </c>
      <c r="D2067" t="s">
        <v>127</v>
      </c>
      <c r="E2067" t="s">
        <v>348</v>
      </c>
      <c r="F2067">
        <v>7.1</v>
      </c>
      <c r="G2067">
        <v>2025</v>
      </c>
    </row>
    <row r="2068" spans="1:7" hidden="1" x14ac:dyDescent="0.2">
      <c r="A2068" t="s">
        <v>521</v>
      </c>
      <c r="B2068" t="s">
        <v>29</v>
      </c>
      <c r="C2068">
        <v>2</v>
      </c>
      <c r="D2068" t="s">
        <v>129</v>
      </c>
      <c r="E2068" t="s">
        <v>196</v>
      </c>
      <c r="F2068">
        <v>0.9</v>
      </c>
      <c r="G2068">
        <v>2025</v>
      </c>
    </row>
    <row r="2069" spans="1:7" hidden="1" x14ac:dyDescent="0.2">
      <c r="A2069" t="s">
        <v>521</v>
      </c>
      <c r="B2069" t="s">
        <v>29</v>
      </c>
      <c r="C2069">
        <v>2</v>
      </c>
      <c r="D2069" t="s">
        <v>131</v>
      </c>
      <c r="E2069" t="s">
        <v>374</v>
      </c>
      <c r="F2069">
        <v>10</v>
      </c>
      <c r="G2069">
        <v>2025</v>
      </c>
    </row>
    <row r="2070" spans="1:7" hidden="1" x14ac:dyDescent="0.2">
      <c r="A2070" t="s">
        <v>521</v>
      </c>
      <c r="B2070" t="s">
        <v>29</v>
      </c>
      <c r="C2070">
        <v>2</v>
      </c>
      <c r="D2070" t="s">
        <v>130</v>
      </c>
      <c r="E2070" t="s">
        <v>405</v>
      </c>
      <c r="F2070">
        <v>12</v>
      </c>
      <c r="G2070">
        <v>2025</v>
      </c>
    </row>
    <row r="2071" spans="1:7" hidden="1" x14ac:dyDescent="0.2">
      <c r="A2071" t="s">
        <v>521</v>
      </c>
      <c r="B2071" t="s">
        <v>29</v>
      </c>
      <c r="C2071">
        <v>2</v>
      </c>
      <c r="D2071" t="s">
        <v>294</v>
      </c>
      <c r="E2071" t="s">
        <v>162</v>
      </c>
      <c r="F2071">
        <v>3.7</v>
      </c>
      <c r="G2071">
        <v>2025</v>
      </c>
    </row>
    <row r="2072" spans="1:7" hidden="1" x14ac:dyDescent="0.2">
      <c r="A2072" t="s">
        <v>26</v>
      </c>
      <c r="B2072" t="s">
        <v>28</v>
      </c>
      <c r="C2072">
        <v>2</v>
      </c>
      <c r="D2072" t="s">
        <v>125</v>
      </c>
      <c r="E2072" t="s">
        <v>230</v>
      </c>
      <c r="F2072">
        <v>7.04</v>
      </c>
      <c r="G2072">
        <v>2025</v>
      </c>
    </row>
    <row r="2073" spans="1:7" hidden="1" x14ac:dyDescent="0.2">
      <c r="A2073" t="s">
        <v>26</v>
      </c>
      <c r="B2073" t="s">
        <v>28</v>
      </c>
      <c r="C2073">
        <v>2</v>
      </c>
      <c r="D2073" t="s">
        <v>128</v>
      </c>
      <c r="E2073" t="s">
        <v>179</v>
      </c>
      <c r="F2073">
        <v>23.6</v>
      </c>
      <c r="G2073">
        <v>2025</v>
      </c>
    </row>
    <row r="2074" spans="1:7" hidden="1" x14ac:dyDescent="0.2">
      <c r="A2074" t="s">
        <v>26</v>
      </c>
      <c r="B2074" t="s">
        <v>28</v>
      </c>
      <c r="C2074">
        <v>2</v>
      </c>
      <c r="D2074" t="s">
        <v>128</v>
      </c>
      <c r="E2074" t="s">
        <v>288</v>
      </c>
      <c r="F2074">
        <v>1.1000000000000001</v>
      </c>
      <c r="G2074">
        <v>2025</v>
      </c>
    </row>
    <row r="2075" spans="1:7" hidden="1" x14ac:dyDescent="0.2">
      <c r="A2075" t="s">
        <v>26</v>
      </c>
      <c r="B2075" t="s">
        <v>28</v>
      </c>
      <c r="C2075">
        <v>2</v>
      </c>
      <c r="D2075" t="s">
        <v>128</v>
      </c>
      <c r="E2075" t="s">
        <v>153</v>
      </c>
      <c r="F2075">
        <v>1.7</v>
      </c>
      <c r="G2075">
        <v>2025</v>
      </c>
    </row>
    <row r="2076" spans="1:7" hidden="1" x14ac:dyDescent="0.2">
      <c r="A2076" t="s">
        <v>26</v>
      </c>
      <c r="B2076" t="s">
        <v>28</v>
      </c>
      <c r="C2076">
        <v>2</v>
      </c>
      <c r="D2076" t="s">
        <v>127</v>
      </c>
      <c r="E2076" t="s">
        <v>519</v>
      </c>
      <c r="F2076">
        <v>5.9</v>
      </c>
      <c r="G2076">
        <v>2025</v>
      </c>
    </row>
    <row r="2077" spans="1:7" hidden="1" x14ac:dyDescent="0.2">
      <c r="A2077" t="s">
        <v>26</v>
      </c>
      <c r="B2077" t="s">
        <v>28</v>
      </c>
      <c r="C2077">
        <v>2</v>
      </c>
      <c r="D2077" t="s">
        <v>127</v>
      </c>
      <c r="E2077" t="s">
        <v>149</v>
      </c>
      <c r="F2077">
        <v>11.7</v>
      </c>
      <c r="G2077">
        <v>2025</v>
      </c>
    </row>
    <row r="2078" spans="1:7" hidden="1" x14ac:dyDescent="0.2">
      <c r="A2078" t="s">
        <v>26</v>
      </c>
      <c r="B2078" t="s">
        <v>28</v>
      </c>
      <c r="C2078">
        <v>2</v>
      </c>
      <c r="D2078" t="s">
        <v>129</v>
      </c>
      <c r="E2078" t="s">
        <v>376</v>
      </c>
      <c r="F2078">
        <v>1.7</v>
      </c>
      <c r="G2078">
        <v>2025</v>
      </c>
    </row>
    <row r="2079" spans="1:7" hidden="1" x14ac:dyDescent="0.2">
      <c r="A2079" t="s">
        <v>26</v>
      </c>
      <c r="B2079" t="s">
        <v>28</v>
      </c>
      <c r="C2079">
        <v>2</v>
      </c>
      <c r="D2079" t="s">
        <v>131</v>
      </c>
      <c r="E2079" t="s">
        <v>520</v>
      </c>
      <c r="F2079">
        <v>3</v>
      </c>
      <c r="G2079">
        <v>2025</v>
      </c>
    </row>
    <row r="2080" spans="1:7" x14ac:dyDescent="0.2">
      <c r="A2080" t="s">
        <v>26</v>
      </c>
      <c r="B2080" t="s">
        <v>28</v>
      </c>
      <c r="C2080">
        <v>2</v>
      </c>
      <c r="D2080" t="s">
        <v>130</v>
      </c>
      <c r="E2080" t="s">
        <v>215</v>
      </c>
      <c r="F2080">
        <v>4</v>
      </c>
      <c r="G2080">
        <v>2025</v>
      </c>
    </row>
    <row r="2081" spans="1:7" hidden="1" x14ac:dyDescent="0.2">
      <c r="A2081" t="s">
        <v>26</v>
      </c>
      <c r="B2081" t="s">
        <v>28</v>
      </c>
      <c r="C2081">
        <v>2</v>
      </c>
      <c r="D2081" t="s">
        <v>293</v>
      </c>
      <c r="E2081" t="s">
        <v>403</v>
      </c>
      <c r="F2081">
        <v>1</v>
      </c>
      <c r="G2081">
        <v>2025</v>
      </c>
    </row>
    <row r="2082" spans="1:7" hidden="1" x14ac:dyDescent="0.2">
      <c r="A2082" t="s">
        <v>77</v>
      </c>
      <c r="B2082" t="s">
        <v>45</v>
      </c>
      <c r="C2082">
        <v>2</v>
      </c>
      <c r="D2082" t="s">
        <v>125</v>
      </c>
      <c r="E2082" t="s">
        <v>241</v>
      </c>
      <c r="F2082">
        <v>19.899999999999999</v>
      </c>
      <c r="G2082">
        <v>2025</v>
      </c>
    </row>
    <row r="2083" spans="1:7" hidden="1" x14ac:dyDescent="0.2">
      <c r="A2083" t="s">
        <v>77</v>
      </c>
      <c r="B2083" t="s">
        <v>45</v>
      </c>
      <c r="C2083">
        <v>2</v>
      </c>
      <c r="D2083" t="s">
        <v>128</v>
      </c>
      <c r="E2083" t="s">
        <v>231</v>
      </c>
      <c r="F2083">
        <v>29.5</v>
      </c>
      <c r="G2083">
        <v>2025</v>
      </c>
    </row>
    <row r="2084" spans="1:7" hidden="1" x14ac:dyDescent="0.2">
      <c r="A2084" t="s">
        <v>77</v>
      </c>
      <c r="B2084" t="s">
        <v>45</v>
      </c>
      <c r="C2084">
        <v>2</v>
      </c>
      <c r="D2084" t="s">
        <v>128</v>
      </c>
      <c r="E2084" t="s">
        <v>187</v>
      </c>
      <c r="F2084">
        <v>34.700000000000003</v>
      </c>
      <c r="G2084">
        <v>2025</v>
      </c>
    </row>
    <row r="2085" spans="1:7" hidden="1" x14ac:dyDescent="0.2">
      <c r="A2085" t="s">
        <v>77</v>
      </c>
      <c r="B2085" t="s">
        <v>45</v>
      </c>
      <c r="C2085">
        <v>2</v>
      </c>
      <c r="D2085" t="s">
        <v>128</v>
      </c>
      <c r="E2085" t="s">
        <v>218</v>
      </c>
      <c r="F2085">
        <v>33.200000000000003</v>
      </c>
      <c r="G2085">
        <v>2025</v>
      </c>
    </row>
    <row r="2086" spans="1:7" hidden="1" x14ac:dyDescent="0.2">
      <c r="A2086" t="s">
        <v>77</v>
      </c>
      <c r="B2086" t="s">
        <v>45</v>
      </c>
      <c r="C2086">
        <v>2</v>
      </c>
      <c r="D2086" t="s">
        <v>127</v>
      </c>
      <c r="E2086" t="s">
        <v>136</v>
      </c>
      <c r="F2086">
        <v>22</v>
      </c>
      <c r="G2086">
        <v>2025</v>
      </c>
    </row>
    <row r="2087" spans="1:7" hidden="1" x14ac:dyDescent="0.2">
      <c r="A2087" t="s">
        <v>77</v>
      </c>
      <c r="B2087" t="s">
        <v>45</v>
      </c>
      <c r="C2087">
        <v>2</v>
      </c>
      <c r="D2087" t="s">
        <v>127</v>
      </c>
      <c r="E2087" t="s">
        <v>531</v>
      </c>
      <c r="F2087">
        <v>9.4</v>
      </c>
      <c r="G2087">
        <v>2025</v>
      </c>
    </row>
    <row r="2088" spans="1:7" hidden="1" x14ac:dyDescent="0.2">
      <c r="A2088" t="s">
        <v>77</v>
      </c>
      <c r="B2088" t="s">
        <v>45</v>
      </c>
      <c r="C2088">
        <v>2</v>
      </c>
      <c r="D2088" t="s">
        <v>129</v>
      </c>
      <c r="E2088" t="s">
        <v>317</v>
      </c>
      <c r="F2088">
        <v>15.4</v>
      </c>
      <c r="G2088">
        <v>2025</v>
      </c>
    </row>
    <row r="2089" spans="1:7" hidden="1" x14ac:dyDescent="0.2">
      <c r="A2089" t="s">
        <v>77</v>
      </c>
      <c r="B2089" t="s">
        <v>45</v>
      </c>
      <c r="C2089">
        <v>2</v>
      </c>
      <c r="D2089" t="s">
        <v>131</v>
      </c>
      <c r="E2089" t="s">
        <v>532</v>
      </c>
      <c r="F2089">
        <v>13</v>
      </c>
      <c r="G2089">
        <v>2025</v>
      </c>
    </row>
    <row r="2090" spans="1:7" hidden="1" x14ac:dyDescent="0.2">
      <c r="A2090" t="s">
        <v>77</v>
      </c>
      <c r="B2090" t="s">
        <v>45</v>
      </c>
      <c r="C2090">
        <v>2</v>
      </c>
      <c r="D2090" t="s">
        <v>130</v>
      </c>
      <c r="E2090" t="s">
        <v>352</v>
      </c>
      <c r="F2090">
        <v>9</v>
      </c>
      <c r="G2090">
        <v>2025</v>
      </c>
    </row>
    <row r="2091" spans="1:7" hidden="1" x14ac:dyDescent="0.2">
      <c r="A2091" t="s">
        <v>77</v>
      </c>
      <c r="B2091" t="s">
        <v>45</v>
      </c>
      <c r="C2091">
        <v>2</v>
      </c>
      <c r="D2091" t="s">
        <v>294</v>
      </c>
      <c r="E2091" t="s">
        <v>220</v>
      </c>
      <c r="F2091">
        <v>10.3</v>
      </c>
      <c r="G2091">
        <v>2025</v>
      </c>
    </row>
    <row r="2092" spans="1:7" hidden="1" x14ac:dyDescent="0.2">
      <c r="A2092" t="s">
        <v>526</v>
      </c>
      <c r="B2092" t="s">
        <v>32</v>
      </c>
      <c r="C2092">
        <v>2</v>
      </c>
      <c r="D2092" t="s">
        <v>125</v>
      </c>
      <c r="E2092" t="s">
        <v>392</v>
      </c>
      <c r="F2092">
        <v>33.96</v>
      </c>
      <c r="G2092">
        <v>2025</v>
      </c>
    </row>
    <row r="2093" spans="1:7" hidden="1" x14ac:dyDescent="0.2">
      <c r="A2093" t="s">
        <v>526</v>
      </c>
      <c r="B2093" t="s">
        <v>32</v>
      </c>
      <c r="C2093">
        <v>2</v>
      </c>
      <c r="D2093" t="s">
        <v>128</v>
      </c>
      <c r="E2093" t="s">
        <v>186</v>
      </c>
      <c r="F2093">
        <v>7.3</v>
      </c>
      <c r="G2093">
        <v>2025</v>
      </c>
    </row>
    <row r="2094" spans="1:7" hidden="1" x14ac:dyDescent="0.2">
      <c r="A2094" t="s">
        <v>526</v>
      </c>
      <c r="B2094" t="s">
        <v>32</v>
      </c>
      <c r="C2094">
        <v>2</v>
      </c>
      <c r="D2094" t="s">
        <v>128</v>
      </c>
      <c r="E2094" t="s">
        <v>224</v>
      </c>
      <c r="F2094">
        <v>7</v>
      </c>
      <c r="G2094">
        <v>2025</v>
      </c>
    </row>
    <row r="2095" spans="1:7" hidden="1" x14ac:dyDescent="0.2">
      <c r="A2095" t="s">
        <v>526</v>
      </c>
      <c r="B2095" t="s">
        <v>32</v>
      </c>
      <c r="C2095">
        <v>2</v>
      </c>
      <c r="D2095" t="s">
        <v>128</v>
      </c>
      <c r="E2095" t="s">
        <v>133</v>
      </c>
      <c r="F2095">
        <v>13.9</v>
      </c>
      <c r="G2095">
        <v>2025</v>
      </c>
    </row>
    <row r="2096" spans="1:7" hidden="1" x14ac:dyDescent="0.2">
      <c r="A2096" t="s">
        <v>526</v>
      </c>
      <c r="B2096" t="s">
        <v>32</v>
      </c>
      <c r="C2096">
        <v>2</v>
      </c>
      <c r="D2096" t="s">
        <v>127</v>
      </c>
      <c r="E2096" t="s">
        <v>148</v>
      </c>
      <c r="F2096">
        <v>22.2</v>
      </c>
      <c r="G2096">
        <v>2025</v>
      </c>
    </row>
    <row r="2097" spans="1:7" hidden="1" x14ac:dyDescent="0.2">
      <c r="A2097" t="s">
        <v>526</v>
      </c>
      <c r="B2097" t="s">
        <v>32</v>
      </c>
      <c r="C2097">
        <v>2</v>
      </c>
      <c r="D2097" t="s">
        <v>127</v>
      </c>
      <c r="E2097" t="s">
        <v>226</v>
      </c>
      <c r="F2097">
        <v>4.8</v>
      </c>
      <c r="G2097">
        <v>2025</v>
      </c>
    </row>
    <row r="2098" spans="1:7" hidden="1" x14ac:dyDescent="0.2">
      <c r="A2098" t="s">
        <v>526</v>
      </c>
      <c r="B2098" t="s">
        <v>32</v>
      </c>
      <c r="C2098">
        <v>2</v>
      </c>
      <c r="D2098" t="s">
        <v>129</v>
      </c>
      <c r="E2098" t="s">
        <v>170</v>
      </c>
      <c r="F2098">
        <v>6</v>
      </c>
      <c r="G2098">
        <v>2025</v>
      </c>
    </row>
    <row r="2099" spans="1:7" hidden="1" x14ac:dyDescent="0.2">
      <c r="A2099" t="s">
        <v>526</v>
      </c>
      <c r="B2099" t="s">
        <v>32</v>
      </c>
      <c r="C2099">
        <v>2</v>
      </c>
      <c r="D2099" t="s">
        <v>131</v>
      </c>
      <c r="E2099" t="s">
        <v>538</v>
      </c>
      <c r="F2099">
        <v>9</v>
      </c>
      <c r="G2099">
        <v>2025</v>
      </c>
    </row>
    <row r="2100" spans="1:7" hidden="1" x14ac:dyDescent="0.2">
      <c r="A2100" t="s">
        <v>526</v>
      </c>
      <c r="B2100" t="s">
        <v>32</v>
      </c>
      <c r="C2100">
        <v>2</v>
      </c>
      <c r="D2100" t="s">
        <v>130</v>
      </c>
      <c r="E2100" t="s">
        <v>358</v>
      </c>
      <c r="F2100">
        <v>7</v>
      </c>
      <c r="G2100">
        <v>2025</v>
      </c>
    </row>
    <row r="2101" spans="1:7" hidden="1" x14ac:dyDescent="0.2">
      <c r="A2101" t="s">
        <v>526</v>
      </c>
      <c r="B2101" t="s">
        <v>32</v>
      </c>
      <c r="C2101">
        <v>2</v>
      </c>
      <c r="D2101" t="s">
        <v>294</v>
      </c>
      <c r="E2101" t="s">
        <v>539</v>
      </c>
      <c r="F2101">
        <v>3.7</v>
      </c>
      <c r="G2101">
        <v>2025</v>
      </c>
    </row>
    <row r="2102" spans="1:7" hidden="1" x14ac:dyDescent="0.2">
      <c r="A2102" t="s">
        <v>35</v>
      </c>
      <c r="B2102" t="s">
        <v>49</v>
      </c>
      <c r="C2102">
        <v>2</v>
      </c>
      <c r="D2102" t="s">
        <v>125</v>
      </c>
      <c r="E2102" t="s">
        <v>168</v>
      </c>
      <c r="F2102">
        <v>11.54</v>
      </c>
      <c r="G2102">
        <v>2025</v>
      </c>
    </row>
    <row r="2103" spans="1:7" hidden="1" x14ac:dyDescent="0.2">
      <c r="A2103" t="s">
        <v>35</v>
      </c>
      <c r="B2103" t="s">
        <v>49</v>
      </c>
      <c r="C2103">
        <v>2</v>
      </c>
      <c r="D2103" t="s">
        <v>128</v>
      </c>
      <c r="E2103" t="s">
        <v>160</v>
      </c>
      <c r="F2103">
        <v>15.3</v>
      </c>
      <c r="G2103">
        <v>2025</v>
      </c>
    </row>
    <row r="2104" spans="1:7" hidden="1" x14ac:dyDescent="0.2">
      <c r="A2104" t="s">
        <v>35</v>
      </c>
      <c r="B2104" t="s">
        <v>49</v>
      </c>
      <c r="C2104">
        <v>2</v>
      </c>
      <c r="D2104" t="s">
        <v>128</v>
      </c>
      <c r="E2104" t="s">
        <v>205</v>
      </c>
      <c r="F2104">
        <v>7.3</v>
      </c>
      <c r="G2104">
        <v>2025</v>
      </c>
    </row>
    <row r="2105" spans="1:7" hidden="1" x14ac:dyDescent="0.2">
      <c r="A2105" t="s">
        <v>35</v>
      </c>
      <c r="B2105" t="s">
        <v>49</v>
      </c>
      <c r="C2105">
        <v>2</v>
      </c>
      <c r="D2105" t="s">
        <v>128</v>
      </c>
      <c r="E2105" t="s">
        <v>262</v>
      </c>
      <c r="F2105">
        <v>13.2</v>
      </c>
      <c r="G2105">
        <v>2025</v>
      </c>
    </row>
    <row r="2106" spans="1:7" hidden="1" x14ac:dyDescent="0.2">
      <c r="A2106" t="s">
        <v>35</v>
      </c>
      <c r="B2106" t="s">
        <v>49</v>
      </c>
      <c r="C2106">
        <v>2</v>
      </c>
      <c r="D2106" t="s">
        <v>127</v>
      </c>
      <c r="E2106" t="s">
        <v>256</v>
      </c>
      <c r="F2106">
        <v>9</v>
      </c>
      <c r="G2106">
        <v>2025</v>
      </c>
    </row>
    <row r="2107" spans="1:7" hidden="1" x14ac:dyDescent="0.2">
      <c r="A2107" t="s">
        <v>35</v>
      </c>
      <c r="B2107" t="s">
        <v>49</v>
      </c>
      <c r="C2107">
        <v>2</v>
      </c>
      <c r="D2107" t="s">
        <v>127</v>
      </c>
      <c r="E2107" t="s">
        <v>534</v>
      </c>
      <c r="F2107">
        <v>2.9</v>
      </c>
      <c r="G2107">
        <v>2025</v>
      </c>
    </row>
    <row r="2108" spans="1:7" hidden="1" x14ac:dyDescent="0.2">
      <c r="A2108" t="s">
        <v>35</v>
      </c>
      <c r="B2108" t="s">
        <v>49</v>
      </c>
      <c r="C2108">
        <v>2</v>
      </c>
      <c r="D2108" t="s">
        <v>129</v>
      </c>
      <c r="E2108" t="s">
        <v>137</v>
      </c>
      <c r="F2108">
        <v>10.8</v>
      </c>
      <c r="G2108">
        <v>2025</v>
      </c>
    </row>
    <row r="2109" spans="1:7" hidden="1" x14ac:dyDescent="0.2">
      <c r="A2109" t="s">
        <v>35</v>
      </c>
      <c r="B2109" t="s">
        <v>49</v>
      </c>
      <c r="C2109">
        <v>2</v>
      </c>
      <c r="D2109" t="s">
        <v>131</v>
      </c>
      <c r="E2109" t="s">
        <v>533</v>
      </c>
      <c r="F2109">
        <v>9</v>
      </c>
      <c r="G2109">
        <v>2025</v>
      </c>
    </row>
    <row r="2110" spans="1:7" hidden="1" x14ac:dyDescent="0.2">
      <c r="A2110" t="s">
        <v>35</v>
      </c>
      <c r="B2110" t="s">
        <v>49</v>
      </c>
      <c r="C2110">
        <v>2</v>
      </c>
      <c r="D2110" t="s">
        <v>130</v>
      </c>
      <c r="E2110" t="s">
        <v>211</v>
      </c>
      <c r="F2110">
        <v>-5</v>
      </c>
      <c r="G2110">
        <v>2025</v>
      </c>
    </row>
    <row r="2111" spans="1:7" hidden="1" x14ac:dyDescent="0.2">
      <c r="A2111" t="s">
        <v>35</v>
      </c>
      <c r="B2111" t="s">
        <v>49</v>
      </c>
      <c r="C2111">
        <v>2</v>
      </c>
      <c r="D2111" t="s">
        <v>294</v>
      </c>
      <c r="E2111" t="s">
        <v>188</v>
      </c>
      <c r="F2111">
        <v>4.4000000000000004</v>
      </c>
      <c r="G2111">
        <v>2025</v>
      </c>
    </row>
    <row r="2112" spans="1:7" hidden="1" x14ac:dyDescent="0.2">
      <c r="A2112" t="s">
        <v>46</v>
      </c>
      <c r="B2112" t="s">
        <v>47</v>
      </c>
      <c r="C2112">
        <v>2</v>
      </c>
      <c r="D2112" t="s">
        <v>125</v>
      </c>
      <c r="E2112" t="s">
        <v>126</v>
      </c>
      <c r="F2112">
        <v>19.239999999999998</v>
      </c>
      <c r="G2112">
        <v>2025</v>
      </c>
    </row>
    <row r="2113" spans="1:7" hidden="1" x14ac:dyDescent="0.2">
      <c r="A2113" t="s">
        <v>46</v>
      </c>
      <c r="B2113" t="s">
        <v>47</v>
      </c>
      <c r="C2113">
        <v>2</v>
      </c>
      <c r="D2113" t="s">
        <v>128</v>
      </c>
      <c r="E2113" t="s">
        <v>178</v>
      </c>
      <c r="F2113">
        <v>15.3</v>
      </c>
      <c r="G2113">
        <v>2025</v>
      </c>
    </row>
    <row r="2114" spans="1:7" hidden="1" x14ac:dyDescent="0.2">
      <c r="A2114" t="s">
        <v>46</v>
      </c>
      <c r="B2114" t="s">
        <v>47</v>
      </c>
      <c r="C2114">
        <v>2</v>
      </c>
      <c r="D2114" t="s">
        <v>128</v>
      </c>
      <c r="E2114" t="s">
        <v>172</v>
      </c>
      <c r="F2114">
        <v>7.1</v>
      </c>
      <c r="G2114">
        <v>2025</v>
      </c>
    </row>
    <row r="2115" spans="1:7" hidden="1" x14ac:dyDescent="0.2">
      <c r="A2115" t="s">
        <v>46</v>
      </c>
      <c r="B2115" t="s">
        <v>47</v>
      </c>
      <c r="C2115">
        <v>2</v>
      </c>
      <c r="D2115" t="s">
        <v>128</v>
      </c>
      <c r="E2115" t="s">
        <v>540</v>
      </c>
      <c r="F2115">
        <v>2.5</v>
      </c>
      <c r="G2115">
        <v>2025</v>
      </c>
    </row>
    <row r="2116" spans="1:7" hidden="1" x14ac:dyDescent="0.2">
      <c r="A2116" t="s">
        <v>46</v>
      </c>
      <c r="B2116" t="s">
        <v>47</v>
      </c>
      <c r="C2116">
        <v>2</v>
      </c>
      <c r="D2116" t="s">
        <v>127</v>
      </c>
      <c r="E2116" t="s">
        <v>372</v>
      </c>
      <c r="F2116">
        <v>19.7</v>
      </c>
      <c r="G2116">
        <v>2025</v>
      </c>
    </row>
    <row r="2117" spans="1:7" hidden="1" x14ac:dyDescent="0.2">
      <c r="A2117" t="s">
        <v>46</v>
      </c>
      <c r="B2117" t="s">
        <v>47</v>
      </c>
      <c r="C2117">
        <v>2</v>
      </c>
      <c r="D2117" t="s">
        <v>127</v>
      </c>
      <c r="E2117" t="s">
        <v>255</v>
      </c>
      <c r="F2117">
        <v>15.1</v>
      </c>
      <c r="G2117">
        <v>2025</v>
      </c>
    </row>
    <row r="2118" spans="1:7" hidden="1" x14ac:dyDescent="0.2">
      <c r="A2118" t="s">
        <v>46</v>
      </c>
      <c r="B2118" t="s">
        <v>47</v>
      </c>
      <c r="C2118">
        <v>2</v>
      </c>
      <c r="D2118" t="s">
        <v>129</v>
      </c>
      <c r="E2118" t="s">
        <v>182</v>
      </c>
      <c r="F2118">
        <v>6.3</v>
      </c>
      <c r="G2118">
        <v>2025</v>
      </c>
    </row>
    <row r="2119" spans="1:7" hidden="1" x14ac:dyDescent="0.2">
      <c r="A2119" t="s">
        <v>46</v>
      </c>
      <c r="B2119" t="s">
        <v>47</v>
      </c>
      <c r="C2119">
        <v>2</v>
      </c>
      <c r="D2119" t="s">
        <v>131</v>
      </c>
      <c r="E2119" t="s">
        <v>242</v>
      </c>
      <c r="F2119">
        <v>12</v>
      </c>
      <c r="G2119">
        <v>2025</v>
      </c>
    </row>
    <row r="2120" spans="1:7" hidden="1" x14ac:dyDescent="0.2">
      <c r="A2120" t="s">
        <v>46</v>
      </c>
      <c r="B2120" t="s">
        <v>47</v>
      </c>
      <c r="C2120">
        <v>2</v>
      </c>
      <c r="D2120" t="s">
        <v>130</v>
      </c>
      <c r="E2120" t="s">
        <v>193</v>
      </c>
      <c r="F2120">
        <v>6</v>
      </c>
      <c r="G2120">
        <v>2025</v>
      </c>
    </row>
    <row r="2121" spans="1:7" hidden="1" x14ac:dyDescent="0.2">
      <c r="A2121" t="s">
        <v>46</v>
      </c>
      <c r="B2121" t="s">
        <v>47</v>
      </c>
      <c r="C2121">
        <v>2</v>
      </c>
      <c r="D2121" t="s">
        <v>293</v>
      </c>
      <c r="E2121" t="s">
        <v>278</v>
      </c>
      <c r="F2121">
        <v>12.4</v>
      </c>
      <c r="G2121">
        <v>2025</v>
      </c>
    </row>
    <row r="2122" spans="1:7" hidden="1" x14ac:dyDescent="0.2">
      <c r="A2122" t="s">
        <v>14</v>
      </c>
      <c r="B2122" t="s">
        <v>16</v>
      </c>
      <c r="C2122">
        <v>3</v>
      </c>
      <c r="D2122" t="s">
        <v>125</v>
      </c>
      <c r="E2122" t="s">
        <v>202</v>
      </c>
      <c r="F2122">
        <v>27.02</v>
      </c>
      <c r="G2122">
        <v>2025</v>
      </c>
    </row>
    <row r="2123" spans="1:7" hidden="1" x14ac:dyDescent="0.2">
      <c r="A2123" t="s">
        <v>14</v>
      </c>
      <c r="B2123" t="s">
        <v>16</v>
      </c>
      <c r="C2123">
        <v>3</v>
      </c>
      <c r="D2123" t="s">
        <v>128</v>
      </c>
      <c r="E2123" t="s">
        <v>295</v>
      </c>
      <c r="F2123">
        <v>8.9</v>
      </c>
      <c r="G2123">
        <v>2025</v>
      </c>
    </row>
    <row r="2124" spans="1:7" hidden="1" x14ac:dyDescent="0.2">
      <c r="A2124" t="s">
        <v>14</v>
      </c>
      <c r="B2124" t="s">
        <v>16</v>
      </c>
      <c r="C2124">
        <v>3</v>
      </c>
      <c r="D2124" t="s">
        <v>128</v>
      </c>
      <c r="E2124" t="s">
        <v>363</v>
      </c>
      <c r="F2124">
        <v>15.7</v>
      </c>
      <c r="G2124">
        <v>2025</v>
      </c>
    </row>
    <row r="2125" spans="1:7" hidden="1" x14ac:dyDescent="0.2">
      <c r="A2125" t="s">
        <v>14</v>
      </c>
      <c r="B2125" t="s">
        <v>16</v>
      </c>
      <c r="C2125">
        <v>3</v>
      </c>
      <c r="D2125" t="s">
        <v>128</v>
      </c>
      <c r="E2125" t="s">
        <v>254</v>
      </c>
      <c r="F2125">
        <v>16.3</v>
      </c>
      <c r="G2125">
        <v>2025</v>
      </c>
    </row>
    <row r="2126" spans="1:7" hidden="1" x14ac:dyDescent="0.2">
      <c r="A2126" t="s">
        <v>14</v>
      </c>
      <c r="B2126" t="s">
        <v>16</v>
      </c>
      <c r="C2126">
        <v>3</v>
      </c>
      <c r="D2126" t="s">
        <v>127</v>
      </c>
      <c r="E2126" t="s">
        <v>306</v>
      </c>
      <c r="F2126">
        <v>8.6</v>
      </c>
      <c r="G2126">
        <v>2025</v>
      </c>
    </row>
    <row r="2127" spans="1:7" hidden="1" x14ac:dyDescent="0.2">
      <c r="A2127" t="s">
        <v>14</v>
      </c>
      <c r="B2127" t="s">
        <v>16</v>
      </c>
      <c r="C2127">
        <v>3</v>
      </c>
      <c r="D2127" t="s">
        <v>127</v>
      </c>
      <c r="E2127" t="s">
        <v>189</v>
      </c>
      <c r="F2127">
        <v>11.6</v>
      </c>
      <c r="G2127">
        <v>2025</v>
      </c>
    </row>
    <row r="2128" spans="1:7" hidden="1" x14ac:dyDescent="0.2">
      <c r="A2128" t="s">
        <v>14</v>
      </c>
      <c r="B2128" t="s">
        <v>16</v>
      </c>
      <c r="C2128">
        <v>3</v>
      </c>
      <c r="D2128" t="s">
        <v>129</v>
      </c>
      <c r="E2128" t="s">
        <v>299</v>
      </c>
      <c r="F2128">
        <v>14.7</v>
      </c>
      <c r="G2128">
        <v>2025</v>
      </c>
    </row>
    <row r="2129" spans="1:7" hidden="1" x14ac:dyDescent="0.2">
      <c r="A2129" t="s">
        <v>14</v>
      </c>
      <c r="B2129" t="s">
        <v>16</v>
      </c>
      <c r="C2129">
        <v>3</v>
      </c>
      <c r="D2129" t="s">
        <v>131</v>
      </c>
      <c r="E2129" t="s">
        <v>210</v>
      </c>
      <c r="F2129">
        <v>8</v>
      </c>
      <c r="G2129">
        <v>2025</v>
      </c>
    </row>
    <row r="2130" spans="1:7" hidden="1" x14ac:dyDescent="0.2">
      <c r="A2130" t="s">
        <v>14</v>
      </c>
      <c r="B2130" t="s">
        <v>16</v>
      </c>
      <c r="C2130">
        <v>3</v>
      </c>
      <c r="D2130" t="s">
        <v>130</v>
      </c>
      <c r="E2130" t="s">
        <v>253</v>
      </c>
      <c r="F2130">
        <v>16</v>
      </c>
      <c r="G2130">
        <v>2025</v>
      </c>
    </row>
    <row r="2131" spans="1:7" hidden="1" x14ac:dyDescent="0.2">
      <c r="A2131" t="s">
        <v>14</v>
      </c>
      <c r="B2131" t="s">
        <v>16</v>
      </c>
      <c r="C2131">
        <v>3</v>
      </c>
      <c r="D2131" t="s">
        <v>293</v>
      </c>
      <c r="E2131" t="s">
        <v>314</v>
      </c>
      <c r="F2131">
        <v>4</v>
      </c>
      <c r="G2131">
        <v>2025</v>
      </c>
    </row>
    <row r="2132" spans="1:7" hidden="1" x14ac:dyDescent="0.2">
      <c r="A2132" t="s">
        <v>525</v>
      </c>
      <c r="B2132" t="s">
        <v>36</v>
      </c>
      <c r="C2132">
        <v>3</v>
      </c>
      <c r="D2132" t="s">
        <v>125</v>
      </c>
      <c r="E2132" t="s">
        <v>386</v>
      </c>
      <c r="F2132">
        <v>14.6</v>
      </c>
      <c r="G2132">
        <v>2025</v>
      </c>
    </row>
    <row r="2133" spans="1:7" hidden="1" x14ac:dyDescent="0.2">
      <c r="A2133" t="s">
        <v>525</v>
      </c>
      <c r="B2133" t="s">
        <v>36</v>
      </c>
      <c r="C2133">
        <v>3</v>
      </c>
      <c r="D2133" t="s">
        <v>128</v>
      </c>
      <c r="E2133" t="s">
        <v>298</v>
      </c>
      <c r="F2133">
        <v>11.9</v>
      </c>
      <c r="G2133">
        <v>2025</v>
      </c>
    </row>
    <row r="2134" spans="1:7" hidden="1" x14ac:dyDescent="0.2">
      <c r="A2134" t="s">
        <v>525</v>
      </c>
      <c r="B2134" t="s">
        <v>36</v>
      </c>
      <c r="C2134">
        <v>3</v>
      </c>
      <c r="D2134" t="s">
        <v>128</v>
      </c>
      <c r="E2134" t="s">
        <v>145</v>
      </c>
      <c r="F2134">
        <v>19.899999999999999</v>
      </c>
      <c r="G2134">
        <v>2025</v>
      </c>
    </row>
    <row r="2135" spans="1:7" hidden="1" x14ac:dyDescent="0.2">
      <c r="A2135" t="s">
        <v>525</v>
      </c>
      <c r="B2135" t="s">
        <v>36</v>
      </c>
      <c r="C2135">
        <v>3</v>
      </c>
      <c r="D2135" t="s">
        <v>128</v>
      </c>
      <c r="E2135" t="s">
        <v>527</v>
      </c>
      <c r="F2135">
        <v>11.5</v>
      </c>
      <c r="G2135">
        <v>2025</v>
      </c>
    </row>
    <row r="2136" spans="1:7" hidden="1" x14ac:dyDescent="0.2">
      <c r="A2136" t="s">
        <v>525</v>
      </c>
      <c r="B2136" t="s">
        <v>36</v>
      </c>
      <c r="C2136">
        <v>3</v>
      </c>
      <c r="D2136" t="s">
        <v>127</v>
      </c>
      <c r="E2136" t="s">
        <v>207</v>
      </c>
      <c r="F2136">
        <v>24.4</v>
      </c>
      <c r="G2136">
        <v>2025</v>
      </c>
    </row>
    <row r="2137" spans="1:7" hidden="1" x14ac:dyDescent="0.2">
      <c r="A2137" t="s">
        <v>525</v>
      </c>
      <c r="B2137" t="s">
        <v>36</v>
      </c>
      <c r="C2137">
        <v>3</v>
      </c>
      <c r="D2137" t="s">
        <v>127</v>
      </c>
      <c r="E2137" t="s">
        <v>361</v>
      </c>
      <c r="F2137">
        <v>5.5</v>
      </c>
      <c r="G2137">
        <v>2025</v>
      </c>
    </row>
    <row r="2138" spans="1:7" hidden="1" x14ac:dyDescent="0.2">
      <c r="A2138" t="s">
        <v>525</v>
      </c>
      <c r="B2138" t="s">
        <v>36</v>
      </c>
      <c r="C2138">
        <v>3</v>
      </c>
      <c r="D2138" t="s">
        <v>129</v>
      </c>
      <c r="E2138" t="s">
        <v>156</v>
      </c>
      <c r="F2138">
        <v>5.3</v>
      </c>
      <c r="G2138">
        <v>2025</v>
      </c>
    </row>
    <row r="2139" spans="1:7" hidden="1" x14ac:dyDescent="0.2">
      <c r="A2139" t="s">
        <v>525</v>
      </c>
      <c r="B2139" t="s">
        <v>36</v>
      </c>
      <c r="C2139">
        <v>3</v>
      </c>
      <c r="D2139" t="s">
        <v>131</v>
      </c>
      <c r="E2139" t="s">
        <v>183</v>
      </c>
      <c r="F2139">
        <v>3</v>
      </c>
      <c r="G2139">
        <v>2025</v>
      </c>
    </row>
    <row r="2140" spans="1:7" hidden="1" x14ac:dyDescent="0.2">
      <c r="A2140" t="s">
        <v>525</v>
      </c>
      <c r="B2140" t="s">
        <v>36</v>
      </c>
      <c r="C2140">
        <v>3</v>
      </c>
      <c r="D2140" t="s">
        <v>130</v>
      </c>
      <c r="E2140" t="s">
        <v>142</v>
      </c>
      <c r="F2140">
        <v>17</v>
      </c>
      <c r="G2140">
        <v>2025</v>
      </c>
    </row>
    <row r="2141" spans="1:7" hidden="1" x14ac:dyDescent="0.2">
      <c r="A2141" t="s">
        <v>525</v>
      </c>
      <c r="B2141" t="s">
        <v>36</v>
      </c>
      <c r="C2141">
        <v>3</v>
      </c>
      <c r="D2141" t="s">
        <v>294</v>
      </c>
      <c r="E2141" t="s">
        <v>204</v>
      </c>
      <c r="F2141">
        <v>4.0999999999999996</v>
      </c>
      <c r="G2141">
        <v>2025</v>
      </c>
    </row>
    <row r="2142" spans="1:7" hidden="1" x14ac:dyDescent="0.2">
      <c r="A2142" t="s">
        <v>42</v>
      </c>
      <c r="B2142" t="s">
        <v>17</v>
      </c>
      <c r="C2142">
        <v>3</v>
      </c>
      <c r="D2142" t="s">
        <v>125</v>
      </c>
      <c r="E2142" t="s">
        <v>141</v>
      </c>
      <c r="F2142">
        <v>12.04</v>
      </c>
      <c r="G2142">
        <v>2025</v>
      </c>
    </row>
    <row r="2143" spans="1:7" hidden="1" x14ac:dyDescent="0.2">
      <c r="A2143" t="s">
        <v>42</v>
      </c>
      <c r="B2143" t="s">
        <v>17</v>
      </c>
      <c r="C2143">
        <v>3</v>
      </c>
      <c r="D2143" t="s">
        <v>128</v>
      </c>
      <c r="E2143" t="s">
        <v>522</v>
      </c>
      <c r="F2143">
        <v>6.3</v>
      </c>
      <c r="G2143">
        <v>2025</v>
      </c>
    </row>
    <row r="2144" spans="1:7" hidden="1" x14ac:dyDescent="0.2">
      <c r="A2144" t="s">
        <v>42</v>
      </c>
      <c r="B2144" t="s">
        <v>17</v>
      </c>
      <c r="C2144">
        <v>3</v>
      </c>
      <c r="D2144" t="s">
        <v>128</v>
      </c>
      <c r="E2144" t="s">
        <v>232</v>
      </c>
      <c r="F2144">
        <v>18.399999999999999</v>
      </c>
      <c r="G2144">
        <v>2025</v>
      </c>
    </row>
    <row r="2145" spans="1:7" hidden="1" x14ac:dyDescent="0.2">
      <c r="A2145" t="s">
        <v>42</v>
      </c>
      <c r="B2145" t="s">
        <v>17</v>
      </c>
      <c r="C2145">
        <v>3</v>
      </c>
      <c r="D2145" t="s">
        <v>128</v>
      </c>
      <c r="E2145" t="s">
        <v>277</v>
      </c>
      <c r="F2145">
        <v>6.5</v>
      </c>
      <c r="G2145">
        <v>2025</v>
      </c>
    </row>
    <row r="2146" spans="1:7" hidden="1" x14ac:dyDescent="0.2">
      <c r="A2146" t="s">
        <v>42</v>
      </c>
      <c r="B2146" t="s">
        <v>17</v>
      </c>
      <c r="C2146">
        <v>3</v>
      </c>
      <c r="D2146" t="s">
        <v>127</v>
      </c>
      <c r="E2146" t="s">
        <v>180</v>
      </c>
      <c r="F2146">
        <v>9.9</v>
      </c>
      <c r="G2146">
        <v>2025</v>
      </c>
    </row>
    <row r="2147" spans="1:7" hidden="1" x14ac:dyDescent="0.2">
      <c r="A2147" t="s">
        <v>42</v>
      </c>
      <c r="B2147" t="s">
        <v>17</v>
      </c>
      <c r="C2147">
        <v>3</v>
      </c>
      <c r="D2147" t="s">
        <v>127</v>
      </c>
      <c r="E2147" t="s">
        <v>197</v>
      </c>
      <c r="F2147">
        <v>6.1</v>
      </c>
      <c r="G2147">
        <v>2025</v>
      </c>
    </row>
    <row r="2148" spans="1:7" hidden="1" x14ac:dyDescent="0.2">
      <c r="A2148" t="s">
        <v>42</v>
      </c>
      <c r="B2148" t="s">
        <v>17</v>
      </c>
      <c r="C2148">
        <v>3</v>
      </c>
      <c r="D2148" t="s">
        <v>129</v>
      </c>
      <c r="E2148" t="s">
        <v>536</v>
      </c>
      <c r="F2148">
        <v>8.1</v>
      </c>
      <c r="G2148">
        <v>2025</v>
      </c>
    </row>
    <row r="2149" spans="1:7" hidden="1" x14ac:dyDescent="0.2">
      <c r="A2149" t="s">
        <v>42</v>
      </c>
      <c r="B2149" t="s">
        <v>17</v>
      </c>
      <c r="C2149">
        <v>3</v>
      </c>
      <c r="D2149" t="s">
        <v>131</v>
      </c>
      <c r="E2149" t="s">
        <v>523</v>
      </c>
      <c r="F2149">
        <v>7</v>
      </c>
      <c r="G2149">
        <v>2025</v>
      </c>
    </row>
    <row r="2150" spans="1:7" hidden="1" x14ac:dyDescent="0.2">
      <c r="A2150" t="s">
        <v>42</v>
      </c>
      <c r="B2150" t="s">
        <v>17</v>
      </c>
      <c r="C2150">
        <v>3</v>
      </c>
      <c r="D2150" t="s">
        <v>130</v>
      </c>
      <c r="E2150" t="s">
        <v>354</v>
      </c>
      <c r="F2150">
        <v>12</v>
      </c>
      <c r="G2150">
        <v>2025</v>
      </c>
    </row>
    <row r="2151" spans="1:7" hidden="1" x14ac:dyDescent="0.2">
      <c r="A2151" t="s">
        <v>42</v>
      </c>
      <c r="B2151" t="s">
        <v>17</v>
      </c>
      <c r="C2151">
        <v>3</v>
      </c>
      <c r="D2151" t="s">
        <v>294</v>
      </c>
      <c r="E2151" t="s">
        <v>146</v>
      </c>
      <c r="F2151">
        <v>3.9</v>
      </c>
      <c r="G2151">
        <v>2025</v>
      </c>
    </row>
    <row r="2152" spans="1:7" hidden="1" x14ac:dyDescent="0.2">
      <c r="A2152" t="s">
        <v>35</v>
      </c>
      <c r="B2152" t="s">
        <v>49</v>
      </c>
      <c r="C2152">
        <v>3</v>
      </c>
      <c r="D2152" t="s">
        <v>125</v>
      </c>
      <c r="E2152" t="s">
        <v>168</v>
      </c>
      <c r="F2152">
        <v>29.04</v>
      </c>
      <c r="G2152">
        <v>2025</v>
      </c>
    </row>
    <row r="2153" spans="1:7" hidden="1" x14ac:dyDescent="0.2">
      <c r="A2153" t="s">
        <v>35</v>
      </c>
      <c r="B2153" t="s">
        <v>49</v>
      </c>
      <c r="C2153">
        <v>3</v>
      </c>
      <c r="D2153" t="s">
        <v>128</v>
      </c>
      <c r="E2153" t="s">
        <v>160</v>
      </c>
      <c r="F2153">
        <v>15.3</v>
      </c>
      <c r="G2153">
        <v>2025</v>
      </c>
    </row>
    <row r="2154" spans="1:7" hidden="1" x14ac:dyDescent="0.2">
      <c r="A2154" t="s">
        <v>35</v>
      </c>
      <c r="B2154" t="s">
        <v>49</v>
      </c>
      <c r="C2154">
        <v>3</v>
      </c>
      <c r="D2154" t="s">
        <v>128</v>
      </c>
      <c r="E2154" t="s">
        <v>205</v>
      </c>
      <c r="F2154">
        <v>16</v>
      </c>
      <c r="G2154">
        <v>2025</v>
      </c>
    </row>
    <row r="2155" spans="1:7" hidden="1" x14ac:dyDescent="0.2">
      <c r="A2155" t="s">
        <v>35</v>
      </c>
      <c r="B2155" t="s">
        <v>49</v>
      </c>
      <c r="C2155">
        <v>3</v>
      </c>
      <c r="D2155" t="s">
        <v>128</v>
      </c>
      <c r="E2155" t="s">
        <v>188</v>
      </c>
      <c r="F2155">
        <v>8</v>
      </c>
      <c r="G2155">
        <v>2025</v>
      </c>
    </row>
    <row r="2156" spans="1:7" hidden="1" x14ac:dyDescent="0.2">
      <c r="A2156" t="s">
        <v>35</v>
      </c>
      <c r="B2156" t="s">
        <v>49</v>
      </c>
      <c r="C2156">
        <v>3</v>
      </c>
      <c r="D2156" t="s">
        <v>127</v>
      </c>
      <c r="E2156" t="s">
        <v>256</v>
      </c>
      <c r="F2156">
        <v>18.2</v>
      </c>
      <c r="G2156">
        <v>2025</v>
      </c>
    </row>
    <row r="2157" spans="1:7" hidden="1" x14ac:dyDescent="0.2">
      <c r="A2157" t="s">
        <v>35</v>
      </c>
      <c r="B2157" t="s">
        <v>49</v>
      </c>
      <c r="C2157">
        <v>3</v>
      </c>
      <c r="D2157" t="s">
        <v>127</v>
      </c>
      <c r="E2157" t="s">
        <v>234</v>
      </c>
      <c r="F2157">
        <v>3.1</v>
      </c>
      <c r="G2157">
        <v>2025</v>
      </c>
    </row>
    <row r="2158" spans="1:7" hidden="1" x14ac:dyDescent="0.2">
      <c r="A2158" t="s">
        <v>35</v>
      </c>
      <c r="B2158" t="s">
        <v>49</v>
      </c>
      <c r="C2158">
        <v>3</v>
      </c>
      <c r="D2158" t="s">
        <v>129</v>
      </c>
      <c r="E2158" t="s">
        <v>137</v>
      </c>
      <c r="F2158">
        <v>12.8</v>
      </c>
      <c r="G2158">
        <v>2025</v>
      </c>
    </row>
    <row r="2159" spans="1:7" hidden="1" x14ac:dyDescent="0.2">
      <c r="A2159" t="s">
        <v>35</v>
      </c>
      <c r="B2159" t="s">
        <v>49</v>
      </c>
      <c r="C2159">
        <v>3</v>
      </c>
      <c r="D2159" t="s">
        <v>131</v>
      </c>
      <c r="E2159" t="s">
        <v>533</v>
      </c>
      <c r="F2159">
        <v>4</v>
      </c>
      <c r="G2159">
        <v>2025</v>
      </c>
    </row>
    <row r="2160" spans="1:7" hidden="1" x14ac:dyDescent="0.2">
      <c r="A2160" t="s">
        <v>35</v>
      </c>
      <c r="B2160" t="s">
        <v>49</v>
      </c>
      <c r="C2160">
        <v>3</v>
      </c>
      <c r="D2160" t="s">
        <v>130</v>
      </c>
      <c r="E2160" t="s">
        <v>157</v>
      </c>
      <c r="F2160">
        <v>3</v>
      </c>
      <c r="G2160">
        <v>2025</v>
      </c>
    </row>
    <row r="2161" spans="1:7" hidden="1" x14ac:dyDescent="0.2">
      <c r="A2161" t="s">
        <v>35</v>
      </c>
      <c r="B2161" t="s">
        <v>49</v>
      </c>
      <c r="C2161">
        <v>3</v>
      </c>
      <c r="D2161" t="s">
        <v>294</v>
      </c>
      <c r="E2161" t="s">
        <v>262</v>
      </c>
      <c r="F2161">
        <v>6.2</v>
      </c>
      <c r="G2161">
        <v>2025</v>
      </c>
    </row>
    <row r="2162" spans="1:7" hidden="1" x14ac:dyDescent="0.2">
      <c r="A2162" t="s">
        <v>524</v>
      </c>
      <c r="B2162" t="s">
        <v>21</v>
      </c>
      <c r="C2162">
        <v>3</v>
      </c>
      <c r="D2162" t="s">
        <v>125</v>
      </c>
      <c r="E2162" t="s">
        <v>212</v>
      </c>
      <c r="F2162">
        <v>23.02</v>
      </c>
      <c r="G2162">
        <v>2025</v>
      </c>
    </row>
    <row r="2163" spans="1:7" hidden="1" x14ac:dyDescent="0.2">
      <c r="A2163" t="s">
        <v>524</v>
      </c>
      <c r="B2163" t="s">
        <v>21</v>
      </c>
      <c r="C2163">
        <v>3</v>
      </c>
      <c r="D2163" t="s">
        <v>128</v>
      </c>
      <c r="E2163" t="s">
        <v>177</v>
      </c>
      <c r="F2163">
        <v>0</v>
      </c>
      <c r="G2163">
        <v>2025</v>
      </c>
    </row>
    <row r="2164" spans="1:7" hidden="1" x14ac:dyDescent="0.2">
      <c r="A2164" t="s">
        <v>524</v>
      </c>
      <c r="B2164" t="s">
        <v>21</v>
      </c>
      <c r="C2164">
        <v>3</v>
      </c>
      <c r="D2164" t="s">
        <v>128</v>
      </c>
      <c r="E2164" t="s">
        <v>222</v>
      </c>
      <c r="F2164">
        <v>5.3</v>
      </c>
      <c r="G2164">
        <v>2025</v>
      </c>
    </row>
    <row r="2165" spans="1:7" hidden="1" x14ac:dyDescent="0.2">
      <c r="A2165" t="s">
        <v>524</v>
      </c>
      <c r="B2165" t="s">
        <v>21</v>
      </c>
      <c r="C2165">
        <v>3</v>
      </c>
      <c r="D2165" t="s">
        <v>128</v>
      </c>
      <c r="E2165" t="s">
        <v>304</v>
      </c>
      <c r="F2165">
        <v>16</v>
      </c>
      <c r="G2165">
        <v>2025</v>
      </c>
    </row>
    <row r="2166" spans="1:7" hidden="1" x14ac:dyDescent="0.2">
      <c r="A2166" t="s">
        <v>524</v>
      </c>
      <c r="B2166" t="s">
        <v>21</v>
      </c>
      <c r="C2166">
        <v>3</v>
      </c>
      <c r="D2166" t="s">
        <v>127</v>
      </c>
      <c r="E2166" t="s">
        <v>181</v>
      </c>
      <c r="F2166">
        <v>28.9</v>
      </c>
      <c r="G2166">
        <v>2025</v>
      </c>
    </row>
    <row r="2167" spans="1:7" hidden="1" x14ac:dyDescent="0.2">
      <c r="A2167" t="s">
        <v>524</v>
      </c>
      <c r="B2167" t="s">
        <v>21</v>
      </c>
      <c r="C2167">
        <v>3</v>
      </c>
      <c r="D2167" t="s">
        <v>127</v>
      </c>
      <c r="E2167" t="s">
        <v>529</v>
      </c>
      <c r="F2167">
        <v>21.9</v>
      </c>
      <c r="G2167">
        <v>2025</v>
      </c>
    </row>
    <row r="2168" spans="1:7" hidden="1" x14ac:dyDescent="0.2">
      <c r="A2168" t="s">
        <v>524</v>
      </c>
      <c r="B2168" t="s">
        <v>21</v>
      </c>
      <c r="C2168">
        <v>3</v>
      </c>
      <c r="D2168" t="s">
        <v>129</v>
      </c>
      <c r="E2168" t="s">
        <v>249</v>
      </c>
      <c r="F2168">
        <v>4.5999999999999996</v>
      </c>
      <c r="G2168">
        <v>2025</v>
      </c>
    </row>
    <row r="2169" spans="1:7" hidden="1" x14ac:dyDescent="0.2">
      <c r="A2169" t="s">
        <v>524</v>
      </c>
      <c r="B2169" t="s">
        <v>21</v>
      </c>
      <c r="C2169">
        <v>3</v>
      </c>
      <c r="D2169" t="s">
        <v>131</v>
      </c>
      <c r="E2169" t="s">
        <v>214</v>
      </c>
      <c r="F2169">
        <v>10</v>
      </c>
      <c r="G2169">
        <v>2025</v>
      </c>
    </row>
    <row r="2170" spans="1:7" hidden="1" x14ac:dyDescent="0.2">
      <c r="A2170" t="s">
        <v>524</v>
      </c>
      <c r="B2170" t="s">
        <v>21</v>
      </c>
      <c r="C2170">
        <v>3</v>
      </c>
      <c r="D2170" t="s">
        <v>130</v>
      </c>
      <c r="E2170" t="s">
        <v>238</v>
      </c>
      <c r="F2170">
        <v>4</v>
      </c>
      <c r="G2170">
        <v>2025</v>
      </c>
    </row>
    <row r="2171" spans="1:7" hidden="1" x14ac:dyDescent="0.2">
      <c r="A2171" t="s">
        <v>524</v>
      </c>
      <c r="B2171" t="s">
        <v>21</v>
      </c>
      <c r="C2171">
        <v>3</v>
      </c>
      <c r="D2171" t="s">
        <v>293</v>
      </c>
      <c r="E2171" t="s">
        <v>216</v>
      </c>
      <c r="F2171">
        <v>7.5</v>
      </c>
      <c r="G2171">
        <v>2025</v>
      </c>
    </row>
    <row r="2172" spans="1:7" hidden="1" x14ac:dyDescent="0.2">
      <c r="A2172" t="s">
        <v>77</v>
      </c>
      <c r="B2172" t="s">
        <v>45</v>
      </c>
      <c r="C2172">
        <v>3</v>
      </c>
      <c r="D2172" t="s">
        <v>125</v>
      </c>
      <c r="E2172" t="s">
        <v>241</v>
      </c>
      <c r="F2172">
        <v>17.72</v>
      </c>
      <c r="G2172">
        <v>2025</v>
      </c>
    </row>
    <row r="2173" spans="1:7" hidden="1" x14ac:dyDescent="0.2">
      <c r="A2173" t="s">
        <v>77</v>
      </c>
      <c r="B2173" t="s">
        <v>45</v>
      </c>
      <c r="C2173">
        <v>3</v>
      </c>
      <c r="D2173" t="s">
        <v>128</v>
      </c>
      <c r="E2173" t="s">
        <v>231</v>
      </c>
      <c r="F2173">
        <v>6.4</v>
      </c>
      <c r="G2173">
        <v>2025</v>
      </c>
    </row>
    <row r="2174" spans="1:7" hidden="1" x14ac:dyDescent="0.2">
      <c r="A2174" t="s">
        <v>77</v>
      </c>
      <c r="B2174" t="s">
        <v>45</v>
      </c>
      <c r="C2174">
        <v>3</v>
      </c>
      <c r="D2174" t="s">
        <v>128</v>
      </c>
      <c r="E2174" t="s">
        <v>187</v>
      </c>
      <c r="F2174">
        <v>17.2</v>
      </c>
      <c r="G2174">
        <v>2025</v>
      </c>
    </row>
    <row r="2175" spans="1:7" hidden="1" x14ac:dyDescent="0.2">
      <c r="A2175" t="s">
        <v>77</v>
      </c>
      <c r="B2175" t="s">
        <v>45</v>
      </c>
      <c r="C2175">
        <v>3</v>
      </c>
      <c r="D2175" t="s">
        <v>128</v>
      </c>
      <c r="E2175" t="s">
        <v>220</v>
      </c>
      <c r="F2175">
        <v>3.5</v>
      </c>
      <c r="G2175">
        <v>2025</v>
      </c>
    </row>
    <row r="2176" spans="1:7" hidden="1" x14ac:dyDescent="0.2">
      <c r="A2176" t="s">
        <v>77</v>
      </c>
      <c r="B2176" t="s">
        <v>45</v>
      </c>
      <c r="C2176">
        <v>3</v>
      </c>
      <c r="D2176" t="s">
        <v>127</v>
      </c>
      <c r="E2176" t="s">
        <v>136</v>
      </c>
      <c r="F2176">
        <v>9.6999999999999993</v>
      </c>
      <c r="G2176">
        <v>2025</v>
      </c>
    </row>
    <row r="2177" spans="1:7" hidden="1" x14ac:dyDescent="0.2">
      <c r="A2177" t="s">
        <v>77</v>
      </c>
      <c r="B2177" t="s">
        <v>45</v>
      </c>
      <c r="C2177">
        <v>3</v>
      </c>
      <c r="D2177" t="s">
        <v>127</v>
      </c>
      <c r="E2177" t="s">
        <v>531</v>
      </c>
      <c r="F2177">
        <v>0.2</v>
      </c>
      <c r="G2177">
        <v>2025</v>
      </c>
    </row>
    <row r="2178" spans="1:7" hidden="1" x14ac:dyDescent="0.2">
      <c r="A2178" t="s">
        <v>77</v>
      </c>
      <c r="B2178" t="s">
        <v>45</v>
      </c>
      <c r="C2178">
        <v>3</v>
      </c>
      <c r="D2178" t="s">
        <v>129</v>
      </c>
      <c r="E2178" t="s">
        <v>317</v>
      </c>
      <c r="F2178">
        <v>5.3</v>
      </c>
      <c r="G2178">
        <v>2025</v>
      </c>
    </row>
    <row r="2179" spans="1:7" hidden="1" x14ac:dyDescent="0.2">
      <c r="A2179" t="s">
        <v>77</v>
      </c>
      <c r="B2179" t="s">
        <v>45</v>
      </c>
      <c r="C2179">
        <v>3</v>
      </c>
      <c r="D2179" t="s">
        <v>131</v>
      </c>
      <c r="E2179" t="s">
        <v>532</v>
      </c>
      <c r="F2179">
        <v>7</v>
      </c>
      <c r="G2179">
        <v>2025</v>
      </c>
    </row>
    <row r="2180" spans="1:7" hidden="1" x14ac:dyDescent="0.2">
      <c r="A2180" t="s">
        <v>77</v>
      </c>
      <c r="B2180" t="s">
        <v>45</v>
      </c>
      <c r="C2180">
        <v>3</v>
      </c>
      <c r="D2180" t="s">
        <v>130</v>
      </c>
      <c r="E2180" t="s">
        <v>273</v>
      </c>
      <c r="F2180">
        <v>15</v>
      </c>
      <c r="G2180">
        <v>2025</v>
      </c>
    </row>
    <row r="2181" spans="1:7" hidden="1" x14ac:dyDescent="0.2">
      <c r="A2181" t="s">
        <v>77</v>
      </c>
      <c r="B2181" t="s">
        <v>45</v>
      </c>
      <c r="C2181">
        <v>3</v>
      </c>
      <c r="D2181" t="s">
        <v>294</v>
      </c>
      <c r="E2181" t="s">
        <v>218</v>
      </c>
      <c r="F2181">
        <v>2.2999999999999998</v>
      </c>
      <c r="G2181">
        <v>2025</v>
      </c>
    </row>
    <row r="2182" spans="1:7" hidden="1" x14ac:dyDescent="0.2">
      <c r="A2182" t="s">
        <v>521</v>
      </c>
      <c r="B2182" t="s">
        <v>29</v>
      </c>
      <c r="C2182">
        <v>3</v>
      </c>
      <c r="D2182" t="s">
        <v>125</v>
      </c>
      <c r="E2182" t="s">
        <v>150</v>
      </c>
      <c r="F2182">
        <v>13.16</v>
      </c>
      <c r="G2182">
        <v>2025</v>
      </c>
    </row>
    <row r="2183" spans="1:7" hidden="1" x14ac:dyDescent="0.2">
      <c r="A2183" t="s">
        <v>521</v>
      </c>
      <c r="B2183" t="s">
        <v>29</v>
      </c>
      <c r="C2183">
        <v>3</v>
      </c>
      <c r="D2183" t="s">
        <v>128</v>
      </c>
      <c r="E2183" t="s">
        <v>171</v>
      </c>
      <c r="F2183">
        <v>10</v>
      </c>
      <c r="G2183">
        <v>2025</v>
      </c>
    </row>
    <row r="2184" spans="1:7" hidden="1" x14ac:dyDescent="0.2">
      <c r="A2184" t="s">
        <v>521</v>
      </c>
      <c r="B2184" t="s">
        <v>29</v>
      </c>
      <c r="C2184">
        <v>3</v>
      </c>
      <c r="D2184" t="s">
        <v>128</v>
      </c>
      <c r="E2184" t="s">
        <v>280</v>
      </c>
      <c r="F2184">
        <v>13.7</v>
      </c>
      <c r="G2184">
        <v>2025</v>
      </c>
    </row>
    <row r="2185" spans="1:7" hidden="1" x14ac:dyDescent="0.2">
      <c r="A2185" t="s">
        <v>521</v>
      </c>
      <c r="B2185" t="s">
        <v>29</v>
      </c>
      <c r="C2185">
        <v>3</v>
      </c>
      <c r="D2185" t="s">
        <v>128</v>
      </c>
      <c r="E2185" t="s">
        <v>151</v>
      </c>
      <c r="F2185">
        <v>13.1</v>
      </c>
      <c r="G2185">
        <v>2025</v>
      </c>
    </row>
    <row r="2186" spans="1:7" hidden="1" x14ac:dyDescent="0.2">
      <c r="A2186" t="s">
        <v>521</v>
      </c>
      <c r="B2186" t="s">
        <v>29</v>
      </c>
      <c r="C2186">
        <v>3</v>
      </c>
      <c r="D2186" t="s">
        <v>127</v>
      </c>
      <c r="E2186" t="s">
        <v>198</v>
      </c>
      <c r="F2186">
        <v>31.3</v>
      </c>
      <c r="G2186">
        <v>2025</v>
      </c>
    </row>
    <row r="2187" spans="1:7" hidden="1" x14ac:dyDescent="0.2">
      <c r="A2187" t="s">
        <v>521</v>
      </c>
      <c r="B2187" t="s">
        <v>29</v>
      </c>
      <c r="C2187">
        <v>3</v>
      </c>
      <c r="D2187" t="s">
        <v>127</v>
      </c>
      <c r="E2187" t="s">
        <v>244</v>
      </c>
      <c r="F2187">
        <v>23.6</v>
      </c>
      <c r="G2187">
        <v>2025</v>
      </c>
    </row>
    <row r="2188" spans="1:7" hidden="1" x14ac:dyDescent="0.2">
      <c r="A2188" t="s">
        <v>521</v>
      </c>
      <c r="B2188" t="s">
        <v>29</v>
      </c>
      <c r="C2188">
        <v>3</v>
      </c>
      <c r="D2188" t="s">
        <v>129</v>
      </c>
      <c r="E2188" t="s">
        <v>209</v>
      </c>
      <c r="F2188">
        <v>15.1</v>
      </c>
      <c r="G2188">
        <v>2025</v>
      </c>
    </row>
    <row r="2189" spans="1:7" hidden="1" x14ac:dyDescent="0.2">
      <c r="A2189" t="s">
        <v>521</v>
      </c>
      <c r="B2189" t="s">
        <v>29</v>
      </c>
      <c r="C2189">
        <v>3</v>
      </c>
      <c r="D2189" t="s">
        <v>131</v>
      </c>
      <c r="E2189" t="s">
        <v>374</v>
      </c>
      <c r="F2189">
        <v>9</v>
      </c>
      <c r="G2189">
        <v>2025</v>
      </c>
    </row>
    <row r="2190" spans="1:7" hidden="1" x14ac:dyDescent="0.2">
      <c r="A2190" t="s">
        <v>521</v>
      </c>
      <c r="B2190" t="s">
        <v>29</v>
      </c>
      <c r="C2190">
        <v>3</v>
      </c>
      <c r="D2190" t="s">
        <v>130</v>
      </c>
      <c r="E2190" t="s">
        <v>405</v>
      </c>
      <c r="F2190">
        <v>5</v>
      </c>
      <c r="G2190">
        <v>2025</v>
      </c>
    </row>
    <row r="2191" spans="1:7" hidden="1" x14ac:dyDescent="0.2">
      <c r="A2191" t="s">
        <v>521</v>
      </c>
      <c r="B2191" t="s">
        <v>29</v>
      </c>
      <c r="C2191">
        <v>3</v>
      </c>
      <c r="D2191" t="s">
        <v>294</v>
      </c>
      <c r="E2191" t="s">
        <v>162</v>
      </c>
      <c r="F2191">
        <v>5.9</v>
      </c>
      <c r="G2191">
        <v>2025</v>
      </c>
    </row>
    <row r="2192" spans="1:7" hidden="1" x14ac:dyDescent="0.2">
      <c r="A2192" t="s">
        <v>18</v>
      </c>
      <c r="B2192" t="s">
        <v>20</v>
      </c>
      <c r="C2192">
        <v>3</v>
      </c>
      <c r="D2192" t="s">
        <v>125</v>
      </c>
      <c r="E2192" t="s">
        <v>258</v>
      </c>
      <c r="F2192">
        <v>14.06</v>
      </c>
      <c r="G2192">
        <v>2025</v>
      </c>
    </row>
    <row r="2193" spans="1:7" hidden="1" x14ac:dyDescent="0.2">
      <c r="A2193" t="s">
        <v>18</v>
      </c>
      <c r="B2193" t="s">
        <v>20</v>
      </c>
      <c r="C2193">
        <v>3</v>
      </c>
      <c r="D2193" t="s">
        <v>128</v>
      </c>
      <c r="E2193" t="s">
        <v>248</v>
      </c>
      <c r="F2193">
        <v>18.100000000000001</v>
      </c>
      <c r="G2193">
        <v>2025</v>
      </c>
    </row>
    <row r="2194" spans="1:7" hidden="1" x14ac:dyDescent="0.2">
      <c r="A2194" t="s">
        <v>18</v>
      </c>
      <c r="B2194" t="s">
        <v>20</v>
      </c>
      <c r="C2194">
        <v>3</v>
      </c>
      <c r="D2194" t="s">
        <v>128</v>
      </c>
      <c r="E2194" t="s">
        <v>134</v>
      </c>
      <c r="F2194">
        <v>2.2999999999999998</v>
      </c>
      <c r="G2194">
        <v>2025</v>
      </c>
    </row>
    <row r="2195" spans="1:7" hidden="1" x14ac:dyDescent="0.2">
      <c r="A2195" t="s">
        <v>18</v>
      </c>
      <c r="B2195" t="s">
        <v>20</v>
      </c>
      <c r="C2195">
        <v>3</v>
      </c>
      <c r="D2195" t="s">
        <v>128</v>
      </c>
      <c r="E2195" t="s">
        <v>303</v>
      </c>
      <c r="F2195">
        <v>7.8</v>
      </c>
      <c r="G2195">
        <v>2025</v>
      </c>
    </row>
    <row r="2196" spans="1:7" hidden="1" x14ac:dyDescent="0.2">
      <c r="A2196" t="s">
        <v>18</v>
      </c>
      <c r="B2196" t="s">
        <v>20</v>
      </c>
      <c r="C2196">
        <v>3</v>
      </c>
      <c r="D2196" t="s">
        <v>127</v>
      </c>
      <c r="E2196" t="s">
        <v>208</v>
      </c>
      <c r="F2196">
        <v>19.3</v>
      </c>
      <c r="G2196">
        <v>2025</v>
      </c>
    </row>
    <row r="2197" spans="1:7" hidden="1" x14ac:dyDescent="0.2">
      <c r="A2197" t="s">
        <v>18</v>
      </c>
      <c r="B2197" t="s">
        <v>20</v>
      </c>
      <c r="C2197">
        <v>3</v>
      </c>
      <c r="D2197" t="s">
        <v>127</v>
      </c>
      <c r="E2197" t="s">
        <v>154</v>
      </c>
      <c r="F2197">
        <v>10.199999999999999</v>
      </c>
      <c r="G2197">
        <v>2025</v>
      </c>
    </row>
    <row r="2198" spans="1:7" hidden="1" x14ac:dyDescent="0.2">
      <c r="A2198" t="s">
        <v>18</v>
      </c>
      <c r="B2198" t="s">
        <v>20</v>
      </c>
      <c r="C2198">
        <v>3</v>
      </c>
      <c r="D2198" t="s">
        <v>129</v>
      </c>
      <c r="E2198" t="s">
        <v>327</v>
      </c>
      <c r="F2198">
        <v>4.4000000000000004</v>
      </c>
      <c r="G2198">
        <v>2025</v>
      </c>
    </row>
    <row r="2199" spans="1:7" hidden="1" x14ac:dyDescent="0.2">
      <c r="A2199" t="s">
        <v>18</v>
      </c>
      <c r="B2199" t="s">
        <v>20</v>
      </c>
      <c r="C2199">
        <v>3</v>
      </c>
      <c r="D2199" t="s">
        <v>131</v>
      </c>
      <c r="E2199" t="s">
        <v>350</v>
      </c>
      <c r="F2199">
        <v>11</v>
      </c>
      <c r="G2199">
        <v>2025</v>
      </c>
    </row>
    <row r="2200" spans="1:7" hidden="1" x14ac:dyDescent="0.2">
      <c r="A2200" t="s">
        <v>18</v>
      </c>
      <c r="B2200" t="s">
        <v>20</v>
      </c>
      <c r="C2200">
        <v>3</v>
      </c>
      <c r="D2200" t="s">
        <v>130</v>
      </c>
      <c r="E2200" t="s">
        <v>307</v>
      </c>
      <c r="F2200">
        <v>3</v>
      </c>
      <c r="G2200">
        <v>2025</v>
      </c>
    </row>
    <row r="2201" spans="1:7" hidden="1" x14ac:dyDescent="0.2">
      <c r="A2201" t="s">
        <v>18</v>
      </c>
      <c r="B2201" t="s">
        <v>20</v>
      </c>
      <c r="C2201">
        <v>3</v>
      </c>
      <c r="D2201" t="s">
        <v>294</v>
      </c>
      <c r="E2201" t="s">
        <v>276</v>
      </c>
      <c r="F2201">
        <v>2</v>
      </c>
      <c r="G2201">
        <v>2025</v>
      </c>
    </row>
    <row r="2202" spans="1:7" hidden="1" x14ac:dyDescent="0.2">
      <c r="A2202" t="s">
        <v>31</v>
      </c>
      <c r="B2202" t="s">
        <v>33</v>
      </c>
      <c r="C2202">
        <v>3</v>
      </c>
      <c r="D2202" t="s">
        <v>125</v>
      </c>
      <c r="E2202" t="s">
        <v>203</v>
      </c>
      <c r="F2202">
        <v>11.12</v>
      </c>
      <c r="G2202">
        <v>2025</v>
      </c>
    </row>
    <row r="2203" spans="1:7" hidden="1" x14ac:dyDescent="0.2">
      <c r="A2203" t="s">
        <v>31</v>
      </c>
      <c r="B2203" t="s">
        <v>33</v>
      </c>
      <c r="C2203">
        <v>3</v>
      </c>
      <c r="D2203" t="s">
        <v>128</v>
      </c>
      <c r="E2203" t="s">
        <v>152</v>
      </c>
      <c r="F2203">
        <v>11.3</v>
      </c>
      <c r="G2203">
        <v>2025</v>
      </c>
    </row>
    <row r="2204" spans="1:7" hidden="1" x14ac:dyDescent="0.2">
      <c r="A2204" t="s">
        <v>31</v>
      </c>
      <c r="B2204" t="s">
        <v>33</v>
      </c>
      <c r="C2204">
        <v>3</v>
      </c>
      <c r="D2204" t="s">
        <v>128</v>
      </c>
      <c r="E2204" t="s">
        <v>219</v>
      </c>
      <c r="F2204">
        <v>10.7</v>
      </c>
      <c r="G2204">
        <v>2025</v>
      </c>
    </row>
    <row r="2205" spans="1:7" hidden="1" x14ac:dyDescent="0.2">
      <c r="A2205" t="s">
        <v>31</v>
      </c>
      <c r="B2205" t="s">
        <v>33</v>
      </c>
      <c r="C2205">
        <v>3</v>
      </c>
      <c r="D2205" t="s">
        <v>128</v>
      </c>
      <c r="E2205" t="s">
        <v>243</v>
      </c>
      <c r="F2205">
        <v>3.2</v>
      </c>
      <c r="G2205">
        <v>2025</v>
      </c>
    </row>
    <row r="2206" spans="1:7" hidden="1" x14ac:dyDescent="0.2">
      <c r="A2206" t="s">
        <v>31</v>
      </c>
      <c r="B2206" t="s">
        <v>33</v>
      </c>
      <c r="C2206">
        <v>3</v>
      </c>
      <c r="D2206" t="s">
        <v>127</v>
      </c>
      <c r="E2206" t="s">
        <v>174</v>
      </c>
      <c r="F2206">
        <v>13.6</v>
      </c>
      <c r="G2206">
        <v>2025</v>
      </c>
    </row>
    <row r="2207" spans="1:7" hidden="1" x14ac:dyDescent="0.2">
      <c r="A2207" t="s">
        <v>31</v>
      </c>
      <c r="B2207" t="s">
        <v>33</v>
      </c>
      <c r="C2207">
        <v>3</v>
      </c>
      <c r="D2207" t="s">
        <v>127</v>
      </c>
      <c r="E2207" t="s">
        <v>259</v>
      </c>
      <c r="F2207">
        <v>14.8</v>
      </c>
      <c r="G2207">
        <v>2025</v>
      </c>
    </row>
    <row r="2208" spans="1:7" hidden="1" x14ac:dyDescent="0.2">
      <c r="A2208" t="s">
        <v>31</v>
      </c>
      <c r="B2208" t="s">
        <v>33</v>
      </c>
      <c r="C2208">
        <v>3</v>
      </c>
      <c r="D2208" t="s">
        <v>129</v>
      </c>
      <c r="E2208" t="s">
        <v>530</v>
      </c>
      <c r="F2208">
        <v>5.3</v>
      </c>
      <c r="G2208">
        <v>2025</v>
      </c>
    </row>
    <row r="2209" spans="1:7" hidden="1" x14ac:dyDescent="0.2">
      <c r="A2209" t="s">
        <v>31</v>
      </c>
      <c r="B2209" t="s">
        <v>33</v>
      </c>
      <c r="C2209">
        <v>3</v>
      </c>
      <c r="D2209" t="s">
        <v>131</v>
      </c>
      <c r="E2209" t="s">
        <v>195</v>
      </c>
      <c r="F2209">
        <v>3</v>
      </c>
      <c r="G2209">
        <v>2025</v>
      </c>
    </row>
    <row r="2210" spans="1:7" hidden="1" x14ac:dyDescent="0.2">
      <c r="A2210" t="s">
        <v>31</v>
      </c>
      <c r="B2210" t="s">
        <v>33</v>
      </c>
      <c r="C2210">
        <v>3</v>
      </c>
      <c r="D2210" t="s">
        <v>130</v>
      </c>
      <c r="E2210" t="s">
        <v>326</v>
      </c>
      <c r="F2210">
        <v>9</v>
      </c>
      <c r="G2210">
        <v>2025</v>
      </c>
    </row>
    <row r="2211" spans="1:7" hidden="1" x14ac:dyDescent="0.2">
      <c r="A2211" t="s">
        <v>31</v>
      </c>
      <c r="B2211" t="s">
        <v>33</v>
      </c>
      <c r="C2211">
        <v>3</v>
      </c>
      <c r="D2211" t="s">
        <v>293</v>
      </c>
      <c r="E2211" t="s">
        <v>175</v>
      </c>
      <c r="F2211">
        <v>10.6</v>
      </c>
      <c r="G2211">
        <v>2025</v>
      </c>
    </row>
    <row r="2212" spans="1:7" hidden="1" x14ac:dyDescent="0.2">
      <c r="A2212" t="s">
        <v>26</v>
      </c>
      <c r="B2212" t="s">
        <v>28</v>
      </c>
      <c r="C2212">
        <v>3</v>
      </c>
      <c r="D2212" t="s">
        <v>125</v>
      </c>
      <c r="E2212" t="s">
        <v>541</v>
      </c>
      <c r="F2212">
        <v>11.66</v>
      </c>
      <c r="G2212">
        <v>2025</v>
      </c>
    </row>
    <row r="2213" spans="1:7" hidden="1" x14ac:dyDescent="0.2">
      <c r="A2213" t="s">
        <v>26</v>
      </c>
      <c r="B2213" t="s">
        <v>28</v>
      </c>
      <c r="C2213">
        <v>3</v>
      </c>
      <c r="D2213" t="s">
        <v>128</v>
      </c>
      <c r="E2213" t="s">
        <v>179</v>
      </c>
      <c r="F2213">
        <v>17.3</v>
      </c>
      <c r="G2213">
        <v>2025</v>
      </c>
    </row>
    <row r="2214" spans="1:7" hidden="1" x14ac:dyDescent="0.2">
      <c r="A2214" t="s">
        <v>26</v>
      </c>
      <c r="B2214" t="s">
        <v>28</v>
      </c>
      <c r="C2214">
        <v>3</v>
      </c>
      <c r="D2214" t="s">
        <v>128</v>
      </c>
      <c r="E2214" t="s">
        <v>288</v>
      </c>
      <c r="F2214">
        <v>20.8</v>
      </c>
      <c r="G2214">
        <v>2025</v>
      </c>
    </row>
    <row r="2215" spans="1:7" hidden="1" x14ac:dyDescent="0.2">
      <c r="A2215" t="s">
        <v>26</v>
      </c>
      <c r="B2215" t="s">
        <v>28</v>
      </c>
      <c r="C2215">
        <v>3</v>
      </c>
      <c r="D2215" t="s">
        <v>128</v>
      </c>
      <c r="E2215" t="s">
        <v>384</v>
      </c>
      <c r="F2215">
        <v>14.8</v>
      </c>
      <c r="G2215">
        <v>2025</v>
      </c>
    </row>
    <row r="2216" spans="1:7" hidden="1" x14ac:dyDescent="0.2">
      <c r="A2216" t="s">
        <v>26</v>
      </c>
      <c r="B2216" t="s">
        <v>28</v>
      </c>
      <c r="C2216">
        <v>3</v>
      </c>
      <c r="D2216" t="s">
        <v>127</v>
      </c>
      <c r="E2216" t="s">
        <v>519</v>
      </c>
      <c r="F2216">
        <v>6.3</v>
      </c>
      <c r="G2216">
        <v>2025</v>
      </c>
    </row>
    <row r="2217" spans="1:7" hidden="1" x14ac:dyDescent="0.2">
      <c r="A2217" t="s">
        <v>26</v>
      </c>
      <c r="B2217" t="s">
        <v>28</v>
      </c>
      <c r="C2217">
        <v>3</v>
      </c>
      <c r="D2217" t="s">
        <v>127</v>
      </c>
      <c r="E2217" t="s">
        <v>149</v>
      </c>
      <c r="F2217">
        <v>5.2</v>
      </c>
      <c r="G2217">
        <v>2025</v>
      </c>
    </row>
    <row r="2218" spans="1:7" hidden="1" x14ac:dyDescent="0.2">
      <c r="A2218" t="s">
        <v>26</v>
      </c>
      <c r="B2218" t="s">
        <v>28</v>
      </c>
      <c r="C2218">
        <v>3</v>
      </c>
      <c r="D2218" t="s">
        <v>129</v>
      </c>
      <c r="E2218" t="s">
        <v>542</v>
      </c>
      <c r="F2218">
        <v>4</v>
      </c>
      <c r="G2218">
        <v>2025</v>
      </c>
    </row>
    <row r="2219" spans="1:7" hidden="1" x14ac:dyDescent="0.2">
      <c r="A2219" t="s">
        <v>26</v>
      </c>
      <c r="B2219" t="s">
        <v>28</v>
      </c>
      <c r="C2219">
        <v>3</v>
      </c>
      <c r="D2219" t="s">
        <v>131</v>
      </c>
      <c r="E2219" t="s">
        <v>520</v>
      </c>
      <c r="F2219">
        <v>8</v>
      </c>
      <c r="G2219">
        <v>2025</v>
      </c>
    </row>
    <row r="2220" spans="1:7" x14ac:dyDescent="0.2">
      <c r="A2220" t="s">
        <v>26</v>
      </c>
      <c r="B2220" t="s">
        <v>28</v>
      </c>
      <c r="C2220">
        <v>3</v>
      </c>
      <c r="D2220" t="s">
        <v>130</v>
      </c>
      <c r="E2220" t="s">
        <v>215</v>
      </c>
      <c r="F2220">
        <v>6</v>
      </c>
      <c r="G2220">
        <v>2025</v>
      </c>
    </row>
    <row r="2221" spans="1:7" hidden="1" x14ac:dyDescent="0.2">
      <c r="A2221" t="s">
        <v>26</v>
      </c>
      <c r="B2221" t="s">
        <v>28</v>
      </c>
      <c r="C2221">
        <v>3</v>
      </c>
      <c r="D2221" t="s">
        <v>294</v>
      </c>
      <c r="E2221" t="s">
        <v>153</v>
      </c>
      <c r="F2221">
        <v>12.5</v>
      </c>
      <c r="G2221">
        <v>2025</v>
      </c>
    </row>
    <row r="2222" spans="1:7" hidden="1" x14ac:dyDescent="0.2">
      <c r="A2222" t="s">
        <v>526</v>
      </c>
      <c r="B2222" t="s">
        <v>32</v>
      </c>
      <c r="C2222">
        <v>3</v>
      </c>
      <c r="D2222" t="s">
        <v>125</v>
      </c>
      <c r="E2222" t="s">
        <v>185</v>
      </c>
      <c r="F2222">
        <v>29.12</v>
      </c>
      <c r="G2222">
        <v>2025</v>
      </c>
    </row>
    <row r="2223" spans="1:7" hidden="1" x14ac:dyDescent="0.2">
      <c r="A2223" t="s">
        <v>526</v>
      </c>
      <c r="B2223" t="s">
        <v>32</v>
      </c>
      <c r="C2223">
        <v>3</v>
      </c>
      <c r="D2223" t="s">
        <v>128</v>
      </c>
      <c r="E2223" t="s">
        <v>224</v>
      </c>
      <c r="F2223">
        <v>19.399999999999999</v>
      </c>
      <c r="G2223">
        <v>2025</v>
      </c>
    </row>
    <row r="2224" spans="1:7" hidden="1" x14ac:dyDescent="0.2">
      <c r="A2224" t="s">
        <v>526</v>
      </c>
      <c r="B2224" t="s">
        <v>32</v>
      </c>
      <c r="C2224">
        <v>3</v>
      </c>
      <c r="D2224" t="s">
        <v>128</v>
      </c>
      <c r="E2224" t="s">
        <v>133</v>
      </c>
      <c r="F2224">
        <v>13.4</v>
      </c>
      <c r="G2224">
        <v>2025</v>
      </c>
    </row>
    <row r="2225" spans="1:7" hidden="1" x14ac:dyDescent="0.2">
      <c r="A2225" t="s">
        <v>526</v>
      </c>
      <c r="B2225" t="s">
        <v>32</v>
      </c>
      <c r="C2225">
        <v>3</v>
      </c>
      <c r="D2225" t="s">
        <v>128</v>
      </c>
      <c r="E2225" t="s">
        <v>186</v>
      </c>
      <c r="F2225">
        <v>6.1</v>
      </c>
      <c r="G2225">
        <v>2025</v>
      </c>
    </row>
    <row r="2226" spans="1:7" hidden="1" x14ac:dyDescent="0.2">
      <c r="A2226" t="s">
        <v>526</v>
      </c>
      <c r="B2226" t="s">
        <v>32</v>
      </c>
      <c r="C2226">
        <v>3</v>
      </c>
      <c r="D2226" t="s">
        <v>127</v>
      </c>
      <c r="E2226" t="s">
        <v>148</v>
      </c>
      <c r="F2226">
        <v>12.6</v>
      </c>
      <c r="G2226">
        <v>2025</v>
      </c>
    </row>
    <row r="2227" spans="1:7" hidden="1" x14ac:dyDescent="0.2">
      <c r="A2227" t="s">
        <v>526</v>
      </c>
      <c r="B2227" t="s">
        <v>32</v>
      </c>
      <c r="C2227">
        <v>3</v>
      </c>
      <c r="D2227" t="s">
        <v>127</v>
      </c>
      <c r="E2227" t="s">
        <v>225</v>
      </c>
      <c r="F2227">
        <v>17.5</v>
      </c>
      <c r="G2227">
        <v>2025</v>
      </c>
    </row>
    <row r="2228" spans="1:7" hidden="1" x14ac:dyDescent="0.2">
      <c r="A2228" t="s">
        <v>526</v>
      </c>
      <c r="B2228" t="s">
        <v>32</v>
      </c>
      <c r="C2228">
        <v>3</v>
      </c>
      <c r="D2228" t="s">
        <v>129</v>
      </c>
      <c r="E2228" t="s">
        <v>170</v>
      </c>
      <c r="F2228">
        <v>6.5</v>
      </c>
      <c r="G2228">
        <v>2025</v>
      </c>
    </row>
    <row r="2229" spans="1:7" hidden="1" x14ac:dyDescent="0.2">
      <c r="A2229" t="s">
        <v>526</v>
      </c>
      <c r="B2229" t="s">
        <v>32</v>
      </c>
      <c r="C2229">
        <v>3</v>
      </c>
      <c r="D2229" t="s">
        <v>131</v>
      </c>
      <c r="E2229" t="s">
        <v>339</v>
      </c>
      <c r="F2229">
        <v>19</v>
      </c>
      <c r="G2229">
        <v>2025</v>
      </c>
    </row>
    <row r="2230" spans="1:7" hidden="1" x14ac:dyDescent="0.2">
      <c r="A2230" t="s">
        <v>526</v>
      </c>
      <c r="B2230" t="s">
        <v>32</v>
      </c>
      <c r="C2230">
        <v>3</v>
      </c>
      <c r="D2230" t="s">
        <v>130</v>
      </c>
      <c r="E2230" t="s">
        <v>385</v>
      </c>
      <c r="F2230">
        <v>10</v>
      </c>
      <c r="G2230">
        <v>2025</v>
      </c>
    </row>
    <row r="2231" spans="1:7" hidden="1" x14ac:dyDescent="0.2">
      <c r="A2231" t="s">
        <v>526</v>
      </c>
      <c r="B2231" t="s">
        <v>32</v>
      </c>
      <c r="C2231">
        <v>3</v>
      </c>
      <c r="D2231" t="s">
        <v>293</v>
      </c>
      <c r="E2231" t="s">
        <v>226</v>
      </c>
      <c r="F2231">
        <v>7.2</v>
      </c>
      <c r="G2231">
        <v>2025</v>
      </c>
    </row>
    <row r="2232" spans="1:7" hidden="1" x14ac:dyDescent="0.2">
      <c r="A2232" t="s">
        <v>46</v>
      </c>
      <c r="B2232" t="s">
        <v>47</v>
      </c>
      <c r="C2232">
        <v>3</v>
      </c>
      <c r="D2232" t="s">
        <v>125</v>
      </c>
      <c r="E2232" t="s">
        <v>126</v>
      </c>
      <c r="F2232">
        <v>7.78</v>
      </c>
      <c r="G2232">
        <v>2025</v>
      </c>
    </row>
    <row r="2233" spans="1:7" hidden="1" x14ac:dyDescent="0.2">
      <c r="A2233" t="s">
        <v>46</v>
      </c>
      <c r="B2233" t="s">
        <v>47</v>
      </c>
      <c r="C2233">
        <v>3</v>
      </c>
      <c r="D2233" t="s">
        <v>128</v>
      </c>
      <c r="E2233" t="s">
        <v>178</v>
      </c>
      <c r="F2233">
        <v>12.4</v>
      </c>
      <c r="G2233">
        <v>2025</v>
      </c>
    </row>
    <row r="2234" spans="1:7" hidden="1" x14ac:dyDescent="0.2">
      <c r="A2234" t="s">
        <v>46</v>
      </c>
      <c r="B2234" t="s">
        <v>47</v>
      </c>
      <c r="C2234">
        <v>3</v>
      </c>
      <c r="D2234" t="s">
        <v>128</v>
      </c>
      <c r="E2234" t="s">
        <v>172</v>
      </c>
      <c r="F2234">
        <v>10.8</v>
      </c>
      <c r="G2234">
        <v>2025</v>
      </c>
    </row>
    <row r="2235" spans="1:7" hidden="1" x14ac:dyDescent="0.2">
      <c r="A2235" t="s">
        <v>46</v>
      </c>
      <c r="B2235" t="s">
        <v>47</v>
      </c>
      <c r="C2235">
        <v>3</v>
      </c>
      <c r="D2235" t="s">
        <v>128</v>
      </c>
      <c r="E2235" t="s">
        <v>200</v>
      </c>
      <c r="F2235">
        <v>4</v>
      </c>
      <c r="G2235">
        <v>2025</v>
      </c>
    </row>
    <row r="2236" spans="1:7" hidden="1" x14ac:dyDescent="0.2">
      <c r="A2236" t="s">
        <v>46</v>
      </c>
      <c r="B2236" t="s">
        <v>47</v>
      </c>
      <c r="C2236">
        <v>3</v>
      </c>
      <c r="D2236" t="s">
        <v>127</v>
      </c>
      <c r="E2236" t="s">
        <v>372</v>
      </c>
      <c r="F2236">
        <v>19</v>
      </c>
      <c r="G2236">
        <v>2025</v>
      </c>
    </row>
    <row r="2237" spans="1:7" hidden="1" x14ac:dyDescent="0.2">
      <c r="A2237" t="s">
        <v>46</v>
      </c>
      <c r="B2237" t="s">
        <v>47</v>
      </c>
      <c r="C2237">
        <v>3</v>
      </c>
      <c r="D2237" t="s">
        <v>127</v>
      </c>
      <c r="E2237" t="s">
        <v>255</v>
      </c>
      <c r="F2237">
        <v>11.9</v>
      </c>
      <c r="G2237">
        <v>2025</v>
      </c>
    </row>
    <row r="2238" spans="1:7" hidden="1" x14ac:dyDescent="0.2">
      <c r="A2238" t="s">
        <v>46</v>
      </c>
      <c r="B2238" t="s">
        <v>47</v>
      </c>
      <c r="C2238">
        <v>3</v>
      </c>
      <c r="D2238" t="s">
        <v>129</v>
      </c>
      <c r="E2238" t="s">
        <v>182</v>
      </c>
      <c r="F2238">
        <v>7.8</v>
      </c>
      <c r="G2238">
        <v>2025</v>
      </c>
    </row>
    <row r="2239" spans="1:7" hidden="1" x14ac:dyDescent="0.2">
      <c r="A2239" t="s">
        <v>46</v>
      </c>
      <c r="B2239" t="s">
        <v>47</v>
      </c>
      <c r="C2239">
        <v>3</v>
      </c>
      <c r="D2239" t="s">
        <v>131</v>
      </c>
      <c r="E2239" t="s">
        <v>242</v>
      </c>
      <c r="F2239">
        <v>3</v>
      </c>
      <c r="G2239">
        <v>2025</v>
      </c>
    </row>
    <row r="2240" spans="1:7" hidden="1" x14ac:dyDescent="0.2">
      <c r="A2240" t="s">
        <v>46</v>
      </c>
      <c r="B2240" t="s">
        <v>47</v>
      </c>
      <c r="C2240">
        <v>3</v>
      </c>
      <c r="D2240" t="s">
        <v>130</v>
      </c>
      <c r="E2240" t="s">
        <v>193</v>
      </c>
      <c r="F2240">
        <v>6</v>
      </c>
      <c r="G2240">
        <v>2025</v>
      </c>
    </row>
    <row r="2241" spans="1:7" hidden="1" x14ac:dyDescent="0.2">
      <c r="A2241" t="s">
        <v>46</v>
      </c>
      <c r="B2241" t="s">
        <v>47</v>
      </c>
      <c r="C2241">
        <v>3</v>
      </c>
      <c r="D2241" t="s">
        <v>293</v>
      </c>
      <c r="E2241" t="s">
        <v>278</v>
      </c>
      <c r="F2241">
        <v>9.3000000000000007</v>
      </c>
      <c r="G2241">
        <v>2025</v>
      </c>
    </row>
    <row r="2242" spans="1:7" hidden="1" x14ac:dyDescent="0.2">
      <c r="A2242" t="s">
        <v>14</v>
      </c>
      <c r="B2242" t="s">
        <v>16</v>
      </c>
      <c r="C2242">
        <v>4</v>
      </c>
      <c r="D2242" t="s">
        <v>125</v>
      </c>
      <c r="E2242" t="s">
        <v>202</v>
      </c>
      <c r="F2242">
        <v>10.68</v>
      </c>
      <c r="G2242">
        <v>2025</v>
      </c>
    </row>
    <row r="2243" spans="1:7" hidden="1" x14ac:dyDescent="0.2">
      <c r="A2243" t="s">
        <v>14</v>
      </c>
      <c r="B2243" t="s">
        <v>16</v>
      </c>
      <c r="C2243">
        <v>4</v>
      </c>
      <c r="D2243" t="s">
        <v>128</v>
      </c>
      <c r="E2243" t="s">
        <v>254</v>
      </c>
      <c r="F2243">
        <v>12.6</v>
      </c>
      <c r="G2243">
        <v>2025</v>
      </c>
    </row>
    <row r="2244" spans="1:7" hidden="1" x14ac:dyDescent="0.2">
      <c r="A2244" t="s">
        <v>14</v>
      </c>
      <c r="B2244" t="s">
        <v>16</v>
      </c>
      <c r="C2244">
        <v>4</v>
      </c>
      <c r="D2244" t="s">
        <v>128</v>
      </c>
      <c r="E2244" t="s">
        <v>363</v>
      </c>
      <c r="F2244">
        <v>6.6</v>
      </c>
      <c r="G2244">
        <v>2025</v>
      </c>
    </row>
    <row r="2245" spans="1:7" hidden="1" x14ac:dyDescent="0.2">
      <c r="A2245" t="s">
        <v>14</v>
      </c>
      <c r="B2245" t="s">
        <v>16</v>
      </c>
      <c r="C2245">
        <v>4</v>
      </c>
      <c r="D2245" t="s">
        <v>128</v>
      </c>
      <c r="E2245" t="s">
        <v>283</v>
      </c>
      <c r="F2245">
        <v>6.3</v>
      </c>
      <c r="G2245">
        <v>2025</v>
      </c>
    </row>
    <row r="2246" spans="1:7" hidden="1" x14ac:dyDescent="0.2">
      <c r="A2246" t="s">
        <v>14</v>
      </c>
      <c r="B2246" t="s">
        <v>16</v>
      </c>
      <c r="C2246">
        <v>4</v>
      </c>
      <c r="D2246" t="s">
        <v>127</v>
      </c>
      <c r="E2246" t="s">
        <v>189</v>
      </c>
      <c r="F2246">
        <v>19</v>
      </c>
      <c r="G2246">
        <v>2025</v>
      </c>
    </row>
    <row r="2247" spans="1:7" hidden="1" x14ac:dyDescent="0.2">
      <c r="A2247" t="s">
        <v>14</v>
      </c>
      <c r="B2247" t="s">
        <v>16</v>
      </c>
      <c r="C2247">
        <v>4</v>
      </c>
      <c r="D2247" t="s">
        <v>127</v>
      </c>
      <c r="E2247" t="s">
        <v>343</v>
      </c>
      <c r="F2247">
        <v>9.1</v>
      </c>
      <c r="G2247">
        <v>2025</v>
      </c>
    </row>
    <row r="2248" spans="1:7" hidden="1" x14ac:dyDescent="0.2">
      <c r="A2248" t="s">
        <v>14</v>
      </c>
      <c r="B2248" t="s">
        <v>16</v>
      </c>
      <c r="C2248">
        <v>4</v>
      </c>
      <c r="D2248" t="s">
        <v>129</v>
      </c>
      <c r="E2248" t="s">
        <v>299</v>
      </c>
      <c r="F2248">
        <v>13.5</v>
      </c>
      <c r="G2248">
        <v>2025</v>
      </c>
    </row>
    <row r="2249" spans="1:7" hidden="1" x14ac:dyDescent="0.2">
      <c r="A2249" t="s">
        <v>14</v>
      </c>
      <c r="B2249" t="s">
        <v>16</v>
      </c>
      <c r="C2249">
        <v>4</v>
      </c>
      <c r="D2249" t="s">
        <v>131</v>
      </c>
      <c r="E2249" t="s">
        <v>210</v>
      </c>
      <c r="F2249">
        <v>7</v>
      </c>
      <c r="G2249">
        <v>2025</v>
      </c>
    </row>
    <row r="2250" spans="1:7" hidden="1" x14ac:dyDescent="0.2">
      <c r="A2250" t="s">
        <v>14</v>
      </c>
      <c r="B2250" t="s">
        <v>16</v>
      </c>
      <c r="C2250">
        <v>4</v>
      </c>
      <c r="D2250" t="s">
        <v>130</v>
      </c>
      <c r="E2250" t="s">
        <v>323</v>
      </c>
      <c r="F2250">
        <v>13</v>
      </c>
      <c r="G2250">
        <v>2025</v>
      </c>
    </row>
    <row r="2251" spans="1:7" hidden="1" x14ac:dyDescent="0.2">
      <c r="A2251" t="s">
        <v>14</v>
      </c>
      <c r="B2251" t="s">
        <v>16</v>
      </c>
      <c r="C2251">
        <v>4</v>
      </c>
      <c r="D2251" t="s">
        <v>293</v>
      </c>
      <c r="E2251" t="s">
        <v>306</v>
      </c>
      <c r="F2251">
        <v>8.4</v>
      </c>
      <c r="G2251">
        <v>2025</v>
      </c>
    </row>
    <row r="2252" spans="1:7" hidden="1" x14ac:dyDescent="0.2">
      <c r="A2252" t="s">
        <v>77</v>
      </c>
      <c r="B2252" t="s">
        <v>45</v>
      </c>
      <c r="C2252">
        <v>4</v>
      </c>
      <c r="D2252" t="s">
        <v>125</v>
      </c>
      <c r="E2252" t="s">
        <v>247</v>
      </c>
      <c r="F2252">
        <v>9.7799999999999994</v>
      </c>
      <c r="G2252">
        <v>2025</v>
      </c>
    </row>
    <row r="2253" spans="1:7" hidden="1" x14ac:dyDescent="0.2">
      <c r="A2253" t="s">
        <v>77</v>
      </c>
      <c r="B2253" t="s">
        <v>45</v>
      </c>
      <c r="C2253">
        <v>4</v>
      </c>
      <c r="D2253" t="s">
        <v>128</v>
      </c>
      <c r="E2253" t="s">
        <v>187</v>
      </c>
      <c r="F2253">
        <v>22.5</v>
      </c>
      <c r="G2253">
        <v>2025</v>
      </c>
    </row>
    <row r="2254" spans="1:7" hidden="1" x14ac:dyDescent="0.2">
      <c r="A2254" t="s">
        <v>77</v>
      </c>
      <c r="B2254" t="s">
        <v>45</v>
      </c>
      <c r="C2254">
        <v>4</v>
      </c>
      <c r="D2254" t="s">
        <v>128</v>
      </c>
      <c r="E2254" t="s">
        <v>220</v>
      </c>
      <c r="F2254">
        <v>26.8</v>
      </c>
      <c r="G2254">
        <v>2025</v>
      </c>
    </row>
    <row r="2255" spans="1:7" hidden="1" x14ac:dyDescent="0.2">
      <c r="A2255" t="s">
        <v>77</v>
      </c>
      <c r="B2255" t="s">
        <v>45</v>
      </c>
      <c r="C2255">
        <v>4</v>
      </c>
      <c r="D2255" t="s">
        <v>128</v>
      </c>
      <c r="E2255" t="s">
        <v>231</v>
      </c>
      <c r="F2255">
        <v>4.8</v>
      </c>
      <c r="G2255">
        <v>2025</v>
      </c>
    </row>
    <row r="2256" spans="1:7" hidden="1" x14ac:dyDescent="0.2">
      <c r="A2256" t="s">
        <v>77</v>
      </c>
      <c r="B2256" t="s">
        <v>45</v>
      </c>
      <c r="C2256">
        <v>4</v>
      </c>
      <c r="D2256" t="s">
        <v>127</v>
      </c>
      <c r="E2256" t="s">
        <v>136</v>
      </c>
      <c r="F2256">
        <v>17.5</v>
      </c>
      <c r="G2256">
        <v>2025</v>
      </c>
    </row>
    <row r="2257" spans="1:7" hidden="1" x14ac:dyDescent="0.2">
      <c r="A2257" t="s">
        <v>77</v>
      </c>
      <c r="B2257" t="s">
        <v>45</v>
      </c>
      <c r="C2257">
        <v>4</v>
      </c>
      <c r="D2257" t="s">
        <v>127</v>
      </c>
      <c r="E2257" t="s">
        <v>543</v>
      </c>
      <c r="F2257">
        <v>7.9</v>
      </c>
      <c r="G2257">
        <v>2025</v>
      </c>
    </row>
    <row r="2258" spans="1:7" hidden="1" x14ac:dyDescent="0.2">
      <c r="A2258" t="s">
        <v>77</v>
      </c>
      <c r="B2258" t="s">
        <v>45</v>
      </c>
      <c r="C2258">
        <v>4</v>
      </c>
      <c r="D2258" t="s">
        <v>129</v>
      </c>
      <c r="E2258" t="s">
        <v>165</v>
      </c>
      <c r="F2258">
        <v>10.9</v>
      </c>
      <c r="G2258">
        <v>2025</v>
      </c>
    </row>
    <row r="2259" spans="1:7" hidden="1" x14ac:dyDescent="0.2">
      <c r="A2259" t="s">
        <v>77</v>
      </c>
      <c r="B2259" t="s">
        <v>45</v>
      </c>
      <c r="C2259">
        <v>4</v>
      </c>
      <c r="D2259" t="s">
        <v>131</v>
      </c>
      <c r="E2259" t="s">
        <v>532</v>
      </c>
      <c r="F2259">
        <v>7</v>
      </c>
      <c r="G2259">
        <v>2025</v>
      </c>
    </row>
    <row r="2260" spans="1:7" hidden="1" x14ac:dyDescent="0.2">
      <c r="A2260" t="s">
        <v>77</v>
      </c>
      <c r="B2260" t="s">
        <v>45</v>
      </c>
      <c r="C2260">
        <v>4</v>
      </c>
      <c r="D2260" t="s">
        <v>130</v>
      </c>
      <c r="E2260" t="s">
        <v>273</v>
      </c>
      <c r="F2260">
        <v>4</v>
      </c>
      <c r="G2260">
        <v>2025</v>
      </c>
    </row>
    <row r="2261" spans="1:7" hidden="1" x14ac:dyDescent="0.2">
      <c r="A2261" t="s">
        <v>77</v>
      </c>
      <c r="B2261" t="s">
        <v>45</v>
      </c>
      <c r="C2261">
        <v>4</v>
      </c>
      <c r="D2261" t="s">
        <v>294</v>
      </c>
      <c r="E2261" t="s">
        <v>218</v>
      </c>
      <c r="F2261">
        <v>3</v>
      </c>
      <c r="G2261">
        <v>2025</v>
      </c>
    </row>
    <row r="2262" spans="1:7" hidden="1" x14ac:dyDescent="0.2">
      <c r="A2262" t="s">
        <v>42</v>
      </c>
      <c r="B2262" t="s">
        <v>17</v>
      </c>
      <c r="C2262">
        <v>4</v>
      </c>
      <c r="D2262" t="s">
        <v>125</v>
      </c>
      <c r="E2262" t="s">
        <v>176</v>
      </c>
      <c r="F2262">
        <v>17.66</v>
      </c>
      <c r="G2262">
        <v>2025</v>
      </c>
    </row>
    <row r="2263" spans="1:7" hidden="1" x14ac:dyDescent="0.2">
      <c r="A2263" t="s">
        <v>42</v>
      </c>
      <c r="B2263" t="s">
        <v>17</v>
      </c>
      <c r="C2263">
        <v>4</v>
      </c>
      <c r="D2263" t="s">
        <v>128</v>
      </c>
      <c r="E2263" t="s">
        <v>232</v>
      </c>
      <c r="F2263">
        <v>9.9</v>
      </c>
      <c r="G2263">
        <v>2025</v>
      </c>
    </row>
    <row r="2264" spans="1:7" hidden="1" x14ac:dyDescent="0.2">
      <c r="A2264" t="s">
        <v>42</v>
      </c>
      <c r="B2264" t="s">
        <v>17</v>
      </c>
      <c r="C2264">
        <v>4</v>
      </c>
      <c r="D2264" t="s">
        <v>128</v>
      </c>
      <c r="E2264" t="s">
        <v>146</v>
      </c>
      <c r="F2264">
        <v>17.100000000000001</v>
      </c>
      <c r="G2264">
        <v>2025</v>
      </c>
    </row>
    <row r="2265" spans="1:7" hidden="1" x14ac:dyDescent="0.2">
      <c r="A2265" t="s">
        <v>42</v>
      </c>
      <c r="B2265" t="s">
        <v>17</v>
      </c>
      <c r="C2265">
        <v>4</v>
      </c>
      <c r="D2265" t="s">
        <v>128</v>
      </c>
      <c r="E2265" t="s">
        <v>522</v>
      </c>
      <c r="F2265">
        <v>8.1999999999999993</v>
      </c>
      <c r="G2265">
        <v>2025</v>
      </c>
    </row>
    <row r="2266" spans="1:7" hidden="1" x14ac:dyDescent="0.2">
      <c r="A2266" t="s">
        <v>42</v>
      </c>
      <c r="B2266" t="s">
        <v>17</v>
      </c>
      <c r="C2266">
        <v>4</v>
      </c>
      <c r="D2266" t="s">
        <v>127</v>
      </c>
      <c r="E2266" t="s">
        <v>180</v>
      </c>
      <c r="F2266">
        <v>29.7</v>
      </c>
      <c r="G2266">
        <v>2025</v>
      </c>
    </row>
    <row r="2267" spans="1:7" hidden="1" x14ac:dyDescent="0.2">
      <c r="A2267" t="s">
        <v>42</v>
      </c>
      <c r="B2267" t="s">
        <v>17</v>
      </c>
      <c r="C2267">
        <v>4</v>
      </c>
      <c r="D2267" t="s">
        <v>127</v>
      </c>
      <c r="E2267" t="s">
        <v>197</v>
      </c>
      <c r="F2267">
        <v>9.1999999999999993</v>
      </c>
      <c r="G2267">
        <v>2025</v>
      </c>
    </row>
    <row r="2268" spans="1:7" hidden="1" x14ac:dyDescent="0.2">
      <c r="A2268" t="s">
        <v>42</v>
      </c>
      <c r="B2268" t="s">
        <v>17</v>
      </c>
      <c r="C2268">
        <v>4</v>
      </c>
      <c r="D2268" t="s">
        <v>129</v>
      </c>
      <c r="E2268" t="s">
        <v>536</v>
      </c>
      <c r="F2268">
        <v>4.3</v>
      </c>
      <c r="G2268">
        <v>2025</v>
      </c>
    </row>
    <row r="2269" spans="1:7" hidden="1" x14ac:dyDescent="0.2">
      <c r="A2269" t="s">
        <v>42</v>
      </c>
      <c r="B2269" t="s">
        <v>17</v>
      </c>
      <c r="C2269">
        <v>4</v>
      </c>
      <c r="D2269" t="s">
        <v>131</v>
      </c>
      <c r="E2269" t="s">
        <v>523</v>
      </c>
      <c r="F2269">
        <v>9</v>
      </c>
      <c r="G2269">
        <v>2025</v>
      </c>
    </row>
    <row r="2270" spans="1:7" hidden="1" x14ac:dyDescent="0.2">
      <c r="A2270" t="s">
        <v>42</v>
      </c>
      <c r="B2270" t="s">
        <v>17</v>
      </c>
      <c r="C2270">
        <v>4</v>
      </c>
      <c r="D2270" t="s">
        <v>130</v>
      </c>
      <c r="E2270" t="s">
        <v>354</v>
      </c>
      <c r="F2270">
        <v>13</v>
      </c>
      <c r="G2270">
        <v>2025</v>
      </c>
    </row>
    <row r="2271" spans="1:7" hidden="1" x14ac:dyDescent="0.2">
      <c r="A2271" t="s">
        <v>42</v>
      </c>
      <c r="B2271" t="s">
        <v>17</v>
      </c>
      <c r="C2271">
        <v>4</v>
      </c>
      <c r="D2271" t="s">
        <v>294</v>
      </c>
      <c r="E2271" t="s">
        <v>277</v>
      </c>
      <c r="F2271">
        <v>8.1</v>
      </c>
      <c r="G2271">
        <v>2025</v>
      </c>
    </row>
    <row r="2272" spans="1:7" hidden="1" x14ac:dyDescent="0.2">
      <c r="A2272" t="s">
        <v>26</v>
      </c>
      <c r="B2272" t="s">
        <v>28</v>
      </c>
      <c r="C2272">
        <v>4</v>
      </c>
      <c r="D2272" t="s">
        <v>125</v>
      </c>
      <c r="E2272" t="s">
        <v>544</v>
      </c>
      <c r="F2272">
        <v>19.84</v>
      </c>
      <c r="G2272">
        <v>2025</v>
      </c>
    </row>
    <row r="2273" spans="1:7" hidden="1" x14ac:dyDescent="0.2">
      <c r="A2273" t="s">
        <v>26</v>
      </c>
      <c r="B2273" t="s">
        <v>28</v>
      </c>
      <c r="C2273">
        <v>4</v>
      </c>
      <c r="D2273" t="s">
        <v>128</v>
      </c>
      <c r="E2273" t="s">
        <v>179</v>
      </c>
      <c r="F2273">
        <v>29.5</v>
      </c>
      <c r="G2273">
        <v>2025</v>
      </c>
    </row>
    <row r="2274" spans="1:7" hidden="1" x14ac:dyDescent="0.2">
      <c r="A2274" t="s">
        <v>26</v>
      </c>
      <c r="B2274" t="s">
        <v>28</v>
      </c>
      <c r="C2274">
        <v>4</v>
      </c>
      <c r="D2274" t="s">
        <v>128</v>
      </c>
      <c r="E2274" t="s">
        <v>288</v>
      </c>
      <c r="F2274">
        <v>16.600000000000001</v>
      </c>
      <c r="G2274">
        <v>2025</v>
      </c>
    </row>
    <row r="2275" spans="1:7" hidden="1" x14ac:dyDescent="0.2">
      <c r="A2275" t="s">
        <v>26</v>
      </c>
      <c r="B2275" t="s">
        <v>28</v>
      </c>
      <c r="C2275">
        <v>4</v>
      </c>
      <c r="D2275" t="s">
        <v>128</v>
      </c>
      <c r="E2275" t="s">
        <v>153</v>
      </c>
      <c r="F2275">
        <v>15.4</v>
      </c>
      <c r="G2275">
        <v>2025</v>
      </c>
    </row>
    <row r="2276" spans="1:7" hidden="1" x14ac:dyDescent="0.2">
      <c r="A2276" t="s">
        <v>26</v>
      </c>
      <c r="B2276" t="s">
        <v>28</v>
      </c>
      <c r="C2276">
        <v>4</v>
      </c>
      <c r="D2276" t="s">
        <v>127</v>
      </c>
      <c r="E2276" t="s">
        <v>519</v>
      </c>
      <c r="F2276">
        <v>32.5</v>
      </c>
      <c r="G2276">
        <v>2025</v>
      </c>
    </row>
    <row r="2277" spans="1:7" hidden="1" x14ac:dyDescent="0.2">
      <c r="A2277" t="s">
        <v>26</v>
      </c>
      <c r="B2277" t="s">
        <v>28</v>
      </c>
      <c r="C2277">
        <v>4</v>
      </c>
      <c r="D2277" t="s">
        <v>127</v>
      </c>
      <c r="E2277" t="s">
        <v>545</v>
      </c>
      <c r="F2277">
        <v>19.5</v>
      </c>
      <c r="G2277">
        <v>2025</v>
      </c>
    </row>
    <row r="2278" spans="1:7" hidden="1" x14ac:dyDescent="0.2">
      <c r="A2278" t="s">
        <v>26</v>
      </c>
      <c r="B2278" t="s">
        <v>28</v>
      </c>
      <c r="C2278">
        <v>4</v>
      </c>
      <c r="D2278" t="s">
        <v>129</v>
      </c>
      <c r="E2278" t="s">
        <v>376</v>
      </c>
      <c r="F2278">
        <v>5.9</v>
      </c>
      <c r="G2278">
        <v>2025</v>
      </c>
    </row>
    <row r="2279" spans="1:7" hidden="1" x14ac:dyDescent="0.2">
      <c r="A2279" t="s">
        <v>26</v>
      </c>
      <c r="B2279" t="s">
        <v>28</v>
      </c>
      <c r="C2279">
        <v>4</v>
      </c>
      <c r="D2279" t="s">
        <v>131</v>
      </c>
      <c r="E2279" t="s">
        <v>520</v>
      </c>
      <c r="F2279">
        <v>4</v>
      </c>
      <c r="G2279">
        <v>2025</v>
      </c>
    </row>
    <row r="2280" spans="1:7" x14ac:dyDescent="0.2">
      <c r="A2280" t="s">
        <v>26</v>
      </c>
      <c r="B2280" t="s">
        <v>28</v>
      </c>
      <c r="C2280">
        <v>4</v>
      </c>
      <c r="D2280" t="s">
        <v>130</v>
      </c>
      <c r="E2280" t="s">
        <v>215</v>
      </c>
      <c r="F2280">
        <v>-1</v>
      </c>
      <c r="G2280">
        <v>2025</v>
      </c>
    </row>
    <row r="2281" spans="1:7" hidden="1" x14ac:dyDescent="0.2">
      <c r="A2281" t="s">
        <v>26</v>
      </c>
      <c r="B2281" t="s">
        <v>28</v>
      </c>
      <c r="C2281">
        <v>4</v>
      </c>
      <c r="D2281" t="s">
        <v>294</v>
      </c>
      <c r="E2281" t="s">
        <v>257</v>
      </c>
      <c r="F2281">
        <v>14.6</v>
      </c>
      <c r="G2281">
        <v>2025</v>
      </c>
    </row>
    <row r="2282" spans="1:7" hidden="1" x14ac:dyDescent="0.2">
      <c r="A2282" t="s">
        <v>524</v>
      </c>
      <c r="B2282" t="s">
        <v>21</v>
      </c>
      <c r="C2282">
        <v>4</v>
      </c>
      <c r="D2282" t="s">
        <v>125</v>
      </c>
      <c r="E2282" t="s">
        <v>212</v>
      </c>
      <c r="F2282">
        <v>24.86</v>
      </c>
      <c r="G2282">
        <v>2025</v>
      </c>
    </row>
    <row r="2283" spans="1:7" hidden="1" x14ac:dyDescent="0.2">
      <c r="A2283" t="s">
        <v>524</v>
      </c>
      <c r="B2283" t="s">
        <v>21</v>
      </c>
      <c r="C2283">
        <v>4</v>
      </c>
      <c r="D2283" t="s">
        <v>128</v>
      </c>
      <c r="E2283" t="s">
        <v>222</v>
      </c>
      <c r="F2283">
        <v>4.7</v>
      </c>
      <c r="G2283">
        <v>2025</v>
      </c>
    </row>
    <row r="2284" spans="1:7" hidden="1" x14ac:dyDescent="0.2">
      <c r="A2284" t="s">
        <v>524</v>
      </c>
      <c r="B2284" t="s">
        <v>21</v>
      </c>
      <c r="C2284">
        <v>4</v>
      </c>
      <c r="D2284" t="s">
        <v>128</v>
      </c>
      <c r="E2284" t="s">
        <v>304</v>
      </c>
      <c r="F2284">
        <v>6.2</v>
      </c>
      <c r="G2284">
        <v>2025</v>
      </c>
    </row>
    <row r="2285" spans="1:7" hidden="1" x14ac:dyDescent="0.2">
      <c r="A2285" t="s">
        <v>524</v>
      </c>
      <c r="B2285" t="s">
        <v>21</v>
      </c>
      <c r="C2285">
        <v>4</v>
      </c>
      <c r="D2285" t="s">
        <v>128</v>
      </c>
      <c r="E2285" t="s">
        <v>546</v>
      </c>
      <c r="F2285">
        <v>8.8000000000000007</v>
      </c>
      <c r="G2285">
        <v>2025</v>
      </c>
    </row>
    <row r="2286" spans="1:7" hidden="1" x14ac:dyDescent="0.2">
      <c r="A2286" t="s">
        <v>524</v>
      </c>
      <c r="B2286" t="s">
        <v>21</v>
      </c>
      <c r="C2286">
        <v>4</v>
      </c>
      <c r="D2286" t="s">
        <v>127</v>
      </c>
      <c r="E2286" t="s">
        <v>529</v>
      </c>
      <c r="F2286">
        <v>25</v>
      </c>
      <c r="G2286">
        <v>2025</v>
      </c>
    </row>
    <row r="2287" spans="1:7" hidden="1" x14ac:dyDescent="0.2">
      <c r="A2287" t="s">
        <v>524</v>
      </c>
      <c r="B2287" t="s">
        <v>21</v>
      </c>
      <c r="C2287">
        <v>4</v>
      </c>
      <c r="D2287" t="s">
        <v>127</v>
      </c>
      <c r="E2287" t="s">
        <v>216</v>
      </c>
      <c r="F2287">
        <v>15.4</v>
      </c>
      <c r="G2287">
        <v>2025</v>
      </c>
    </row>
    <row r="2288" spans="1:7" hidden="1" x14ac:dyDescent="0.2">
      <c r="A2288" t="s">
        <v>524</v>
      </c>
      <c r="B2288" t="s">
        <v>21</v>
      </c>
      <c r="C2288">
        <v>4</v>
      </c>
      <c r="D2288" t="s">
        <v>129</v>
      </c>
      <c r="E2288" t="s">
        <v>249</v>
      </c>
      <c r="F2288">
        <v>7.3</v>
      </c>
      <c r="G2288">
        <v>2025</v>
      </c>
    </row>
    <row r="2289" spans="1:7" hidden="1" x14ac:dyDescent="0.2">
      <c r="A2289" t="s">
        <v>524</v>
      </c>
      <c r="B2289" t="s">
        <v>21</v>
      </c>
      <c r="C2289">
        <v>4</v>
      </c>
      <c r="D2289" t="s">
        <v>131</v>
      </c>
      <c r="E2289" t="s">
        <v>214</v>
      </c>
      <c r="F2289">
        <v>12</v>
      </c>
      <c r="G2289">
        <v>2025</v>
      </c>
    </row>
    <row r="2290" spans="1:7" hidden="1" x14ac:dyDescent="0.2">
      <c r="A2290" t="s">
        <v>524</v>
      </c>
      <c r="B2290" t="s">
        <v>21</v>
      </c>
      <c r="C2290">
        <v>4</v>
      </c>
      <c r="D2290" t="s">
        <v>130</v>
      </c>
      <c r="E2290" t="s">
        <v>194</v>
      </c>
      <c r="F2290">
        <v>7</v>
      </c>
      <c r="G2290">
        <v>2025</v>
      </c>
    </row>
    <row r="2291" spans="1:7" hidden="1" x14ac:dyDescent="0.2">
      <c r="A2291" t="s">
        <v>524</v>
      </c>
      <c r="B2291" t="s">
        <v>21</v>
      </c>
      <c r="C2291">
        <v>4</v>
      </c>
      <c r="D2291" t="s">
        <v>293</v>
      </c>
      <c r="E2291" t="s">
        <v>181</v>
      </c>
      <c r="F2291">
        <v>1.2</v>
      </c>
      <c r="G2291">
        <v>2025</v>
      </c>
    </row>
    <row r="2292" spans="1:7" hidden="1" x14ac:dyDescent="0.2">
      <c r="A2292" t="s">
        <v>46</v>
      </c>
      <c r="B2292" t="s">
        <v>47</v>
      </c>
      <c r="C2292">
        <v>4</v>
      </c>
      <c r="D2292" t="s">
        <v>125</v>
      </c>
      <c r="E2292" t="s">
        <v>126</v>
      </c>
      <c r="F2292">
        <v>11.66</v>
      </c>
      <c r="G2292">
        <v>2025</v>
      </c>
    </row>
    <row r="2293" spans="1:7" hidden="1" x14ac:dyDescent="0.2">
      <c r="A2293" t="s">
        <v>46</v>
      </c>
      <c r="B2293" t="s">
        <v>47</v>
      </c>
      <c r="C2293">
        <v>4</v>
      </c>
      <c r="D2293" t="s">
        <v>128</v>
      </c>
      <c r="E2293" t="s">
        <v>178</v>
      </c>
      <c r="F2293">
        <v>6.3</v>
      </c>
      <c r="G2293">
        <v>2025</v>
      </c>
    </row>
    <row r="2294" spans="1:7" hidden="1" x14ac:dyDescent="0.2">
      <c r="A2294" t="s">
        <v>46</v>
      </c>
      <c r="B2294" t="s">
        <v>47</v>
      </c>
      <c r="C2294">
        <v>4</v>
      </c>
      <c r="D2294" t="s">
        <v>128</v>
      </c>
      <c r="E2294" t="s">
        <v>200</v>
      </c>
      <c r="F2294">
        <v>3.5</v>
      </c>
      <c r="G2294">
        <v>2025</v>
      </c>
    </row>
    <row r="2295" spans="1:7" hidden="1" x14ac:dyDescent="0.2">
      <c r="A2295" t="s">
        <v>46</v>
      </c>
      <c r="B2295" t="s">
        <v>47</v>
      </c>
      <c r="C2295">
        <v>4</v>
      </c>
      <c r="D2295" t="s">
        <v>128</v>
      </c>
      <c r="E2295" t="s">
        <v>172</v>
      </c>
      <c r="F2295">
        <v>5.8</v>
      </c>
      <c r="G2295">
        <v>2025</v>
      </c>
    </row>
    <row r="2296" spans="1:7" hidden="1" x14ac:dyDescent="0.2">
      <c r="A2296" t="s">
        <v>46</v>
      </c>
      <c r="B2296" t="s">
        <v>47</v>
      </c>
      <c r="C2296">
        <v>4</v>
      </c>
      <c r="D2296" t="s">
        <v>127</v>
      </c>
      <c r="E2296" t="s">
        <v>372</v>
      </c>
      <c r="F2296">
        <v>23.1</v>
      </c>
      <c r="G2296">
        <v>2025</v>
      </c>
    </row>
    <row r="2297" spans="1:7" hidden="1" x14ac:dyDescent="0.2">
      <c r="A2297" t="s">
        <v>46</v>
      </c>
      <c r="B2297" t="s">
        <v>47</v>
      </c>
      <c r="C2297">
        <v>4</v>
      </c>
      <c r="D2297" t="s">
        <v>127</v>
      </c>
      <c r="E2297" t="s">
        <v>255</v>
      </c>
      <c r="F2297">
        <v>23</v>
      </c>
      <c r="G2297">
        <v>2025</v>
      </c>
    </row>
    <row r="2298" spans="1:7" hidden="1" x14ac:dyDescent="0.2">
      <c r="A2298" t="s">
        <v>46</v>
      </c>
      <c r="B2298" t="s">
        <v>47</v>
      </c>
      <c r="C2298">
        <v>4</v>
      </c>
      <c r="D2298" t="s">
        <v>129</v>
      </c>
      <c r="E2298" t="s">
        <v>182</v>
      </c>
      <c r="F2298">
        <v>7.1</v>
      </c>
      <c r="G2298">
        <v>2025</v>
      </c>
    </row>
    <row r="2299" spans="1:7" hidden="1" x14ac:dyDescent="0.2">
      <c r="A2299" t="s">
        <v>46</v>
      </c>
      <c r="B2299" t="s">
        <v>47</v>
      </c>
      <c r="C2299">
        <v>4</v>
      </c>
      <c r="D2299" t="s">
        <v>131</v>
      </c>
      <c r="E2299" t="s">
        <v>242</v>
      </c>
      <c r="F2299">
        <v>5</v>
      </c>
      <c r="G2299">
        <v>2025</v>
      </c>
    </row>
    <row r="2300" spans="1:7" hidden="1" x14ac:dyDescent="0.2">
      <c r="A2300" t="s">
        <v>46</v>
      </c>
      <c r="B2300" t="s">
        <v>47</v>
      </c>
      <c r="C2300">
        <v>4</v>
      </c>
      <c r="D2300" t="s">
        <v>130</v>
      </c>
      <c r="E2300" t="s">
        <v>193</v>
      </c>
      <c r="F2300">
        <v>17</v>
      </c>
      <c r="G2300">
        <v>2025</v>
      </c>
    </row>
    <row r="2301" spans="1:7" hidden="1" x14ac:dyDescent="0.2">
      <c r="A2301" t="s">
        <v>46</v>
      </c>
      <c r="B2301" t="s">
        <v>47</v>
      </c>
      <c r="C2301">
        <v>4</v>
      </c>
      <c r="D2301" t="s">
        <v>293</v>
      </c>
      <c r="E2301" t="s">
        <v>278</v>
      </c>
      <c r="F2301">
        <v>14</v>
      </c>
      <c r="G2301">
        <v>2025</v>
      </c>
    </row>
    <row r="2302" spans="1:7" hidden="1" x14ac:dyDescent="0.2">
      <c r="A2302" t="s">
        <v>521</v>
      </c>
      <c r="B2302" t="s">
        <v>29</v>
      </c>
      <c r="C2302">
        <v>4</v>
      </c>
      <c r="D2302" t="s">
        <v>125</v>
      </c>
      <c r="E2302" t="s">
        <v>150</v>
      </c>
      <c r="F2302">
        <v>27.3</v>
      </c>
      <c r="G2302">
        <v>2025</v>
      </c>
    </row>
    <row r="2303" spans="1:7" hidden="1" x14ac:dyDescent="0.2">
      <c r="A2303" t="s">
        <v>521</v>
      </c>
      <c r="B2303" t="s">
        <v>29</v>
      </c>
      <c r="C2303">
        <v>4</v>
      </c>
      <c r="D2303" t="s">
        <v>128</v>
      </c>
      <c r="E2303" t="s">
        <v>171</v>
      </c>
      <c r="F2303">
        <v>17.600000000000001</v>
      </c>
      <c r="G2303">
        <v>2025</v>
      </c>
    </row>
    <row r="2304" spans="1:7" hidden="1" x14ac:dyDescent="0.2">
      <c r="A2304" t="s">
        <v>521</v>
      </c>
      <c r="B2304" t="s">
        <v>29</v>
      </c>
      <c r="C2304">
        <v>4</v>
      </c>
      <c r="D2304" t="s">
        <v>128</v>
      </c>
      <c r="E2304" t="s">
        <v>162</v>
      </c>
      <c r="F2304">
        <v>15.6</v>
      </c>
      <c r="G2304">
        <v>2025</v>
      </c>
    </row>
    <row r="2305" spans="1:7" hidden="1" x14ac:dyDescent="0.2">
      <c r="A2305" t="s">
        <v>521</v>
      </c>
      <c r="B2305" t="s">
        <v>29</v>
      </c>
      <c r="C2305">
        <v>4</v>
      </c>
      <c r="D2305" t="s">
        <v>128</v>
      </c>
      <c r="E2305" t="s">
        <v>280</v>
      </c>
      <c r="F2305">
        <v>14.9</v>
      </c>
      <c r="G2305">
        <v>2025</v>
      </c>
    </row>
    <row r="2306" spans="1:7" hidden="1" x14ac:dyDescent="0.2">
      <c r="A2306" t="s">
        <v>521</v>
      </c>
      <c r="B2306" t="s">
        <v>29</v>
      </c>
      <c r="C2306">
        <v>4</v>
      </c>
      <c r="D2306" t="s">
        <v>127</v>
      </c>
      <c r="E2306" t="s">
        <v>198</v>
      </c>
      <c r="F2306">
        <v>12.1</v>
      </c>
      <c r="G2306">
        <v>2025</v>
      </c>
    </row>
    <row r="2307" spans="1:7" hidden="1" x14ac:dyDescent="0.2">
      <c r="A2307" t="s">
        <v>521</v>
      </c>
      <c r="B2307" t="s">
        <v>29</v>
      </c>
      <c r="C2307">
        <v>4</v>
      </c>
      <c r="D2307" t="s">
        <v>127</v>
      </c>
      <c r="E2307" t="s">
        <v>244</v>
      </c>
      <c r="F2307">
        <v>8.6999999999999993</v>
      </c>
      <c r="G2307">
        <v>2025</v>
      </c>
    </row>
    <row r="2308" spans="1:7" hidden="1" x14ac:dyDescent="0.2">
      <c r="A2308" t="s">
        <v>521</v>
      </c>
      <c r="B2308" t="s">
        <v>29</v>
      </c>
      <c r="C2308">
        <v>4</v>
      </c>
      <c r="D2308" t="s">
        <v>129</v>
      </c>
      <c r="E2308" t="s">
        <v>209</v>
      </c>
      <c r="F2308">
        <v>9.3000000000000007</v>
      </c>
      <c r="G2308">
        <v>2025</v>
      </c>
    </row>
    <row r="2309" spans="1:7" hidden="1" x14ac:dyDescent="0.2">
      <c r="A2309" t="s">
        <v>521</v>
      </c>
      <c r="B2309" t="s">
        <v>29</v>
      </c>
      <c r="C2309">
        <v>4</v>
      </c>
      <c r="D2309" t="s">
        <v>131</v>
      </c>
      <c r="E2309" t="s">
        <v>374</v>
      </c>
      <c r="F2309">
        <v>13</v>
      </c>
      <c r="G2309">
        <v>2025</v>
      </c>
    </row>
    <row r="2310" spans="1:7" hidden="1" x14ac:dyDescent="0.2">
      <c r="A2310" t="s">
        <v>521</v>
      </c>
      <c r="B2310" t="s">
        <v>29</v>
      </c>
      <c r="C2310">
        <v>4</v>
      </c>
      <c r="D2310" t="s">
        <v>130</v>
      </c>
      <c r="E2310" t="s">
        <v>167</v>
      </c>
      <c r="F2310">
        <v>3</v>
      </c>
      <c r="G2310">
        <v>2025</v>
      </c>
    </row>
    <row r="2311" spans="1:7" hidden="1" x14ac:dyDescent="0.2">
      <c r="A2311" t="s">
        <v>521</v>
      </c>
      <c r="B2311" t="s">
        <v>29</v>
      </c>
      <c r="C2311">
        <v>4</v>
      </c>
      <c r="D2311" t="s">
        <v>294</v>
      </c>
      <c r="E2311" t="s">
        <v>151</v>
      </c>
      <c r="F2311">
        <v>13.6</v>
      </c>
      <c r="G2311">
        <v>2025</v>
      </c>
    </row>
    <row r="2312" spans="1:7" hidden="1" x14ac:dyDescent="0.2">
      <c r="A2312" t="s">
        <v>525</v>
      </c>
      <c r="B2312" t="s">
        <v>36</v>
      </c>
      <c r="C2312">
        <v>4</v>
      </c>
      <c r="D2312" t="s">
        <v>125</v>
      </c>
      <c r="E2312" t="s">
        <v>386</v>
      </c>
      <c r="F2312">
        <v>12.52</v>
      </c>
      <c r="G2312">
        <v>2025</v>
      </c>
    </row>
    <row r="2313" spans="1:7" hidden="1" x14ac:dyDescent="0.2">
      <c r="A2313" t="s">
        <v>525</v>
      </c>
      <c r="B2313" t="s">
        <v>36</v>
      </c>
      <c r="C2313">
        <v>4</v>
      </c>
      <c r="D2313" t="s">
        <v>128</v>
      </c>
      <c r="E2313" t="s">
        <v>298</v>
      </c>
      <c r="F2313">
        <v>19.8</v>
      </c>
      <c r="G2313">
        <v>2025</v>
      </c>
    </row>
    <row r="2314" spans="1:7" hidden="1" x14ac:dyDescent="0.2">
      <c r="A2314" t="s">
        <v>525</v>
      </c>
      <c r="B2314" t="s">
        <v>36</v>
      </c>
      <c r="C2314">
        <v>4</v>
      </c>
      <c r="D2314" t="s">
        <v>128</v>
      </c>
      <c r="E2314" t="s">
        <v>527</v>
      </c>
      <c r="F2314">
        <v>18.100000000000001</v>
      </c>
      <c r="G2314">
        <v>2025</v>
      </c>
    </row>
    <row r="2315" spans="1:7" hidden="1" x14ac:dyDescent="0.2">
      <c r="A2315" t="s">
        <v>525</v>
      </c>
      <c r="B2315" t="s">
        <v>36</v>
      </c>
      <c r="C2315">
        <v>4</v>
      </c>
      <c r="D2315" t="s">
        <v>128</v>
      </c>
      <c r="E2315" t="s">
        <v>161</v>
      </c>
      <c r="F2315">
        <v>7.5</v>
      </c>
      <c r="G2315">
        <v>2025</v>
      </c>
    </row>
    <row r="2316" spans="1:7" hidden="1" x14ac:dyDescent="0.2">
      <c r="A2316" t="s">
        <v>525</v>
      </c>
      <c r="B2316" t="s">
        <v>36</v>
      </c>
      <c r="C2316">
        <v>4</v>
      </c>
      <c r="D2316" t="s">
        <v>127</v>
      </c>
      <c r="E2316" t="s">
        <v>207</v>
      </c>
      <c r="F2316">
        <v>16.7</v>
      </c>
      <c r="G2316">
        <v>2025</v>
      </c>
    </row>
    <row r="2317" spans="1:7" hidden="1" x14ac:dyDescent="0.2">
      <c r="A2317" t="s">
        <v>525</v>
      </c>
      <c r="B2317" t="s">
        <v>36</v>
      </c>
      <c r="C2317">
        <v>4</v>
      </c>
      <c r="D2317" t="s">
        <v>127</v>
      </c>
      <c r="E2317" t="s">
        <v>361</v>
      </c>
      <c r="F2317">
        <v>7.2</v>
      </c>
      <c r="G2317">
        <v>2025</v>
      </c>
    </row>
    <row r="2318" spans="1:7" hidden="1" x14ac:dyDescent="0.2">
      <c r="A2318" t="s">
        <v>525</v>
      </c>
      <c r="B2318" t="s">
        <v>36</v>
      </c>
      <c r="C2318">
        <v>4</v>
      </c>
      <c r="D2318" t="s">
        <v>129</v>
      </c>
      <c r="E2318" t="s">
        <v>156</v>
      </c>
      <c r="F2318">
        <v>5.4</v>
      </c>
      <c r="G2318">
        <v>2025</v>
      </c>
    </row>
    <row r="2319" spans="1:7" hidden="1" x14ac:dyDescent="0.2">
      <c r="A2319" t="s">
        <v>525</v>
      </c>
      <c r="B2319" t="s">
        <v>36</v>
      </c>
      <c r="C2319">
        <v>4</v>
      </c>
      <c r="D2319" t="s">
        <v>131</v>
      </c>
      <c r="E2319" t="s">
        <v>183</v>
      </c>
      <c r="F2319">
        <v>7</v>
      </c>
      <c r="G2319">
        <v>2025</v>
      </c>
    </row>
    <row r="2320" spans="1:7" hidden="1" x14ac:dyDescent="0.2">
      <c r="A2320" t="s">
        <v>525</v>
      </c>
      <c r="B2320" t="s">
        <v>36</v>
      </c>
      <c r="C2320">
        <v>4</v>
      </c>
      <c r="D2320" t="s">
        <v>130</v>
      </c>
      <c r="E2320" t="s">
        <v>142</v>
      </c>
      <c r="F2320">
        <v>12</v>
      </c>
      <c r="G2320">
        <v>2025</v>
      </c>
    </row>
    <row r="2321" spans="1:7" hidden="1" x14ac:dyDescent="0.2">
      <c r="A2321" t="s">
        <v>525</v>
      </c>
      <c r="B2321" t="s">
        <v>36</v>
      </c>
      <c r="C2321">
        <v>4</v>
      </c>
      <c r="D2321" t="s">
        <v>294</v>
      </c>
      <c r="E2321" t="s">
        <v>145</v>
      </c>
      <c r="F2321">
        <v>1.7</v>
      </c>
      <c r="G2321">
        <v>2025</v>
      </c>
    </row>
    <row r="2322" spans="1:7" hidden="1" x14ac:dyDescent="0.2">
      <c r="A2322" t="s">
        <v>18</v>
      </c>
      <c r="B2322" t="s">
        <v>20</v>
      </c>
      <c r="C2322">
        <v>4</v>
      </c>
      <c r="D2322" t="s">
        <v>125</v>
      </c>
      <c r="E2322" t="s">
        <v>258</v>
      </c>
      <c r="F2322">
        <v>16.100000000000001</v>
      </c>
      <c r="G2322">
        <v>2025</v>
      </c>
    </row>
    <row r="2323" spans="1:7" hidden="1" x14ac:dyDescent="0.2">
      <c r="A2323" t="s">
        <v>18</v>
      </c>
      <c r="B2323" t="s">
        <v>20</v>
      </c>
      <c r="C2323">
        <v>4</v>
      </c>
      <c r="D2323" t="s">
        <v>128</v>
      </c>
      <c r="E2323" t="s">
        <v>248</v>
      </c>
      <c r="F2323">
        <v>11</v>
      </c>
      <c r="G2323">
        <v>2025</v>
      </c>
    </row>
    <row r="2324" spans="1:7" hidden="1" x14ac:dyDescent="0.2">
      <c r="A2324" t="s">
        <v>18</v>
      </c>
      <c r="B2324" t="s">
        <v>20</v>
      </c>
      <c r="C2324">
        <v>4</v>
      </c>
      <c r="D2324" t="s">
        <v>128</v>
      </c>
      <c r="E2324" t="s">
        <v>134</v>
      </c>
      <c r="F2324">
        <v>10.9</v>
      </c>
      <c r="G2324">
        <v>2025</v>
      </c>
    </row>
    <row r="2325" spans="1:7" hidden="1" x14ac:dyDescent="0.2">
      <c r="A2325" t="s">
        <v>18</v>
      </c>
      <c r="B2325" t="s">
        <v>20</v>
      </c>
      <c r="C2325">
        <v>4</v>
      </c>
      <c r="D2325" t="s">
        <v>128</v>
      </c>
      <c r="E2325" t="s">
        <v>303</v>
      </c>
      <c r="F2325">
        <v>5</v>
      </c>
      <c r="G2325">
        <v>2025</v>
      </c>
    </row>
    <row r="2326" spans="1:7" hidden="1" x14ac:dyDescent="0.2">
      <c r="A2326" t="s">
        <v>18</v>
      </c>
      <c r="B2326" t="s">
        <v>20</v>
      </c>
      <c r="C2326">
        <v>4</v>
      </c>
      <c r="D2326" t="s">
        <v>127</v>
      </c>
      <c r="E2326" t="s">
        <v>208</v>
      </c>
      <c r="F2326">
        <v>21</v>
      </c>
      <c r="G2326">
        <v>2025</v>
      </c>
    </row>
    <row r="2327" spans="1:7" hidden="1" x14ac:dyDescent="0.2">
      <c r="A2327" t="s">
        <v>18</v>
      </c>
      <c r="B2327" t="s">
        <v>20</v>
      </c>
      <c r="C2327">
        <v>4</v>
      </c>
      <c r="D2327" t="s">
        <v>127</v>
      </c>
      <c r="E2327" t="s">
        <v>547</v>
      </c>
      <c r="F2327">
        <v>12</v>
      </c>
      <c r="G2327">
        <v>2025</v>
      </c>
    </row>
    <row r="2328" spans="1:7" hidden="1" x14ac:dyDescent="0.2">
      <c r="A2328" t="s">
        <v>18</v>
      </c>
      <c r="B2328" t="s">
        <v>20</v>
      </c>
      <c r="C2328">
        <v>4</v>
      </c>
      <c r="D2328" t="s">
        <v>129</v>
      </c>
      <c r="E2328" t="s">
        <v>327</v>
      </c>
      <c r="F2328">
        <v>8.1</v>
      </c>
      <c r="G2328">
        <v>2025</v>
      </c>
    </row>
    <row r="2329" spans="1:7" hidden="1" x14ac:dyDescent="0.2">
      <c r="A2329" t="s">
        <v>18</v>
      </c>
      <c r="B2329" t="s">
        <v>20</v>
      </c>
      <c r="C2329">
        <v>4</v>
      </c>
      <c r="D2329" t="s">
        <v>131</v>
      </c>
      <c r="E2329" t="s">
        <v>350</v>
      </c>
      <c r="F2329">
        <v>5</v>
      </c>
      <c r="G2329">
        <v>2025</v>
      </c>
    </row>
    <row r="2330" spans="1:7" hidden="1" x14ac:dyDescent="0.2">
      <c r="A2330" t="s">
        <v>18</v>
      </c>
      <c r="B2330" t="s">
        <v>20</v>
      </c>
      <c r="C2330">
        <v>4</v>
      </c>
      <c r="D2330" t="s">
        <v>130</v>
      </c>
      <c r="E2330" t="s">
        <v>307</v>
      </c>
      <c r="F2330">
        <v>10</v>
      </c>
      <c r="G2330">
        <v>2025</v>
      </c>
    </row>
    <row r="2331" spans="1:7" hidden="1" x14ac:dyDescent="0.2">
      <c r="A2331" t="s">
        <v>18</v>
      </c>
      <c r="B2331" t="s">
        <v>20</v>
      </c>
      <c r="C2331">
        <v>4</v>
      </c>
      <c r="D2331" t="s">
        <v>293</v>
      </c>
      <c r="E2331" t="s">
        <v>154</v>
      </c>
      <c r="F2331">
        <v>6.8</v>
      </c>
      <c r="G2331">
        <v>2025</v>
      </c>
    </row>
    <row r="2332" spans="1:7" hidden="1" x14ac:dyDescent="0.2">
      <c r="A2332" t="s">
        <v>31</v>
      </c>
      <c r="B2332" t="s">
        <v>33</v>
      </c>
      <c r="C2332">
        <v>4</v>
      </c>
      <c r="D2332" t="s">
        <v>125</v>
      </c>
      <c r="E2332" t="s">
        <v>334</v>
      </c>
      <c r="F2332">
        <v>10.38</v>
      </c>
      <c r="G2332">
        <v>2025</v>
      </c>
    </row>
    <row r="2333" spans="1:7" hidden="1" x14ac:dyDescent="0.2">
      <c r="A2333" t="s">
        <v>31</v>
      </c>
      <c r="B2333" t="s">
        <v>33</v>
      </c>
      <c r="C2333">
        <v>4</v>
      </c>
      <c r="D2333" t="s">
        <v>128</v>
      </c>
      <c r="E2333" t="s">
        <v>219</v>
      </c>
      <c r="F2333">
        <v>21.1</v>
      </c>
      <c r="G2333">
        <v>2025</v>
      </c>
    </row>
    <row r="2334" spans="1:7" hidden="1" x14ac:dyDescent="0.2">
      <c r="A2334" t="s">
        <v>31</v>
      </c>
      <c r="B2334" t="s">
        <v>33</v>
      </c>
      <c r="C2334">
        <v>4</v>
      </c>
      <c r="D2334" t="s">
        <v>128</v>
      </c>
      <c r="E2334" t="s">
        <v>292</v>
      </c>
      <c r="F2334">
        <v>5.4</v>
      </c>
      <c r="G2334">
        <v>2025</v>
      </c>
    </row>
    <row r="2335" spans="1:7" hidden="1" x14ac:dyDescent="0.2">
      <c r="A2335" t="s">
        <v>31</v>
      </c>
      <c r="B2335" t="s">
        <v>33</v>
      </c>
      <c r="C2335">
        <v>4</v>
      </c>
      <c r="D2335" t="s">
        <v>128</v>
      </c>
      <c r="E2335" t="s">
        <v>243</v>
      </c>
      <c r="F2335">
        <v>4</v>
      </c>
      <c r="G2335">
        <v>2025</v>
      </c>
    </row>
    <row r="2336" spans="1:7" hidden="1" x14ac:dyDescent="0.2">
      <c r="A2336" t="s">
        <v>31</v>
      </c>
      <c r="B2336" t="s">
        <v>33</v>
      </c>
      <c r="C2336">
        <v>4</v>
      </c>
      <c r="D2336" t="s">
        <v>127</v>
      </c>
      <c r="E2336" t="s">
        <v>174</v>
      </c>
      <c r="F2336">
        <v>26.1</v>
      </c>
      <c r="G2336">
        <v>2025</v>
      </c>
    </row>
    <row r="2337" spans="1:7" hidden="1" x14ac:dyDescent="0.2">
      <c r="A2337" t="s">
        <v>31</v>
      </c>
      <c r="B2337" t="s">
        <v>33</v>
      </c>
      <c r="C2337">
        <v>4</v>
      </c>
      <c r="D2337" t="s">
        <v>127</v>
      </c>
      <c r="E2337" t="s">
        <v>259</v>
      </c>
      <c r="F2337">
        <v>11</v>
      </c>
      <c r="G2337">
        <v>2025</v>
      </c>
    </row>
    <row r="2338" spans="1:7" hidden="1" x14ac:dyDescent="0.2">
      <c r="A2338" t="s">
        <v>31</v>
      </c>
      <c r="B2338" t="s">
        <v>33</v>
      </c>
      <c r="C2338">
        <v>4</v>
      </c>
      <c r="D2338" t="s">
        <v>129</v>
      </c>
      <c r="E2338" t="s">
        <v>530</v>
      </c>
      <c r="F2338">
        <v>15.8</v>
      </c>
      <c r="G2338">
        <v>2025</v>
      </c>
    </row>
    <row r="2339" spans="1:7" hidden="1" x14ac:dyDescent="0.2">
      <c r="A2339" t="s">
        <v>31</v>
      </c>
      <c r="B2339" t="s">
        <v>33</v>
      </c>
      <c r="C2339">
        <v>4</v>
      </c>
      <c r="D2339" t="s">
        <v>131</v>
      </c>
      <c r="E2339" t="s">
        <v>195</v>
      </c>
      <c r="F2339">
        <v>10</v>
      </c>
      <c r="G2339">
        <v>2025</v>
      </c>
    </row>
    <row r="2340" spans="1:7" hidden="1" x14ac:dyDescent="0.2">
      <c r="A2340" t="s">
        <v>31</v>
      </c>
      <c r="B2340" t="s">
        <v>33</v>
      </c>
      <c r="C2340">
        <v>4</v>
      </c>
      <c r="D2340" t="s">
        <v>130</v>
      </c>
      <c r="E2340" t="s">
        <v>326</v>
      </c>
      <c r="F2340">
        <v>-7</v>
      </c>
      <c r="G2340">
        <v>2025</v>
      </c>
    </row>
    <row r="2341" spans="1:7" hidden="1" x14ac:dyDescent="0.2">
      <c r="A2341" t="s">
        <v>31</v>
      </c>
      <c r="B2341" t="s">
        <v>33</v>
      </c>
      <c r="C2341">
        <v>4</v>
      </c>
      <c r="D2341" t="s">
        <v>293</v>
      </c>
      <c r="E2341" t="s">
        <v>175</v>
      </c>
      <c r="F2341">
        <v>0</v>
      </c>
      <c r="G2341">
        <v>2025</v>
      </c>
    </row>
    <row r="2342" spans="1:7" hidden="1" x14ac:dyDescent="0.2">
      <c r="A2342" t="s">
        <v>35</v>
      </c>
      <c r="B2342" t="s">
        <v>49</v>
      </c>
      <c r="C2342">
        <v>4</v>
      </c>
      <c r="D2342" t="s">
        <v>125</v>
      </c>
      <c r="E2342" t="s">
        <v>168</v>
      </c>
      <c r="F2342">
        <v>19.399999999999999</v>
      </c>
      <c r="G2342">
        <v>2025</v>
      </c>
    </row>
    <row r="2343" spans="1:7" hidden="1" x14ac:dyDescent="0.2">
      <c r="A2343" t="s">
        <v>35</v>
      </c>
      <c r="B2343" t="s">
        <v>49</v>
      </c>
      <c r="C2343">
        <v>4</v>
      </c>
      <c r="D2343" t="s">
        <v>128</v>
      </c>
      <c r="E2343" t="s">
        <v>188</v>
      </c>
      <c r="F2343">
        <v>21</v>
      </c>
      <c r="G2343">
        <v>2025</v>
      </c>
    </row>
    <row r="2344" spans="1:7" hidden="1" x14ac:dyDescent="0.2">
      <c r="A2344" t="s">
        <v>35</v>
      </c>
      <c r="B2344" t="s">
        <v>49</v>
      </c>
      <c r="C2344">
        <v>4</v>
      </c>
      <c r="D2344" t="s">
        <v>128</v>
      </c>
      <c r="E2344" t="s">
        <v>160</v>
      </c>
      <c r="F2344">
        <v>29.4</v>
      </c>
      <c r="G2344">
        <v>2025</v>
      </c>
    </row>
    <row r="2345" spans="1:7" hidden="1" x14ac:dyDescent="0.2">
      <c r="A2345" t="s">
        <v>35</v>
      </c>
      <c r="B2345" t="s">
        <v>49</v>
      </c>
      <c r="C2345">
        <v>4</v>
      </c>
      <c r="D2345" t="s">
        <v>128</v>
      </c>
      <c r="E2345" t="s">
        <v>262</v>
      </c>
      <c r="F2345">
        <v>7.2</v>
      </c>
      <c r="G2345">
        <v>2025</v>
      </c>
    </row>
    <row r="2346" spans="1:7" hidden="1" x14ac:dyDescent="0.2">
      <c r="A2346" t="s">
        <v>35</v>
      </c>
      <c r="B2346" t="s">
        <v>49</v>
      </c>
      <c r="C2346">
        <v>4</v>
      </c>
      <c r="D2346" t="s">
        <v>127</v>
      </c>
      <c r="E2346" t="s">
        <v>256</v>
      </c>
      <c r="F2346">
        <v>8.9</v>
      </c>
      <c r="G2346">
        <v>2025</v>
      </c>
    </row>
    <row r="2347" spans="1:7" hidden="1" x14ac:dyDescent="0.2">
      <c r="A2347" t="s">
        <v>35</v>
      </c>
      <c r="B2347" t="s">
        <v>49</v>
      </c>
      <c r="C2347">
        <v>4</v>
      </c>
      <c r="D2347" t="s">
        <v>127</v>
      </c>
      <c r="E2347" t="s">
        <v>234</v>
      </c>
      <c r="F2347">
        <v>4.5999999999999996</v>
      </c>
      <c r="G2347">
        <v>2025</v>
      </c>
    </row>
    <row r="2348" spans="1:7" hidden="1" x14ac:dyDescent="0.2">
      <c r="A2348" t="s">
        <v>35</v>
      </c>
      <c r="B2348" t="s">
        <v>49</v>
      </c>
      <c r="C2348">
        <v>4</v>
      </c>
      <c r="D2348" t="s">
        <v>129</v>
      </c>
      <c r="E2348" t="s">
        <v>137</v>
      </c>
      <c r="F2348">
        <v>8.6999999999999993</v>
      </c>
      <c r="G2348">
        <v>2025</v>
      </c>
    </row>
    <row r="2349" spans="1:7" hidden="1" x14ac:dyDescent="0.2">
      <c r="A2349" t="s">
        <v>35</v>
      </c>
      <c r="B2349" t="s">
        <v>49</v>
      </c>
      <c r="C2349">
        <v>4</v>
      </c>
      <c r="D2349" t="s">
        <v>131</v>
      </c>
      <c r="E2349" t="s">
        <v>548</v>
      </c>
      <c r="F2349">
        <v>10</v>
      </c>
      <c r="G2349">
        <v>2025</v>
      </c>
    </row>
    <row r="2350" spans="1:7" hidden="1" x14ac:dyDescent="0.2">
      <c r="A2350" t="s">
        <v>35</v>
      </c>
      <c r="B2350" t="s">
        <v>49</v>
      </c>
      <c r="C2350">
        <v>4</v>
      </c>
      <c r="D2350" t="s">
        <v>130</v>
      </c>
      <c r="E2350" t="s">
        <v>157</v>
      </c>
      <c r="F2350">
        <v>7</v>
      </c>
      <c r="G2350">
        <v>2025</v>
      </c>
    </row>
    <row r="2351" spans="1:7" hidden="1" x14ac:dyDescent="0.2">
      <c r="A2351" t="s">
        <v>35</v>
      </c>
      <c r="B2351" t="s">
        <v>49</v>
      </c>
      <c r="C2351">
        <v>4</v>
      </c>
      <c r="D2351" t="s">
        <v>294</v>
      </c>
      <c r="E2351" t="s">
        <v>205</v>
      </c>
      <c r="F2351">
        <v>3.9</v>
      </c>
      <c r="G2351">
        <v>2025</v>
      </c>
    </row>
    <row r="2352" spans="1:7" hidden="1" x14ac:dyDescent="0.2">
      <c r="A2352" t="s">
        <v>526</v>
      </c>
      <c r="B2352" t="s">
        <v>32</v>
      </c>
      <c r="C2352">
        <v>4</v>
      </c>
      <c r="D2352" t="s">
        <v>125</v>
      </c>
      <c r="E2352" t="s">
        <v>185</v>
      </c>
      <c r="F2352">
        <v>11.78</v>
      </c>
      <c r="G2352">
        <v>2025</v>
      </c>
    </row>
    <row r="2353" spans="1:7" hidden="1" x14ac:dyDescent="0.2">
      <c r="A2353" t="s">
        <v>526</v>
      </c>
      <c r="B2353" t="s">
        <v>32</v>
      </c>
      <c r="C2353">
        <v>4</v>
      </c>
      <c r="D2353" t="s">
        <v>128</v>
      </c>
      <c r="E2353" t="s">
        <v>224</v>
      </c>
      <c r="F2353">
        <v>17.2</v>
      </c>
      <c r="G2353">
        <v>2025</v>
      </c>
    </row>
    <row r="2354" spans="1:7" hidden="1" x14ac:dyDescent="0.2">
      <c r="A2354" t="s">
        <v>526</v>
      </c>
      <c r="B2354" t="s">
        <v>32</v>
      </c>
      <c r="C2354">
        <v>4</v>
      </c>
      <c r="D2354" t="s">
        <v>128</v>
      </c>
      <c r="E2354" t="s">
        <v>133</v>
      </c>
      <c r="F2354">
        <v>9.6999999999999993</v>
      </c>
      <c r="G2354">
        <v>2025</v>
      </c>
    </row>
    <row r="2355" spans="1:7" hidden="1" x14ac:dyDescent="0.2">
      <c r="A2355" t="s">
        <v>526</v>
      </c>
      <c r="B2355" t="s">
        <v>32</v>
      </c>
      <c r="C2355">
        <v>4</v>
      </c>
      <c r="D2355" t="s">
        <v>128</v>
      </c>
      <c r="E2355" t="s">
        <v>186</v>
      </c>
      <c r="F2355">
        <v>1.6</v>
      </c>
      <c r="G2355">
        <v>2025</v>
      </c>
    </row>
    <row r="2356" spans="1:7" hidden="1" x14ac:dyDescent="0.2">
      <c r="A2356" t="s">
        <v>526</v>
      </c>
      <c r="B2356" t="s">
        <v>32</v>
      </c>
      <c r="C2356">
        <v>4</v>
      </c>
      <c r="D2356" t="s">
        <v>127</v>
      </c>
      <c r="E2356" t="s">
        <v>148</v>
      </c>
      <c r="F2356">
        <v>16.600000000000001</v>
      </c>
      <c r="G2356">
        <v>2025</v>
      </c>
    </row>
    <row r="2357" spans="1:7" hidden="1" x14ac:dyDescent="0.2">
      <c r="A2357" t="s">
        <v>526</v>
      </c>
      <c r="B2357" t="s">
        <v>32</v>
      </c>
      <c r="C2357">
        <v>4</v>
      </c>
      <c r="D2357" t="s">
        <v>127</v>
      </c>
      <c r="E2357" t="s">
        <v>226</v>
      </c>
      <c r="F2357">
        <v>13.6</v>
      </c>
      <c r="G2357">
        <v>2025</v>
      </c>
    </row>
    <row r="2358" spans="1:7" hidden="1" x14ac:dyDescent="0.2">
      <c r="A2358" t="s">
        <v>526</v>
      </c>
      <c r="B2358" t="s">
        <v>32</v>
      </c>
      <c r="C2358">
        <v>4</v>
      </c>
      <c r="D2358" t="s">
        <v>129</v>
      </c>
      <c r="E2358" t="s">
        <v>170</v>
      </c>
      <c r="F2358">
        <v>2.1</v>
      </c>
      <c r="G2358">
        <v>2025</v>
      </c>
    </row>
    <row r="2359" spans="1:7" hidden="1" x14ac:dyDescent="0.2">
      <c r="A2359" t="s">
        <v>526</v>
      </c>
      <c r="B2359" t="s">
        <v>32</v>
      </c>
      <c r="C2359">
        <v>4</v>
      </c>
      <c r="D2359" t="s">
        <v>131</v>
      </c>
      <c r="E2359" t="s">
        <v>349</v>
      </c>
      <c r="F2359">
        <v>11</v>
      </c>
      <c r="G2359">
        <v>2025</v>
      </c>
    </row>
    <row r="2360" spans="1:7" hidden="1" x14ac:dyDescent="0.2">
      <c r="A2360" t="s">
        <v>526</v>
      </c>
      <c r="B2360" t="s">
        <v>32</v>
      </c>
      <c r="C2360">
        <v>4</v>
      </c>
      <c r="D2360" t="s">
        <v>130</v>
      </c>
      <c r="E2360" t="s">
        <v>358</v>
      </c>
      <c r="F2360">
        <v>20</v>
      </c>
      <c r="G2360">
        <v>2025</v>
      </c>
    </row>
    <row r="2361" spans="1:7" hidden="1" x14ac:dyDescent="0.2">
      <c r="A2361" t="s">
        <v>526</v>
      </c>
      <c r="B2361" t="s">
        <v>32</v>
      </c>
      <c r="C2361">
        <v>4</v>
      </c>
      <c r="D2361" t="s">
        <v>293</v>
      </c>
      <c r="E2361" t="s">
        <v>225</v>
      </c>
      <c r="F2361">
        <v>11.5</v>
      </c>
      <c r="G2361">
        <v>2025</v>
      </c>
    </row>
    <row r="2362" spans="1:7" hidden="1" x14ac:dyDescent="0.2">
      <c r="A2362" t="s">
        <v>14</v>
      </c>
      <c r="B2362" t="s">
        <v>16</v>
      </c>
      <c r="C2362">
        <v>5</v>
      </c>
      <c r="D2362" t="s">
        <v>125</v>
      </c>
      <c r="E2362" t="s">
        <v>427</v>
      </c>
      <c r="F2362">
        <v>25.56</v>
      </c>
      <c r="G2362">
        <v>2025</v>
      </c>
    </row>
    <row r="2363" spans="1:7" hidden="1" x14ac:dyDescent="0.2">
      <c r="A2363" t="s">
        <v>14</v>
      </c>
      <c r="B2363" t="s">
        <v>16</v>
      </c>
      <c r="C2363">
        <v>5</v>
      </c>
      <c r="D2363" t="s">
        <v>128</v>
      </c>
      <c r="E2363" t="s">
        <v>254</v>
      </c>
      <c r="F2363">
        <v>12.4</v>
      </c>
      <c r="G2363">
        <v>2025</v>
      </c>
    </row>
    <row r="2364" spans="1:7" hidden="1" x14ac:dyDescent="0.2">
      <c r="A2364" t="s">
        <v>14</v>
      </c>
      <c r="B2364" t="s">
        <v>16</v>
      </c>
      <c r="C2364">
        <v>5</v>
      </c>
      <c r="D2364" t="s">
        <v>128</v>
      </c>
      <c r="E2364" t="s">
        <v>351</v>
      </c>
      <c r="F2364">
        <v>9.1</v>
      </c>
      <c r="G2364">
        <v>2025</v>
      </c>
    </row>
    <row r="2365" spans="1:7" hidden="1" x14ac:dyDescent="0.2">
      <c r="A2365" t="s">
        <v>14</v>
      </c>
      <c r="B2365" t="s">
        <v>16</v>
      </c>
      <c r="C2365">
        <v>5</v>
      </c>
      <c r="D2365" t="s">
        <v>128</v>
      </c>
      <c r="E2365" t="s">
        <v>283</v>
      </c>
      <c r="F2365">
        <v>2.5</v>
      </c>
      <c r="G2365">
        <v>2025</v>
      </c>
    </row>
    <row r="2366" spans="1:7" hidden="1" x14ac:dyDescent="0.2">
      <c r="A2366" t="s">
        <v>14</v>
      </c>
      <c r="B2366" t="s">
        <v>16</v>
      </c>
      <c r="C2366">
        <v>5</v>
      </c>
      <c r="D2366" t="s">
        <v>127</v>
      </c>
      <c r="E2366" t="s">
        <v>343</v>
      </c>
      <c r="F2366">
        <v>13.3</v>
      </c>
      <c r="G2366">
        <v>2025</v>
      </c>
    </row>
    <row r="2367" spans="1:7" hidden="1" x14ac:dyDescent="0.2">
      <c r="A2367" t="s">
        <v>14</v>
      </c>
      <c r="B2367" t="s">
        <v>16</v>
      </c>
      <c r="C2367">
        <v>5</v>
      </c>
      <c r="D2367" t="s">
        <v>127</v>
      </c>
      <c r="E2367" t="s">
        <v>314</v>
      </c>
      <c r="F2367">
        <v>8.3000000000000007</v>
      </c>
      <c r="G2367">
        <v>2025</v>
      </c>
    </row>
    <row r="2368" spans="1:7" hidden="1" x14ac:dyDescent="0.2">
      <c r="A2368" t="s">
        <v>14</v>
      </c>
      <c r="B2368" t="s">
        <v>16</v>
      </c>
      <c r="C2368">
        <v>5</v>
      </c>
      <c r="D2368" t="s">
        <v>129</v>
      </c>
      <c r="E2368" t="s">
        <v>299</v>
      </c>
      <c r="F2368">
        <v>20.399999999999999</v>
      </c>
      <c r="G2368">
        <v>2025</v>
      </c>
    </row>
    <row r="2369" spans="1:7" hidden="1" x14ac:dyDescent="0.2">
      <c r="A2369" t="s">
        <v>14</v>
      </c>
      <c r="B2369" t="s">
        <v>16</v>
      </c>
      <c r="C2369">
        <v>5</v>
      </c>
      <c r="D2369" t="s">
        <v>131</v>
      </c>
      <c r="E2369" t="s">
        <v>210</v>
      </c>
      <c r="F2369">
        <v>6</v>
      </c>
      <c r="G2369">
        <v>2025</v>
      </c>
    </row>
    <row r="2370" spans="1:7" hidden="1" x14ac:dyDescent="0.2">
      <c r="A2370" t="s">
        <v>14</v>
      </c>
      <c r="B2370" t="s">
        <v>16</v>
      </c>
      <c r="C2370">
        <v>5</v>
      </c>
      <c r="D2370" t="s">
        <v>130</v>
      </c>
      <c r="E2370" t="s">
        <v>253</v>
      </c>
      <c r="F2370">
        <v>18</v>
      </c>
      <c r="G2370">
        <v>2025</v>
      </c>
    </row>
    <row r="2371" spans="1:7" hidden="1" x14ac:dyDescent="0.2">
      <c r="A2371" t="s">
        <v>14</v>
      </c>
      <c r="B2371" t="s">
        <v>16</v>
      </c>
      <c r="C2371">
        <v>5</v>
      </c>
      <c r="D2371" t="s">
        <v>293</v>
      </c>
      <c r="E2371" t="s">
        <v>189</v>
      </c>
      <c r="F2371">
        <v>7.3</v>
      </c>
      <c r="G2371">
        <v>2025</v>
      </c>
    </row>
    <row r="2372" spans="1:7" hidden="1" x14ac:dyDescent="0.2">
      <c r="A2372" t="s">
        <v>46</v>
      </c>
      <c r="B2372" t="s">
        <v>47</v>
      </c>
      <c r="C2372">
        <v>5</v>
      </c>
      <c r="D2372" t="s">
        <v>125</v>
      </c>
      <c r="E2372" t="s">
        <v>126</v>
      </c>
      <c r="F2372">
        <v>26.24</v>
      </c>
      <c r="G2372">
        <v>2025</v>
      </c>
    </row>
    <row r="2373" spans="1:7" hidden="1" x14ac:dyDescent="0.2">
      <c r="A2373" t="s">
        <v>46</v>
      </c>
      <c r="B2373" t="s">
        <v>47</v>
      </c>
      <c r="C2373">
        <v>5</v>
      </c>
      <c r="D2373" t="s">
        <v>128</v>
      </c>
      <c r="E2373" t="s">
        <v>178</v>
      </c>
      <c r="F2373">
        <v>20</v>
      </c>
      <c r="G2373">
        <v>2025</v>
      </c>
    </row>
    <row r="2374" spans="1:7" hidden="1" x14ac:dyDescent="0.2">
      <c r="A2374" t="s">
        <v>46</v>
      </c>
      <c r="B2374" t="s">
        <v>47</v>
      </c>
      <c r="C2374">
        <v>5</v>
      </c>
      <c r="D2374" t="s">
        <v>128</v>
      </c>
      <c r="E2374" t="s">
        <v>200</v>
      </c>
      <c r="F2374">
        <v>8.4</v>
      </c>
      <c r="G2374">
        <v>2025</v>
      </c>
    </row>
    <row r="2375" spans="1:7" hidden="1" x14ac:dyDescent="0.2">
      <c r="A2375" t="s">
        <v>46</v>
      </c>
      <c r="B2375" t="s">
        <v>47</v>
      </c>
      <c r="C2375">
        <v>5</v>
      </c>
      <c r="D2375" t="s">
        <v>128</v>
      </c>
      <c r="E2375" t="s">
        <v>549</v>
      </c>
      <c r="F2375">
        <v>5.2</v>
      </c>
      <c r="G2375">
        <v>2025</v>
      </c>
    </row>
    <row r="2376" spans="1:7" hidden="1" x14ac:dyDescent="0.2">
      <c r="A2376" t="s">
        <v>46</v>
      </c>
      <c r="B2376" t="s">
        <v>47</v>
      </c>
      <c r="C2376">
        <v>5</v>
      </c>
      <c r="D2376" t="s">
        <v>127</v>
      </c>
      <c r="E2376" t="s">
        <v>372</v>
      </c>
      <c r="F2376">
        <v>23.9</v>
      </c>
      <c r="G2376">
        <v>2025</v>
      </c>
    </row>
    <row r="2377" spans="1:7" hidden="1" x14ac:dyDescent="0.2">
      <c r="A2377" t="s">
        <v>46</v>
      </c>
      <c r="B2377" t="s">
        <v>47</v>
      </c>
      <c r="C2377">
        <v>5</v>
      </c>
      <c r="D2377" t="s">
        <v>127</v>
      </c>
      <c r="E2377" t="s">
        <v>550</v>
      </c>
      <c r="F2377">
        <v>15.8</v>
      </c>
      <c r="G2377">
        <v>2025</v>
      </c>
    </row>
    <row r="2378" spans="1:7" hidden="1" x14ac:dyDescent="0.2">
      <c r="A2378" t="s">
        <v>46</v>
      </c>
      <c r="B2378" t="s">
        <v>47</v>
      </c>
      <c r="C2378">
        <v>5</v>
      </c>
      <c r="D2378" t="s">
        <v>129</v>
      </c>
      <c r="E2378" t="s">
        <v>344</v>
      </c>
      <c r="F2378">
        <v>1.7</v>
      </c>
      <c r="G2378">
        <v>2025</v>
      </c>
    </row>
    <row r="2379" spans="1:7" hidden="1" x14ac:dyDescent="0.2">
      <c r="A2379" t="s">
        <v>46</v>
      </c>
      <c r="B2379" t="s">
        <v>47</v>
      </c>
      <c r="C2379">
        <v>5</v>
      </c>
      <c r="D2379" t="s">
        <v>131</v>
      </c>
      <c r="E2379" t="s">
        <v>538</v>
      </c>
      <c r="F2379">
        <v>3</v>
      </c>
      <c r="G2379">
        <v>2025</v>
      </c>
    </row>
    <row r="2380" spans="1:7" hidden="1" x14ac:dyDescent="0.2">
      <c r="A2380" t="s">
        <v>46</v>
      </c>
      <c r="B2380" t="s">
        <v>47</v>
      </c>
      <c r="C2380">
        <v>5</v>
      </c>
      <c r="D2380" t="s">
        <v>130</v>
      </c>
      <c r="E2380" t="s">
        <v>352</v>
      </c>
      <c r="F2380">
        <v>-3</v>
      </c>
      <c r="G2380">
        <v>2025</v>
      </c>
    </row>
    <row r="2381" spans="1:7" hidden="1" x14ac:dyDescent="0.2">
      <c r="A2381" t="s">
        <v>46</v>
      </c>
      <c r="B2381" t="s">
        <v>47</v>
      </c>
      <c r="C2381">
        <v>5</v>
      </c>
      <c r="D2381" t="s">
        <v>294</v>
      </c>
      <c r="E2381" t="s">
        <v>540</v>
      </c>
      <c r="F2381">
        <v>0</v>
      </c>
      <c r="G2381">
        <v>2025</v>
      </c>
    </row>
    <row r="2382" spans="1:7" hidden="1" x14ac:dyDescent="0.2">
      <c r="A2382" t="s">
        <v>42</v>
      </c>
      <c r="B2382" t="s">
        <v>17</v>
      </c>
      <c r="C2382">
        <v>5</v>
      </c>
      <c r="D2382" t="s">
        <v>125</v>
      </c>
      <c r="E2382" t="s">
        <v>141</v>
      </c>
      <c r="F2382">
        <v>28.28</v>
      </c>
      <c r="G2382">
        <v>2025</v>
      </c>
    </row>
    <row r="2383" spans="1:7" hidden="1" x14ac:dyDescent="0.2">
      <c r="A2383" t="s">
        <v>42</v>
      </c>
      <c r="B2383" t="s">
        <v>17</v>
      </c>
      <c r="C2383">
        <v>5</v>
      </c>
      <c r="D2383" t="s">
        <v>128</v>
      </c>
      <c r="E2383" t="s">
        <v>146</v>
      </c>
      <c r="F2383">
        <v>19.600000000000001</v>
      </c>
      <c r="G2383">
        <v>2025</v>
      </c>
    </row>
    <row r="2384" spans="1:7" hidden="1" x14ac:dyDescent="0.2">
      <c r="A2384" t="s">
        <v>42</v>
      </c>
      <c r="B2384" t="s">
        <v>17</v>
      </c>
      <c r="C2384">
        <v>5</v>
      </c>
      <c r="D2384" t="s">
        <v>128</v>
      </c>
      <c r="E2384" t="s">
        <v>232</v>
      </c>
      <c r="F2384">
        <v>14</v>
      </c>
      <c r="G2384">
        <v>2025</v>
      </c>
    </row>
    <row r="2385" spans="1:7" hidden="1" x14ac:dyDescent="0.2">
      <c r="A2385" t="s">
        <v>42</v>
      </c>
      <c r="B2385" t="s">
        <v>17</v>
      </c>
      <c r="C2385">
        <v>5</v>
      </c>
      <c r="D2385" t="s">
        <v>128</v>
      </c>
      <c r="E2385" t="s">
        <v>522</v>
      </c>
      <c r="F2385">
        <v>10.3</v>
      </c>
      <c r="G2385">
        <v>2025</v>
      </c>
    </row>
    <row r="2386" spans="1:7" hidden="1" x14ac:dyDescent="0.2">
      <c r="A2386" t="s">
        <v>42</v>
      </c>
      <c r="B2386" t="s">
        <v>17</v>
      </c>
      <c r="C2386">
        <v>5</v>
      </c>
      <c r="D2386" t="s">
        <v>127</v>
      </c>
      <c r="E2386" t="s">
        <v>551</v>
      </c>
      <c r="F2386">
        <v>26</v>
      </c>
      <c r="G2386">
        <v>2025</v>
      </c>
    </row>
    <row r="2387" spans="1:7" hidden="1" x14ac:dyDescent="0.2">
      <c r="A2387" t="s">
        <v>42</v>
      </c>
      <c r="B2387" t="s">
        <v>17</v>
      </c>
      <c r="C2387">
        <v>5</v>
      </c>
      <c r="D2387" t="s">
        <v>127</v>
      </c>
      <c r="E2387" t="s">
        <v>197</v>
      </c>
      <c r="F2387">
        <v>7.5</v>
      </c>
      <c r="G2387">
        <v>2025</v>
      </c>
    </row>
    <row r="2388" spans="1:7" hidden="1" x14ac:dyDescent="0.2">
      <c r="A2388" t="s">
        <v>42</v>
      </c>
      <c r="B2388" t="s">
        <v>17</v>
      </c>
      <c r="C2388">
        <v>5</v>
      </c>
      <c r="D2388" t="s">
        <v>129</v>
      </c>
      <c r="E2388" t="s">
        <v>245</v>
      </c>
      <c r="F2388">
        <v>8.5</v>
      </c>
      <c r="G2388">
        <v>2025</v>
      </c>
    </row>
    <row r="2389" spans="1:7" hidden="1" x14ac:dyDescent="0.2">
      <c r="A2389" t="s">
        <v>42</v>
      </c>
      <c r="B2389" t="s">
        <v>17</v>
      </c>
      <c r="C2389">
        <v>5</v>
      </c>
      <c r="D2389" t="s">
        <v>131</v>
      </c>
      <c r="E2389" t="s">
        <v>523</v>
      </c>
      <c r="F2389">
        <v>3</v>
      </c>
      <c r="G2389">
        <v>2025</v>
      </c>
    </row>
    <row r="2390" spans="1:7" hidden="1" x14ac:dyDescent="0.2">
      <c r="A2390" t="s">
        <v>42</v>
      </c>
      <c r="B2390" t="s">
        <v>17</v>
      </c>
      <c r="C2390">
        <v>5</v>
      </c>
      <c r="D2390" t="s">
        <v>130</v>
      </c>
      <c r="E2390" t="s">
        <v>354</v>
      </c>
      <c r="F2390">
        <v>1</v>
      </c>
      <c r="G2390">
        <v>2025</v>
      </c>
    </row>
    <row r="2391" spans="1:7" hidden="1" x14ac:dyDescent="0.2">
      <c r="A2391" t="s">
        <v>42</v>
      </c>
      <c r="B2391" t="s">
        <v>17</v>
      </c>
      <c r="C2391">
        <v>5</v>
      </c>
      <c r="D2391" t="s">
        <v>294</v>
      </c>
      <c r="E2391" t="s">
        <v>277</v>
      </c>
      <c r="F2391">
        <v>10</v>
      </c>
      <c r="G2391">
        <v>2025</v>
      </c>
    </row>
    <row r="2392" spans="1:7" hidden="1" x14ac:dyDescent="0.2">
      <c r="A2392" t="s">
        <v>18</v>
      </c>
      <c r="B2392" t="s">
        <v>20</v>
      </c>
      <c r="C2392">
        <v>5</v>
      </c>
      <c r="D2392" t="s">
        <v>125</v>
      </c>
      <c r="E2392" t="s">
        <v>311</v>
      </c>
      <c r="F2392">
        <v>25.92</v>
      </c>
      <c r="G2392">
        <v>2025</v>
      </c>
    </row>
    <row r="2393" spans="1:7" hidden="1" x14ac:dyDescent="0.2">
      <c r="A2393" t="s">
        <v>18</v>
      </c>
      <c r="B2393" t="s">
        <v>20</v>
      </c>
      <c r="C2393">
        <v>5</v>
      </c>
      <c r="D2393" t="s">
        <v>128</v>
      </c>
      <c r="E2393" t="s">
        <v>248</v>
      </c>
      <c r="F2393">
        <v>23.2</v>
      </c>
      <c r="G2393">
        <v>2025</v>
      </c>
    </row>
    <row r="2394" spans="1:7" hidden="1" x14ac:dyDescent="0.2">
      <c r="A2394" t="s">
        <v>18</v>
      </c>
      <c r="B2394" t="s">
        <v>20</v>
      </c>
      <c r="C2394">
        <v>5</v>
      </c>
      <c r="D2394" t="s">
        <v>128</v>
      </c>
      <c r="E2394" t="s">
        <v>134</v>
      </c>
      <c r="F2394">
        <v>9.6999999999999993</v>
      </c>
      <c r="G2394">
        <v>2025</v>
      </c>
    </row>
    <row r="2395" spans="1:7" hidden="1" x14ac:dyDescent="0.2">
      <c r="A2395" t="s">
        <v>18</v>
      </c>
      <c r="B2395" t="s">
        <v>20</v>
      </c>
      <c r="C2395">
        <v>5</v>
      </c>
      <c r="D2395" t="s">
        <v>128</v>
      </c>
      <c r="E2395" t="s">
        <v>303</v>
      </c>
      <c r="F2395">
        <v>5.2</v>
      </c>
      <c r="G2395">
        <v>2025</v>
      </c>
    </row>
    <row r="2396" spans="1:7" hidden="1" x14ac:dyDescent="0.2">
      <c r="A2396" t="s">
        <v>18</v>
      </c>
      <c r="B2396" t="s">
        <v>20</v>
      </c>
      <c r="C2396">
        <v>5</v>
      </c>
      <c r="D2396" t="s">
        <v>127</v>
      </c>
      <c r="E2396" t="s">
        <v>547</v>
      </c>
      <c r="F2396">
        <v>11.4</v>
      </c>
      <c r="G2396">
        <v>2025</v>
      </c>
    </row>
    <row r="2397" spans="1:7" hidden="1" x14ac:dyDescent="0.2">
      <c r="A2397" t="s">
        <v>18</v>
      </c>
      <c r="B2397" t="s">
        <v>20</v>
      </c>
      <c r="C2397">
        <v>5</v>
      </c>
      <c r="D2397" t="s">
        <v>127</v>
      </c>
      <c r="E2397" t="s">
        <v>154</v>
      </c>
      <c r="F2397">
        <v>9.3000000000000007</v>
      </c>
      <c r="G2397">
        <v>2025</v>
      </c>
    </row>
    <row r="2398" spans="1:7" hidden="1" x14ac:dyDescent="0.2">
      <c r="A2398" t="s">
        <v>18</v>
      </c>
      <c r="B2398" t="s">
        <v>20</v>
      </c>
      <c r="C2398">
        <v>5</v>
      </c>
      <c r="D2398" t="s">
        <v>129</v>
      </c>
      <c r="E2398" t="s">
        <v>227</v>
      </c>
      <c r="F2398">
        <v>9.4</v>
      </c>
      <c r="G2398">
        <v>2025</v>
      </c>
    </row>
    <row r="2399" spans="1:7" hidden="1" x14ac:dyDescent="0.2">
      <c r="A2399" t="s">
        <v>18</v>
      </c>
      <c r="B2399" t="s">
        <v>20</v>
      </c>
      <c r="C2399">
        <v>5</v>
      </c>
      <c r="D2399" t="s">
        <v>131</v>
      </c>
      <c r="E2399" t="s">
        <v>350</v>
      </c>
      <c r="F2399">
        <v>6</v>
      </c>
      <c r="G2399">
        <v>2025</v>
      </c>
    </row>
    <row r="2400" spans="1:7" hidden="1" x14ac:dyDescent="0.2">
      <c r="A2400" t="s">
        <v>18</v>
      </c>
      <c r="B2400" t="s">
        <v>20</v>
      </c>
      <c r="C2400">
        <v>5</v>
      </c>
      <c r="D2400" t="s">
        <v>130</v>
      </c>
      <c r="E2400" t="s">
        <v>407</v>
      </c>
      <c r="F2400">
        <v>-6</v>
      </c>
      <c r="G2400">
        <v>2025</v>
      </c>
    </row>
    <row r="2401" spans="1:7" hidden="1" x14ac:dyDescent="0.2">
      <c r="A2401" t="s">
        <v>18</v>
      </c>
      <c r="B2401" t="s">
        <v>20</v>
      </c>
      <c r="C2401">
        <v>5</v>
      </c>
      <c r="D2401" t="s">
        <v>293</v>
      </c>
      <c r="E2401" t="s">
        <v>208</v>
      </c>
      <c r="F2401">
        <v>4.9000000000000004</v>
      </c>
      <c r="G2401">
        <v>2025</v>
      </c>
    </row>
    <row r="2402" spans="1:7" hidden="1" x14ac:dyDescent="0.2">
      <c r="A2402" t="s">
        <v>524</v>
      </c>
      <c r="B2402" t="s">
        <v>21</v>
      </c>
      <c r="C2402">
        <v>5</v>
      </c>
      <c r="D2402" t="s">
        <v>125</v>
      </c>
      <c r="E2402" t="s">
        <v>212</v>
      </c>
      <c r="F2402">
        <v>19.420000000000002</v>
      </c>
      <c r="G2402">
        <v>2025</v>
      </c>
    </row>
    <row r="2403" spans="1:7" hidden="1" x14ac:dyDescent="0.2">
      <c r="A2403" t="s">
        <v>524</v>
      </c>
      <c r="B2403" t="s">
        <v>21</v>
      </c>
      <c r="C2403">
        <v>5</v>
      </c>
      <c r="D2403" t="s">
        <v>128</v>
      </c>
      <c r="E2403" t="s">
        <v>304</v>
      </c>
      <c r="F2403">
        <v>8.3000000000000007</v>
      </c>
      <c r="G2403">
        <v>2025</v>
      </c>
    </row>
    <row r="2404" spans="1:7" hidden="1" x14ac:dyDescent="0.2">
      <c r="A2404" t="s">
        <v>524</v>
      </c>
      <c r="B2404" t="s">
        <v>21</v>
      </c>
      <c r="C2404">
        <v>5</v>
      </c>
      <c r="D2404" t="s">
        <v>128</v>
      </c>
      <c r="E2404" t="s">
        <v>552</v>
      </c>
      <c r="F2404">
        <v>7</v>
      </c>
      <c r="G2404">
        <v>2025</v>
      </c>
    </row>
    <row r="2405" spans="1:7" hidden="1" x14ac:dyDescent="0.2">
      <c r="A2405" t="s">
        <v>524</v>
      </c>
      <c r="B2405" t="s">
        <v>21</v>
      </c>
      <c r="C2405">
        <v>5</v>
      </c>
      <c r="D2405" t="s">
        <v>128</v>
      </c>
      <c r="E2405" t="s">
        <v>222</v>
      </c>
      <c r="F2405">
        <v>1.5</v>
      </c>
      <c r="G2405">
        <v>2025</v>
      </c>
    </row>
    <row r="2406" spans="1:7" hidden="1" x14ac:dyDescent="0.2">
      <c r="A2406" t="s">
        <v>524</v>
      </c>
      <c r="B2406" t="s">
        <v>21</v>
      </c>
      <c r="C2406">
        <v>5</v>
      </c>
      <c r="D2406" t="s">
        <v>127</v>
      </c>
      <c r="E2406" t="s">
        <v>181</v>
      </c>
      <c r="F2406">
        <v>17.72</v>
      </c>
      <c r="G2406">
        <v>2025</v>
      </c>
    </row>
    <row r="2407" spans="1:7" hidden="1" x14ac:dyDescent="0.2">
      <c r="A2407" t="s">
        <v>524</v>
      </c>
      <c r="B2407" t="s">
        <v>21</v>
      </c>
      <c r="C2407">
        <v>5</v>
      </c>
      <c r="D2407" t="s">
        <v>127</v>
      </c>
      <c r="E2407" t="s">
        <v>216</v>
      </c>
      <c r="F2407">
        <v>16.3</v>
      </c>
      <c r="G2407">
        <v>2025</v>
      </c>
    </row>
    <row r="2408" spans="1:7" hidden="1" x14ac:dyDescent="0.2">
      <c r="A2408" t="s">
        <v>524</v>
      </c>
      <c r="B2408" t="s">
        <v>21</v>
      </c>
      <c r="C2408">
        <v>5</v>
      </c>
      <c r="D2408" t="s">
        <v>129</v>
      </c>
      <c r="E2408" t="s">
        <v>249</v>
      </c>
      <c r="F2408">
        <v>15.6</v>
      </c>
      <c r="G2408">
        <v>2025</v>
      </c>
    </row>
    <row r="2409" spans="1:7" hidden="1" x14ac:dyDescent="0.2">
      <c r="A2409" t="s">
        <v>524</v>
      </c>
      <c r="B2409" t="s">
        <v>21</v>
      </c>
      <c r="C2409">
        <v>5</v>
      </c>
      <c r="D2409" t="s">
        <v>131</v>
      </c>
      <c r="E2409" t="s">
        <v>214</v>
      </c>
      <c r="F2409">
        <v>4</v>
      </c>
      <c r="G2409">
        <v>2025</v>
      </c>
    </row>
    <row r="2410" spans="1:7" hidden="1" x14ac:dyDescent="0.2">
      <c r="A2410" t="s">
        <v>524</v>
      </c>
      <c r="B2410" t="s">
        <v>21</v>
      </c>
      <c r="C2410">
        <v>5</v>
      </c>
      <c r="D2410" t="s">
        <v>130</v>
      </c>
      <c r="E2410" t="s">
        <v>194</v>
      </c>
      <c r="F2410">
        <v>2</v>
      </c>
      <c r="G2410">
        <v>2025</v>
      </c>
    </row>
    <row r="2411" spans="1:7" hidden="1" x14ac:dyDescent="0.2">
      <c r="A2411" t="s">
        <v>524</v>
      </c>
      <c r="B2411" t="s">
        <v>21</v>
      </c>
      <c r="C2411">
        <v>5</v>
      </c>
      <c r="D2411" t="s">
        <v>293</v>
      </c>
      <c r="E2411" t="s">
        <v>529</v>
      </c>
      <c r="F2411">
        <v>10</v>
      </c>
      <c r="G2411">
        <v>2025</v>
      </c>
    </row>
    <row r="2412" spans="1:7" hidden="1" x14ac:dyDescent="0.2">
      <c r="A2412" t="s">
        <v>526</v>
      </c>
      <c r="B2412" t="s">
        <v>32</v>
      </c>
      <c r="C2412">
        <v>5</v>
      </c>
      <c r="D2412" t="s">
        <v>125</v>
      </c>
      <c r="E2412" t="s">
        <v>392</v>
      </c>
      <c r="F2412">
        <v>20.12</v>
      </c>
      <c r="G2412">
        <v>2025</v>
      </c>
    </row>
    <row r="2413" spans="1:7" hidden="1" x14ac:dyDescent="0.2">
      <c r="A2413" t="s">
        <v>526</v>
      </c>
      <c r="B2413" t="s">
        <v>32</v>
      </c>
      <c r="C2413">
        <v>5</v>
      </c>
      <c r="D2413" t="s">
        <v>128</v>
      </c>
      <c r="E2413" t="s">
        <v>186</v>
      </c>
      <c r="F2413">
        <v>12.4</v>
      </c>
      <c r="G2413">
        <v>2025</v>
      </c>
    </row>
    <row r="2414" spans="1:7" hidden="1" x14ac:dyDescent="0.2">
      <c r="A2414" t="s">
        <v>526</v>
      </c>
      <c r="B2414" t="s">
        <v>32</v>
      </c>
      <c r="C2414">
        <v>5</v>
      </c>
      <c r="D2414" t="s">
        <v>128</v>
      </c>
      <c r="E2414" t="s">
        <v>224</v>
      </c>
      <c r="F2414">
        <v>16.100000000000001</v>
      </c>
      <c r="G2414">
        <v>2025</v>
      </c>
    </row>
    <row r="2415" spans="1:7" hidden="1" x14ac:dyDescent="0.2">
      <c r="A2415" t="s">
        <v>526</v>
      </c>
      <c r="B2415" t="s">
        <v>32</v>
      </c>
      <c r="C2415">
        <v>5</v>
      </c>
      <c r="D2415" t="s">
        <v>128</v>
      </c>
      <c r="E2415" t="s">
        <v>539</v>
      </c>
      <c r="F2415">
        <v>7.9</v>
      </c>
      <c r="G2415">
        <v>2025</v>
      </c>
    </row>
    <row r="2416" spans="1:7" hidden="1" x14ac:dyDescent="0.2">
      <c r="A2416" t="s">
        <v>526</v>
      </c>
      <c r="B2416" t="s">
        <v>32</v>
      </c>
      <c r="C2416">
        <v>5</v>
      </c>
      <c r="D2416" t="s">
        <v>127</v>
      </c>
      <c r="E2416" t="s">
        <v>148</v>
      </c>
      <c r="F2416">
        <v>13.6</v>
      </c>
      <c r="G2416">
        <v>2025</v>
      </c>
    </row>
    <row r="2417" spans="1:7" hidden="1" x14ac:dyDescent="0.2">
      <c r="A2417" t="s">
        <v>526</v>
      </c>
      <c r="B2417" t="s">
        <v>32</v>
      </c>
      <c r="C2417">
        <v>5</v>
      </c>
      <c r="D2417" t="s">
        <v>127</v>
      </c>
      <c r="E2417" t="s">
        <v>226</v>
      </c>
      <c r="F2417">
        <v>15.5</v>
      </c>
      <c r="G2417">
        <v>2025</v>
      </c>
    </row>
    <row r="2418" spans="1:7" hidden="1" x14ac:dyDescent="0.2">
      <c r="A2418" t="s">
        <v>526</v>
      </c>
      <c r="B2418" t="s">
        <v>32</v>
      </c>
      <c r="C2418">
        <v>5</v>
      </c>
      <c r="D2418" t="s">
        <v>129</v>
      </c>
      <c r="E2418" t="s">
        <v>535</v>
      </c>
      <c r="F2418">
        <v>2.7</v>
      </c>
      <c r="G2418">
        <v>2025</v>
      </c>
    </row>
    <row r="2419" spans="1:7" hidden="1" x14ac:dyDescent="0.2">
      <c r="A2419" t="s">
        <v>526</v>
      </c>
      <c r="B2419" t="s">
        <v>32</v>
      </c>
      <c r="C2419">
        <v>5</v>
      </c>
      <c r="D2419" t="s">
        <v>131</v>
      </c>
      <c r="E2419" t="s">
        <v>553</v>
      </c>
      <c r="F2419">
        <v>5</v>
      </c>
      <c r="G2419">
        <v>2025</v>
      </c>
    </row>
    <row r="2420" spans="1:7" hidden="1" x14ac:dyDescent="0.2">
      <c r="A2420" t="s">
        <v>526</v>
      </c>
      <c r="B2420" t="s">
        <v>32</v>
      </c>
      <c r="C2420">
        <v>5</v>
      </c>
      <c r="D2420" t="s">
        <v>130</v>
      </c>
      <c r="E2420" t="s">
        <v>358</v>
      </c>
      <c r="F2420">
        <v>9</v>
      </c>
      <c r="G2420">
        <v>2025</v>
      </c>
    </row>
    <row r="2421" spans="1:7" hidden="1" x14ac:dyDescent="0.2">
      <c r="A2421" t="s">
        <v>526</v>
      </c>
      <c r="B2421" t="s">
        <v>32</v>
      </c>
      <c r="C2421">
        <v>5</v>
      </c>
      <c r="D2421" t="s">
        <v>293</v>
      </c>
      <c r="E2421" t="s">
        <v>225</v>
      </c>
      <c r="F2421">
        <v>9.1</v>
      </c>
      <c r="G2421">
        <v>2025</v>
      </c>
    </row>
    <row r="2422" spans="1:7" hidden="1" x14ac:dyDescent="0.2">
      <c r="A2422" t="s">
        <v>521</v>
      </c>
      <c r="B2422" t="s">
        <v>29</v>
      </c>
      <c r="C2422">
        <v>5</v>
      </c>
      <c r="D2422" t="s">
        <v>125</v>
      </c>
      <c r="E2422" t="s">
        <v>150</v>
      </c>
      <c r="F2422">
        <v>26.72</v>
      </c>
      <c r="G2422">
        <v>2025</v>
      </c>
    </row>
    <row r="2423" spans="1:7" hidden="1" x14ac:dyDescent="0.2">
      <c r="A2423" t="s">
        <v>521</v>
      </c>
      <c r="B2423" t="s">
        <v>29</v>
      </c>
      <c r="C2423">
        <v>5</v>
      </c>
      <c r="D2423" t="s">
        <v>128</v>
      </c>
      <c r="E2423" t="s">
        <v>199</v>
      </c>
      <c r="F2423">
        <v>19.600000000000001</v>
      </c>
      <c r="G2423">
        <v>2025</v>
      </c>
    </row>
    <row r="2424" spans="1:7" hidden="1" x14ac:dyDescent="0.2">
      <c r="A2424" t="s">
        <v>521</v>
      </c>
      <c r="B2424" t="s">
        <v>29</v>
      </c>
      <c r="C2424">
        <v>5</v>
      </c>
      <c r="D2424" t="s">
        <v>128</v>
      </c>
      <c r="E2424" t="s">
        <v>171</v>
      </c>
      <c r="F2424">
        <v>15.8</v>
      </c>
      <c r="G2424">
        <v>2025</v>
      </c>
    </row>
    <row r="2425" spans="1:7" hidden="1" x14ac:dyDescent="0.2">
      <c r="A2425" t="s">
        <v>521</v>
      </c>
      <c r="B2425" t="s">
        <v>29</v>
      </c>
      <c r="C2425">
        <v>5</v>
      </c>
      <c r="D2425" t="s">
        <v>128</v>
      </c>
      <c r="E2425" t="s">
        <v>162</v>
      </c>
      <c r="F2425">
        <v>11.8</v>
      </c>
      <c r="G2425">
        <v>2025</v>
      </c>
    </row>
    <row r="2426" spans="1:7" hidden="1" x14ac:dyDescent="0.2">
      <c r="A2426" t="s">
        <v>521</v>
      </c>
      <c r="B2426" t="s">
        <v>29</v>
      </c>
      <c r="C2426">
        <v>5</v>
      </c>
      <c r="D2426" t="s">
        <v>127</v>
      </c>
      <c r="E2426" t="s">
        <v>198</v>
      </c>
      <c r="F2426">
        <v>30.1</v>
      </c>
      <c r="G2426">
        <v>2025</v>
      </c>
    </row>
    <row r="2427" spans="1:7" hidden="1" x14ac:dyDescent="0.2">
      <c r="A2427" t="s">
        <v>521</v>
      </c>
      <c r="B2427" t="s">
        <v>29</v>
      </c>
      <c r="C2427">
        <v>5</v>
      </c>
      <c r="D2427" t="s">
        <v>127</v>
      </c>
      <c r="E2427" t="s">
        <v>244</v>
      </c>
      <c r="F2427">
        <v>11.1</v>
      </c>
      <c r="G2427">
        <v>2025</v>
      </c>
    </row>
    <row r="2428" spans="1:7" hidden="1" x14ac:dyDescent="0.2">
      <c r="A2428" t="s">
        <v>521</v>
      </c>
      <c r="B2428" t="s">
        <v>29</v>
      </c>
      <c r="C2428">
        <v>5</v>
      </c>
      <c r="D2428" t="s">
        <v>129</v>
      </c>
      <c r="E2428" t="s">
        <v>209</v>
      </c>
      <c r="F2428">
        <v>13.8</v>
      </c>
      <c r="G2428">
        <v>2025</v>
      </c>
    </row>
    <row r="2429" spans="1:7" hidden="1" x14ac:dyDescent="0.2">
      <c r="A2429" t="s">
        <v>521</v>
      </c>
      <c r="B2429" t="s">
        <v>29</v>
      </c>
      <c r="C2429">
        <v>5</v>
      </c>
      <c r="D2429" t="s">
        <v>131</v>
      </c>
      <c r="E2429" t="s">
        <v>374</v>
      </c>
      <c r="F2429">
        <v>5</v>
      </c>
      <c r="G2429">
        <v>2025</v>
      </c>
    </row>
    <row r="2430" spans="1:7" hidden="1" x14ac:dyDescent="0.2">
      <c r="A2430" t="s">
        <v>521</v>
      </c>
      <c r="B2430" t="s">
        <v>29</v>
      </c>
      <c r="C2430">
        <v>5</v>
      </c>
      <c r="D2430" t="s">
        <v>130</v>
      </c>
      <c r="E2430" t="s">
        <v>405</v>
      </c>
      <c r="F2430">
        <v>6</v>
      </c>
      <c r="G2430">
        <v>2025</v>
      </c>
    </row>
    <row r="2431" spans="1:7" hidden="1" x14ac:dyDescent="0.2">
      <c r="A2431" t="s">
        <v>521</v>
      </c>
      <c r="B2431" t="s">
        <v>29</v>
      </c>
      <c r="C2431">
        <v>5</v>
      </c>
      <c r="D2431" t="s">
        <v>294</v>
      </c>
      <c r="E2431" t="s">
        <v>151</v>
      </c>
      <c r="F2431">
        <v>11.3</v>
      </c>
      <c r="G2431">
        <v>2025</v>
      </c>
    </row>
    <row r="2432" spans="1:7" hidden="1" x14ac:dyDescent="0.2">
      <c r="A2432" t="s">
        <v>77</v>
      </c>
      <c r="B2432" t="s">
        <v>45</v>
      </c>
      <c r="C2432">
        <v>5</v>
      </c>
      <c r="D2432" t="s">
        <v>125</v>
      </c>
      <c r="E2432" t="s">
        <v>241</v>
      </c>
      <c r="F2432">
        <v>26.66</v>
      </c>
      <c r="G2432">
        <v>2025</v>
      </c>
    </row>
    <row r="2433" spans="1:7" hidden="1" x14ac:dyDescent="0.2">
      <c r="A2433" t="s">
        <v>77</v>
      </c>
      <c r="B2433" t="s">
        <v>45</v>
      </c>
      <c r="C2433">
        <v>5</v>
      </c>
      <c r="D2433" t="s">
        <v>128</v>
      </c>
      <c r="E2433" t="s">
        <v>231</v>
      </c>
      <c r="F2433">
        <v>26</v>
      </c>
      <c r="G2433">
        <v>2025</v>
      </c>
    </row>
    <row r="2434" spans="1:7" hidden="1" x14ac:dyDescent="0.2">
      <c r="A2434" t="s">
        <v>77</v>
      </c>
      <c r="B2434" t="s">
        <v>45</v>
      </c>
      <c r="C2434">
        <v>5</v>
      </c>
      <c r="D2434" t="s">
        <v>128</v>
      </c>
      <c r="E2434" t="s">
        <v>187</v>
      </c>
      <c r="F2434">
        <v>14</v>
      </c>
      <c r="G2434">
        <v>2025</v>
      </c>
    </row>
    <row r="2435" spans="1:7" hidden="1" x14ac:dyDescent="0.2">
      <c r="A2435" t="s">
        <v>77</v>
      </c>
      <c r="B2435" t="s">
        <v>45</v>
      </c>
      <c r="C2435">
        <v>5</v>
      </c>
      <c r="D2435" t="s">
        <v>128</v>
      </c>
      <c r="E2435" t="s">
        <v>554</v>
      </c>
      <c r="F2435">
        <v>2.6</v>
      </c>
      <c r="G2435">
        <v>2025</v>
      </c>
    </row>
    <row r="2436" spans="1:7" hidden="1" x14ac:dyDescent="0.2">
      <c r="A2436" t="s">
        <v>77</v>
      </c>
      <c r="B2436" t="s">
        <v>45</v>
      </c>
      <c r="C2436">
        <v>5</v>
      </c>
      <c r="D2436" t="s">
        <v>127</v>
      </c>
      <c r="E2436" t="s">
        <v>136</v>
      </c>
      <c r="F2436">
        <v>26.4</v>
      </c>
      <c r="G2436">
        <v>2025</v>
      </c>
    </row>
    <row r="2437" spans="1:7" hidden="1" x14ac:dyDescent="0.2">
      <c r="A2437" t="s">
        <v>77</v>
      </c>
      <c r="B2437" t="s">
        <v>45</v>
      </c>
      <c r="C2437">
        <v>5</v>
      </c>
      <c r="D2437" t="s">
        <v>127</v>
      </c>
      <c r="E2437" t="s">
        <v>313</v>
      </c>
      <c r="F2437">
        <v>18.2</v>
      </c>
      <c r="G2437">
        <v>2025</v>
      </c>
    </row>
    <row r="2438" spans="1:7" hidden="1" x14ac:dyDescent="0.2">
      <c r="A2438" t="s">
        <v>77</v>
      </c>
      <c r="B2438" t="s">
        <v>45</v>
      </c>
      <c r="C2438">
        <v>5</v>
      </c>
      <c r="D2438" t="s">
        <v>129</v>
      </c>
      <c r="E2438" t="s">
        <v>165</v>
      </c>
      <c r="F2438">
        <v>5.6</v>
      </c>
      <c r="G2438">
        <v>2025</v>
      </c>
    </row>
    <row r="2439" spans="1:7" hidden="1" x14ac:dyDescent="0.2">
      <c r="A2439" t="s">
        <v>77</v>
      </c>
      <c r="B2439" t="s">
        <v>45</v>
      </c>
      <c r="C2439">
        <v>5</v>
      </c>
      <c r="D2439" t="s">
        <v>131</v>
      </c>
      <c r="E2439" t="s">
        <v>532</v>
      </c>
      <c r="F2439">
        <v>9</v>
      </c>
      <c r="G2439">
        <v>2025</v>
      </c>
    </row>
    <row r="2440" spans="1:7" hidden="1" x14ac:dyDescent="0.2">
      <c r="A2440" t="s">
        <v>77</v>
      </c>
      <c r="B2440" t="s">
        <v>45</v>
      </c>
      <c r="C2440">
        <v>5</v>
      </c>
      <c r="D2440" t="s">
        <v>130</v>
      </c>
      <c r="E2440" t="s">
        <v>229</v>
      </c>
      <c r="F2440">
        <v>17</v>
      </c>
      <c r="G2440">
        <v>2025</v>
      </c>
    </row>
    <row r="2441" spans="1:7" hidden="1" x14ac:dyDescent="0.2">
      <c r="A2441" t="s">
        <v>77</v>
      </c>
      <c r="B2441" t="s">
        <v>45</v>
      </c>
      <c r="C2441">
        <v>5</v>
      </c>
      <c r="D2441" t="s">
        <v>297</v>
      </c>
      <c r="E2441" t="s">
        <v>317</v>
      </c>
      <c r="F2441">
        <v>0</v>
      </c>
      <c r="G2441">
        <v>2025</v>
      </c>
    </row>
    <row r="2442" spans="1:7" hidden="1" x14ac:dyDescent="0.2">
      <c r="A2442" t="s">
        <v>525</v>
      </c>
      <c r="B2442" t="s">
        <v>36</v>
      </c>
      <c r="C2442">
        <v>5</v>
      </c>
      <c r="D2442" t="s">
        <v>125</v>
      </c>
      <c r="E2442" t="s">
        <v>386</v>
      </c>
      <c r="F2442">
        <v>14.64</v>
      </c>
      <c r="G2442">
        <v>2025</v>
      </c>
    </row>
    <row r="2443" spans="1:7" hidden="1" x14ac:dyDescent="0.2">
      <c r="A2443" t="s">
        <v>525</v>
      </c>
      <c r="B2443" t="s">
        <v>36</v>
      </c>
      <c r="C2443">
        <v>5</v>
      </c>
      <c r="D2443" t="s">
        <v>128</v>
      </c>
      <c r="E2443" t="s">
        <v>527</v>
      </c>
      <c r="F2443">
        <v>27.8</v>
      </c>
      <c r="G2443">
        <v>2025</v>
      </c>
    </row>
    <row r="2444" spans="1:7" hidden="1" x14ac:dyDescent="0.2">
      <c r="A2444" t="s">
        <v>525</v>
      </c>
      <c r="B2444" t="s">
        <v>36</v>
      </c>
      <c r="C2444">
        <v>5</v>
      </c>
      <c r="D2444" t="s">
        <v>128</v>
      </c>
      <c r="E2444" t="s">
        <v>145</v>
      </c>
      <c r="F2444">
        <v>6.8</v>
      </c>
      <c r="G2444">
        <v>2025</v>
      </c>
    </row>
    <row r="2445" spans="1:7" hidden="1" x14ac:dyDescent="0.2">
      <c r="A2445" t="s">
        <v>525</v>
      </c>
      <c r="B2445" t="s">
        <v>36</v>
      </c>
      <c r="C2445">
        <v>5</v>
      </c>
      <c r="D2445" t="s">
        <v>128</v>
      </c>
      <c r="E2445" t="s">
        <v>161</v>
      </c>
      <c r="F2445">
        <v>9.4</v>
      </c>
      <c r="G2445">
        <v>2025</v>
      </c>
    </row>
    <row r="2446" spans="1:7" hidden="1" x14ac:dyDescent="0.2">
      <c r="A2446" t="s">
        <v>525</v>
      </c>
      <c r="B2446" t="s">
        <v>36</v>
      </c>
      <c r="C2446">
        <v>5</v>
      </c>
      <c r="D2446" t="s">
        <v>127</v>
      </c>
      <c r="E2446" t="s">
        <v>207</v>
      </c>
      <c r="F2446">
        <v>15.7</v>
      </c>
      <c r="G2446">
        <v>2025</v>
      </c>
    </row>
    <row r="2447" spans="1:7" hidden="1" x14ac:dyDescent="0.2">
      <c r="A2447" t="s">
        <v>525</v>
      </c>
      <c r="B2447" t="s">
        <v>36</v>
      </c>
      <c r="C2447">
        <v>5</v>
      </c>
      <c r="D2447" t="s">
        <v>127</v>
      </c>
      <c r="E2447" t="s">
        <v>361</v>
      </c>
      <c r="F2447">
        <v>12.1</v>
      </c>
      <c r="G2447">
        <v>2025</v>
      </c>
    </row>
    <row r="2448" spans="1:7" hidden="1" x14ac:dyDescent="0.2">
      <c r="A2448" t="s">
        <v>525</v>
      </c>
      <c r="B2448" t="s">
        <v>36</v>
      </c>
      <c r="C2448">
        <v>5</v>
      </c>
      <c r="D2448" t="s">
        <v>129</v>
      </c>
      <c r="E2448" t="s">
        <v>156</v>
      </c>
      <c r="F2448">
        <v>17.7</v>
      </c>
      <c r="G2448">
        <v>2025</v>
      </c>
    </row>
    <row r="2449" spans="1:7" hidden="1" x14ac:dyDescent="0.2">
      <c r="A2449" t="s">
        <v>525</v>
      </c>
      <c r="B2449" t="s">
        <v>36</v>
      </c>
      <c r="C2449">
        <v>5</v>
      </c>
      <c r="D2449" t="s">
        <v>131</v>
      </c>
      <c r="E2449" t="s">
        <v>183</v>
      </c>
      <c r="F2449">
        <v>5</v>
      </c>
      <c r="G2449">
        <v>2025</v>
      </c>
    </row>
    <row r="2450" spans="1:7" hidden="1" x14ac:dyDescent="0.2">
      <c r="A2450" t="s">
        <v>525</v>
      </c>
      <c r="B2450" t="s">
        <v>36</v>
      </c>
      <c r="C2450">
        <v>5</v>
      </c>
      <c r="D2450" t="s">
        <v>130</v>
      </c>
      <c r="E2450" t="s">
        <v>142</v>
      </c>
      <c r="F2450">
        <v>-7</v>
      </c>
      <c r="G2450">
        <v>2025</v>
      </c>
    </row>
    <row r="2451" spans="1:7" hidden="1" x14ac:dyDescent="0.2">
      <c r="A2451" t="s">
        <v>525</v>
      </c>
      <c r="B2451" t="s">
        <v>36</v>
      </c>
      <c r="C2451">
        <v>5</v>
      </c>
      <c r="D2451" t="s">
        <v>294</v>
      </c>
      <c r="E2451" t="s">
        <v>298</v>
      </c>
      <c r="F2451">
        <v>4.9000000000000004</v>
      </c>
      <c r="G2451">
        <v>2025</v>
      </c>
    </row>
    <row r="2452" spans="1:7" hidden="1" x14ac:dyDescent="0.2">
      <c r="A2452" t="s">
        <v>31</v>
      </c>
      <c r="B2452" t="s">
        <v>33</v>
      </c>
      <c r="C2452">
        <v>5</v>
      </c>
      <c r="D2452" t="s">
        <v>125</v>
      </c>
      <c r="E2452" t="s">
        <v>334</v>
      </c>
      <c r="F2452">
        <v>16.68</v>
      </c>
      <c r="G2452">
        <v>2025</v>
      </c>
    </row>
    <row r="2453" spans="1:7" hidden="1" x14ac:dyDescent="0.2">
      <c r="A2453" t="s">
        <v>31</v>
      </c>
      <c r="B2453" t="s">
        <v>33</v>
      </c>
      <c r="C2453">
        <v>5</v>
      </c>
      <c r="D2453" t="s">
        <v>128</v>
      </c>
      <c r="E2453" t="s">
        <v>243</v>
      </c>
      <c r="F2453">
        <v>15.6</v>
      </c>
      <c r="G2453">
        <v>2025</v>
      </c>
    </row>
    <row r="2454" spans="1:7" hidden="1" x14ac:dyDescent="0.2">
      <c r="A2454" t="s">
        <v>31</v>
      </c>
      <c r="B2454" t="s">
        <v>33</v>
      </c>
      <c r="C2454">
        <v>5</v>
      </c>
      <c r="D2454" t="s">
        <v>128</v>
      </c>
      <c r="E2454" t="s">
        <v>537</v>
      </c>
      <c r="F2454">
        <v>6.8</v>
      </c>
      <c r="G2454">
        <v>2025</v>
      </c>
    </row>
    <row r="2455" spans="1:7" hidden="1" x14ac:dyDescent="0.2">
      <c r="A2455" t="s">
        <v>31</v>
      </c>
      <c r="B2455" t="s">
        <v>33</v>
      </c>
      <c r="C2455">
        <v>5</v>
      </c>
      <c r="D2455" t="s">
        <v>128</v>
      </c>
      <c r="E2455" t="s">
        <v>390</v>
      </c>
      <c r="F2455">
        <v>5.8</v>
      </c>
      <c r="G2455">
        <v>2025</v>
      </c>
    </row>
    <row r="2456" spans="1:7" hidden="1" x14ac:dyDescent="0.2">
      <c r="A2456" t="s">
        <v>31</v>
      </c>
      <c r="B2456" t="s">
        <v>33</v>
      </c>
      <c r="C2456">
        <v>5</v>
      </c>
      <c r="D2456" t="s">
        <v>127</v>
      </c>
      <c r="E2456" t="s">
        <v>318</v>
      </c>
      <c r="F2456">
        <v>30.9</v>
      </c>
      <c r="G2456">
        <v>2025</v>
      </c>
    </row>
    <row r="2457" spans="1:7" hidden="1" x14ac:dyDescent="0.2">
      <c r="A2457" t="s">
        <v>31</v>
      </c>
      <c r="B2457" t="s">
        <v>33</v>
      </c>
      <c r="C2457">
        <v>5</v>
      </c>
      <c r="D2457" t="s">
        <v>127</v>
      </c>
      <c r="E2457" t="s">
        <v>259</v>
      </c>
      <c r="F2457">
        <v>14.9</v>
      </c>
      <c r="G2457">
        <v>2025</v>
      </c>
    </row>
    <row r="2458" spans="1:7" hidden="1" x14ac:dyDescent="0.2">
      <c r="A2458" t="s">
        <v>31</v>
      </c>
      <c r="B2458" t="s">
        <v>33</v>
      </c>
      <c r="C2458">
        <v>5</v>
      </c>
      <c r="D2458" t="s">
        <v>129</v>
      </c>
      <c r="E2458" t="s">
        <v>530</v>
      </c>
      <c r="F2458">
        <v>12.4</v>
      </c>
      <c r="G2458">
        <v>2025</v>
      </c>
    </row>
    <row r="2459" spans="1:7" hidden="1" x14ac:dyDescent="0.2">
      <c r="A2459" t="s">
        <v>31</v>
      </c>
      <c r="B2459" t="s">
        <v>33</v>
      </c>
      <c r="C2459">
        <v>5</v>
      </c>
      <c r="D2459" t="s">
        <v>131</v>
      </c>
      <c r="E2459" t="s">
        <v>195</v>
      </c>
      <c r="F2459">
        <v>18</v>
      </c>
      <c r="G2459">
        <v>2025</v>
      </c>
    </row>
    <row r="2460" spans="1:7" hidden="1" x14ac:dyDescent="0.2">
      <c r="A2460" t="s">
        <v>31</v>
      </c>
      <c r="B2460" t="s">
        <v>33</v>
      </c>
      <c r="C2460">
        <v>5</v>
      </c>
      <c r="D2460" t="s">
        <v>130</v>
      </c>
      <c r="E2460" t="s">
        <v>251</v>
      </c>
      <c r="F2460">
        <v>6</v>
      </c>
      <c r="G2460">
        <v>2025</v>
      </c>
    </row>
    <row r="2461" spans="1:7" hidden="1" x14ac:dyDescent="0.2">
      <c r="A2461" t="s">
        <v>31</v>
      </c>
      <c r="B2461" t="s">
        <v>33</v>
      </c>
      <c r="C2461">
        <v>5</v>
      </c>
      <c r="D2461" t="s">
        <v>293</v>
      </c>
      <c r="E2461" t="s">
        <v>555</v>
      </c>
      <c r="F2461">
        <v>6.1</v>
      </c>
      <c r="G2461">
        <v>2025</v>
      </c>
    </row>
    <row r="2462" spans="1:7" hidden="1" x14ac:dyDescent="0.2">
      <c r="A2462" t="s">
        <v>35</v>
      </c>
      <c r="B2462" t="s">
        <v>49</v>
      </c>
      <c r="C2462">
        <v>5</v>
      </c>
      <c r="D2462" t="s">
        <v>125</v>
      </c>
      <c r="E2462" t="s">
        <v>168</v>
      </c>
      <c r="F2462">
        <v>19.5</v>
      </c>
      <c r="G2462">
        <v>2025</v>
      </c>
    </row>
    <row r="2463" spans="1:7" hidden="1" x14ac:dyDescent="0.2">
      <c r="A2463" t="s">
        <v>35</v>
      </c>
      <c r="B2463" t="s">
        <v>49</v>
      </c>
      <c r="C2463">
        <v>5</v>
      </c>
      <c r="D2463" t="s">
        <v>128</v>
      </c>
      <c r="E2463" t="s">
        <v>160</v>
      </c>
      <c r="F2463">
        <v>12.7</v>
      </c>
      <c r="G2463">
        <v>2025</v>
      </c>
    </row>
    <row r="2464" spans="1:7" hidden="1" x14ac:dyDescent="0.2">
      <c r="A2464" t="s">
        <v>35</v>
      </c>
      <c r="B2464" t="s">
        <v>49</v>
      </c>
      <c r="C2464">
        <v>5</v>
      </c>
      <c r="D2464" t="s">
        <v>128</v>
      </c>
      <c r="E2464" t="s">
        <v>205</v>
      </c>
      <c r="F2464">
        <v>15.4</v>
      </c>
      <c r="G2464">
        <v>2025</v>
      </c>
    </row>
    <row r="2465" spans="1:7" hidden="1" x14ac:dyDescent="0.2">
      <c r="A2465" t="s">
        <v>35</v>
      </c>
      <c r="B2465" t="s">
        <v>49</v>
      </c>
      <c r="C2465">
        <v>5</v>
      </c>
      <c r="D2465" t="s">
        <v>128</v>
      </c>
      <c r="E2465" t="s">
        <v>262</v>
      </c>
      <c r="F2465">
        <v>19.399999999999999</v>
      </c>
      <c r="G2465">
        <v>2025</v>
      </c>
    </row>
    <row r="2466" spans="1:7" hidden="1" x14ac:dyDescent="0.2">
      <c r="A2466" t="s">
        <v>35</v>
      </c>
      <c r="B2466" t="s">
        <v>49</v>
      </c>
      <c r="C2466">
        <v>5</v>
      </c>
      <c r="D2466" t="s">
        <v>127</v>
      </c>
      <c r="E2466" t="s">
        <v>256</v>
      </c>
      <c r="F2466">
        <v>27.1</v>
      </c>
      <c r="G2466">
        <v>2025</v>
      </c>
    </row>
    <row r="2467" spans="1:7" hidden="1" x14ac:dyDescent="0.2">
      <c r="A2467" t="s">
        <v>35</v>
      </c>
      <c r="B2467" t="s">
        <v>49</v>
      </c>
      <c r="C2467">
        <v>5</v>
      </c>
      <c r="D2467" t="s">
        <v>127</v>
      </c>
      <c r="E2467" t="s">
        <v>534</v>
      </c>
      <c r="F2467">
        <v>4.5</v>
      </c>
      <c r="G2467">
        <v>2025</v>
      </c>
    </row>
    <row r="2468" spans="1:7" hidden="1" x14ac:dyDescent="0.2">
      <c r="A2468" t="s">
        <v>35</v>
      </c>
      <c r="B2468" t="s">
        <v>49</v>
      </c>
      <c r="C2468">
        <v>5</v>
      </c>
      <c r="D2468" t="s">
        <v>129</v>
      </c>
      <c r="E2468" t="s">
        <v>137</v>
      </c>
      <c r="F2468">
        <v>6.6</v>
      </c>
      <c r="G2468">
        <v>2025</v>
      </c>
    </row>
    <row r="2469" spans="1:7" hidden="1" x14ac:dyDescent="0.2">
      <c r="A2469" t="s">
        <v>35</v>
      </c>
      <c r="B2469" t="s">
        <v>49</v>
      </c>
      <c r="C2469">
        <v>5</v>
      </c>
      <c r="D2469" t="s">
        <v>131</v>
      </c>
      <c r="E2469" t="s">
        <v>548</v>
      </c>
      <c r="F2469">
        <v>2</v>
      </c>
      <c r="G2469">
        <v>2025</v>
      </c>
    </row>
    <row r="2470" spans="1:7" hidden="1" x14ac:dyDescent="0.2">
      <c r="A2470" t="s">
        <v>35</v>
      </c>
      <c r="B2470" t="s">
        <v>49</v>
      </c>
      <c r="C2470">
        <v>5</v>
      </c>
      <c r="D2470" t="s">
        <v>130</v>
      </c>
      <c r="E2470" t="s">
        <v>157</v>
      </c>
      <c r="F2470">
        <v>5</v>
      </c>
      <c r="G2470">
        <v>2025</v>
      </c>
    </row>
    <row r="2471" spans="1:7" hidden="1" x14ac:dyDescent="0.2">
      <c r="A2471" t="s">
        <v>35</v>
      </c>
      <c r="B2471" t="s">
        <v>49</v>
      </c>
      <c r="C2471">
        <v>5</v>
      </c>
      <c r="D2471" t="s">
        <v>293</v>
      </c>
      <c r="E2471" t="s">
        <v>556</v>
      </c>
      <c r="F2471">
        <v>2.4</v>
      </c>
      <c r="G2471">
        <v>2025</v>
      </c>
    </row>
    <row r="2472" spans="1:7" hidden="1" x14ac:dyDescent="0.2">
      <c r="A2472" t="s">
        <v>26</v>
      </c>
      <c r="B2472" t="s">
        <v>28</v>
      </c>
      <c r="C2472">
        <v>5</v>
      </c>
      <c r="D2472" t="s">
        <v>125</v>
      </c>
      <c r="E2472" t="s">
        <v>544</v>
      </c>
      <c r="F2472">
        <v>15.58</v>
      </c>
      <c r="G2472">
        <v>2025</v>
      </c>
    </row>
    <row r="2473" spans="1:7" hidden="1" x14ac:dyDescent="0.2">
      <c r="A2473" t="s">
        <v>26</v>
      </c>
      <c r="B2473" t="s">
        <v>28</v>
      </c>
      <c r="C2473">
        <v>5</v>
      </c>
      <c r="D2473" t="s">
        <v>128</v>
      </c>
      <c r="E2473" t="s">
        <v>179</v>
      </c>
      <c r="F2473">
        <v>19.5</v>
      </c>
      <c r="G2473">
        <v>2025</v>
      </c>
    </row>
    <row r="2474" spans="1:7" hidden="1" x14ac:dyDescent="0.2">
      <c r="A2474" t="s">
        <v>26</v>
      </c>
      <c r="B2474" t="s">
        <v>28</v>
      </c>
      <c r="C2474">
        <v>5</v>
      </c>
      <c r="D2474" t="s">
        <v>128</v>
      </c>
      <c r="E2474" t="s">
        <v>288</v>
      </c>
      <c r="F2474">
        <v>13.9</v>
      </c>
      <c r="G2474">
        <v>2025</v>
      </c>
    </row>
    <row r="2475" spans="1:7" hidden="1" x14ac:dyDescent="0.2">
      <c r="A2475" t="s">
        <v>26</v>
      </c>
      <c r="B2475" t="s">
        <v>28</v>
      </c>
      <c r="C2475">
        <v>5</v>
      </c>
      <c r="D2475" t="s">
        <v>128</v>
      </c>
      <c r="E2475" t="s">
        <v>257</v>
      </c>
      <c r="F2475">
        <v>8.1</v>
      </c>
      <c r="G2475">
        <v>2025</v>
      </c>
    </row>
    <row r="2476" spans="1:7" hidden="1" x14ac:dyDescent="0.2">
      <c r="A2476" t="s">
        <v>26</v>
      </c>
      <c r="B2476" t="s">
        <v>28</v>
      </c>
      <c r="C2476">
        <v>5</v>
      </c>
      <c r="D2476" t="s">
        <v>127</v>
      </c>
      <c r="E2476" t="s">
        <v>519</v>
      </c>
      <c r="F2476">
        <v>13.4</v>
      </c>
      <c r="G2476">
        <v>2025</v>
      </c>
    </row>
    <row r="2477" spans="1:7" hidden="1" x14ac:dyDescent="0.2">
      <c r="A2477" t="s">
        <v>26</v>
      </c>
      <c r="B2477" t="s">
        <v>28</v>
      </c>
      <c r="C2477">
        <v>5</v>
      </c>
      <c r="D2477" t="s">
        <v>127</v>
      </c>
      <c r="E2477" t="s">
        <v>545</v>
      </c>
      <c r="F2477">
        <v>13.3</v>
      </c>
      <c r="G2477">
        <v>2025</v>
      </c>
    </row>
    <row r="2478" spans="1:7" hidden="1" x14ac:dyDescent="0.2">
      <c r="A2478" t="s">
        <v>26</v>
      </c>
      <c r="B2478" t="s">
        <v>28</v>
      </c>
      <c r="C2478">
        <v>5</v>
      </c>
      <c r="D2478" t="s">
        <v>129</v>
      </c>
      <c r="E2478" t="s">
        <v>376</v>
      </c>
      <c r="F2478">
        <v>6.8</v>
      </c>
      <c r="G2478">
        <v>2025</v>
      </c>
    </row>
    <row r="2479" spans="1:7" hidden="1" x14ac:dyDescent="0.2">
      <c r="A2479" t="s">
        <v>26</v>
      </c>
      <c r="B2479" t="s">
        <v>28</v>
      </c>
      <c r="C2479">
        <v>5</v>
      </c>
      <c r="D2479" t="s">
        <v>131</v>
      </c>
      <c r="E2479" t="s">
        <v>520</v>
      </c>
      <c r="F2479">
        <v>9</v>
      </c>
      <c r="G2479">
        <v>2025</v>
      </c>
    </row>
    <row r="2480" spans="1:7" x14ac:dyDescent="0.2">
      <c r="A2480" t="s">
        <v>26</v>
      </c>
      <c r="B2480" t="s">
        <v>28</v>
      </c>
      <c r="C2480">
        <v>5</v>
      </c>
      <c r="D2480" t="s">
        <v>130</v>
      </c>
      <c r="E2480" t="s">
        <v>287</v>
      </c>
      <c r="F2480">
        <v>6</v>
      </c>
      <c r="G2480">
        <v>2025</v>
      </c>
    </row>
    <row r="2481" spans="1:7" hidden="1" x14ac:dyDescent="0.2">
      <c r="A2481" t="s">
        <v>26</v>
      </c>
      <c r="B2481" t="s">
        <v>28</v>
      </c>
      <c r="C2481">
        <v>5</v>
      </c>
      <c r="D2481" t="s">
        <v>294</v>
      </c>
      <c r="E2481" t="s">
        <v>153</v>
      </c>
      <c r="F2481">
        <v>8</v>
      </c>
      <c r="G2481">
        <v>2025</v>
      </c>
    </row>
    <row r="2482" spans="1:7" hidden="1" x14ac:dyDescent="0.2">
      <c r="A2482" t="s">
        <v>14</v>
      </c>
      <c r="B2482" t="s">
        <v>16</v>
      </c>
      <c r="C2482">
        <v>6</v>
      </c>
      <c r="D2482" t="s">
        <v>125</v>
      </c>
      <c r="E2482" t="s">
        <v>427</v>
      </c>
      <c r="F2482">
        <v>9.34</v>
      </c>
      <c r="G2482">
        <v>2025</v>
      </c>
    </row>
    <row r="2483" spans="1:7" hidden="1" x14ac:dyDescent="0.2">
      <c r="A2483" t="s">
        <v>14</v>
      </c>
      <c r="B2483" t="s">
        <v>16</v>
      </c>
      <c r="C2483">
        <v>6</v>
      </c>
      <c r="D2483" t="s">
        <v>128</v>
      </c>
      <c r="E2483" t="s">
        <v>557</v>
      </c>
      <c r="F2483">
        <v>16.7</v>
      </c>
      <c r="G2483">
        <v>2025</v>
      </c>
    </row>
    <row r="2484" spans="1:7" hidden="1" x14ac:dyDescent="0.2">
      <c r="A2484" t="s">
        <v>14</v>
      </c>
      <c r="B2484" t="s">
        <v>16</v>
      </c>
      <c r="C2484">
        <v>6</v>
      </c>
      <c r="D2484" t="s">
        <v>128</v>
      </c>
      <c r="E2484" t="s">
        <v>351</v>
      </c>
      <c r="F2484">
        <v>9.5</v>
      </c>
      <c r="G2484">
        <v>2025</v>
      </c>
    </row>
    <row r="2485" spans="1:7" hidden="1" x14ac:dyDescent="0.2">
      <c r="A2485" t="s">
        <v>14</v>
      </c>
      <c r="B2485" t="s">
        <v>16</v>
      </c>
      <c r="C2485">
        <v>6</v>
      </c>
      <c r="D2485" t="s">
        <v>128</v>
      </c>
      <c r="E2485" t="s">
        <v>254</v>
      </c>
      <c r="F2485">
        <v>3</v>
      </c>
      <c r="G2485">
        <v>2025</v>
      </c>
    </row>
    <row r="2486" spans="1:7" hidden="1" x14ac:dyDescent="0.2">
      <c r="A2486" t="s">
        <v>14</v>
      </c>
      <c r="B2486" t="s">
        <v>16</v>
      </c>
      <c r="C2486">
        <v>6</v>
      </c>
      <c r="D2486" t="s">
        <v>127</v>
      </c>
      <c r="E2486" t="s">
        <v>314</v>
      </c>
      <c r="F2486">
        <v>7.9</v>
      </c>
      <c r="G2486">
        <v>2025</v>
      </c>
    </row>
    <row r="2487" spans="1:7" hidden="1" x14ac:dyDescent="0.2">
      <c r="A2487" t="s">
        <v>14</v>
      </c>
      <c r="B2487" t="s">
        <v>16</v>
      </c>
      <c r="C2487">
        <v>6</v>
      </c>
      <c r="D2487" t="s">
        <v>127</v>
      </c>
      <c r="E2487" t="s">
        <v>189</v>
      </c>
      <c r="F2487">
        <v>7.5</v>
      </c>
      <c r="G2487">
        <v>2025</v>
      </c>
    </row>
    <row r="2488" spans="1:7" hidden="1" x14ac:dyDescent="0.2">
      <c r="A2488" t="s">
        <v>14</v>
      </c>
      <c r="B2488" t="s">
        <v>16</v>
      </c>
      <c r="C2488">
        <v>6</v>
      </c>
      <c r="D2488" t="s">
        <v>129</v>
      </c>
      <c r="E2488" t="s">
        <v>299</v>
      </c>
      <c r="F2488">
        <v>10.8</v>
      </c>
      <c r="G2488">
        <v>2025</v>
      </c>
    </row>
    <row r="2489" spans="1:7" hidden="1" x14ac:dyDescent="0.2">
      <c r="A2489" t="s">
        <v>14</v>
      </c>
      <c r="B2489" t="s">
        <v>16</v>
      </c>
      <c r="C2489">
        <v>6</v>
      </c>
      <c r="D2489" t="s">
        <v>131</v>
      </c>
      <c r="E2489" t="s">
        <v>210</v>
      </c>
      <c r="F2489">
        <v>7</v>
      </c>
      <c r="G2489">
        <v>2025</v>
      </c>
    </row>
    <row r="2490" spans="1:7" hidden="1" x14ac:dyDescent="0.2">
      <c r="A2490" t="s">
        <v>14</v>
      </c>
      <c r="B2490" t="s">
        <v>16</v>
      </c>
      <c r="C2490">
        <v>6</v>
      </c>
      <c r="D2490" t="s">
        <v>130</v>
      </c>
      <c r="E2490" t="s">
        <v>253</v>
      </c>
      <c r="F2490">
        <v>0</v>
      </c>
      <c r="G2490">
        <v>2025</v>
      </c>
    </row>
    <row r="2491" spans="1:7" hidden="1" x14ac:dyDescent="0.2">
      <c r="A2491" t="s">
        <v>14</v>
      </c>
      <c r="B2491" t="s">
        <v>16</v>
      </c>
      <c r="C2491">
        <v>6</v>
      </c>
      <c r="D2491" t="s">
        <v>293</v>
      </c>
      <c r="E2491" t="s">
        <v>343</v>
      </c>
      <c r="F2491">
        <v>5.7</v>
      </c>
      <c r="G2491">
        <v>2025</v>
      </c>
    </row>
    <row r="2492" spans="1:7" hidden="1" x14ac:dyDescent="0.2">
      <c r="A2492" t="s">
        <v>526</v>
      </c>
      <c r="B2492" t="s">
        <v>32</v>
      </c>
      <c r="C2492">
        <v>6</v>
      </c>
      <c r="D2492" t="s">
        <v>125</v>
      </c>
      <c r="E2492" t="s">
        <v>185</v>
      </c>
      <c r="F2492">
        <v>19.88</v>
      </c>
      <c r="G2492">
        <v>2025</v>
      </c>
    </row>
    <row r="2493" spans="1:7" hidden="1" x14ac:dyDescent="0.2">
      <c r="A2493" t="s">
        <v>526</v>
      </c>
      <c r="B2493" t="s">
        <v>32</v>
      </c>
      <c r="C2493">
        <v>6</v>
      </c>
      <c r="D2493" t="s">
        <v>128</v>
      </c>
      <c r="E2493" t="s">
        <v>186</v>
      </c>
      <c r="F2493">
        <v>19.5</v>
      </c>
      <c r="G2493">
        <v>2025</v>
      </c>
    </row>
    <row r="2494" spans="1:7" hidden="1" x14ac:dyDescent="0.2">
      <c r="A2494" t="s">
        <v>526</v>
      </c>
      <c r="B2494" t="s">
        <v>32</v>
      </c>
      <c r="C2494">
        <v>6</v>
      </c>
      <c r="D2494" t="s">
        <v>128</v>
      </c>
      <c r="E2494" t="s">
        <v>224</v>
      </c>
      <c r="F2494">
        <v>2.8</v>
      </c>
      <c r="G2494">
        <v>2025</v>
      </c>
    </row>
    <row r="2495" spans="1:7" hidden="1" x14ac:dyDescent="0.2">
      <c r="A2495" t="s">
        <v>526</v>
      </c>
      <c r="B2495" t="s">
        <v>32</v>
      </c>
      <c r="C2495">
        <v>6</v>
      </c>
      <c r="D2495" t="s">
        <v>128</v>
      </c>
      <c r="E2495" t="s">
        <v>539</v>
      </c>
      <c r="F2495">
        <v>3.5</v>
      </c>
      <c r="G2495">
        <v>2025</v>
      </c>
    </row>
    <row r="2496" spans="1:7" hidden="1" x14ac:dyDescent="0.2">
      <c r="A2496" t="s">
        <v>526</v>
      </c>
      <c r="B2496" t="s">
        <v>32</v>
      </c>
      <c r="C2496">
        <v>6</v>
      </c>
      <c r="D2496" t="s">
        <v>127</v>
      </c>
      <c r="E2496" t="s">
        <v>148</v>
      </c>
      <c r="F2496">
        <v>29</v>
      </c>
      <c r="G2496">
        <v>2025</v>
      </c>
    </row>
    <row r="2497" spans="1:7" hidden="1" x14ac:dyDescent="0.2">
      <c r="A2497" t="s">
        <v>526</v>
      </c>
      <c r="B2497" t="s">
        <v>32</v>
      </c>
      <c r="C2497">
        <v>6</v>
      </c>
      <c r="D2497" t="s">
        <v>127</v>
      </c>
      <c r="E2497" t="s">
        <v>226</v>
      </c>
      <c r="F2497">
        <v>5.9</v>
      </c>
      <c r="G2497">
        <v>2025</v>
      </c>
    </row>
    <row r="2498" spans="1:7" hidden="1" x14ac:dyDescent="0.2">
      <c r="A2498" t="s">
        <v>526</v>
      </c>
      <c r="B2498" t="s">
        <v>32</v>
      </c>
      <c r="C2498">
        <v>6</v>
      </c>
      <c r="D2498" t="s">
        <v>129</v>
      </c>
      <c r="E2498" t="s">
        <v>558</v>
      </c>
      <c r="F2498">
        <v>8.1999999999999993</v>
      </c>
      <c r="G2498">
        <v>2025</v>
      </c>
    </row>
    <row r="2499" spans="1:7" hidden="1" x14ac:dyDescent="0.2">
      <c r="A2499" t="s">
        <v>526</v>
      </c>
      <c r="B2499" t="s">
        <v>32</v>
      </c>
      <c r="C2499">
        <v>6</v>
      </c>
      <c r="D2499" t="s">
        <v>131</v>
      </c>
      <c r="E2499" t="s">
        <v>339</v>
      </c>
      <c r="F2499">
        <v>6</v>
      </c>
      <c r="G2499">
        <v>2025</v>
      </c>
    </row>
    <row r="2500" spans="1:7" hidden="1" x14ac:dyDescent="0.2">
      <c r="A2500" t="s">
        <v>526</v>
      </c>
      <c r="B2500" t="s">
        <v>32</v>
      </c>
      <c r="C2500">
        <v>6</v>
      </c>
      <c r="D2500" t="s">
        <v>130</v>
      </c>
      <c r="E2500" t="s">
        <v>385</v>
      </c>
      <c r="F2500">
        <v>4</v>
      </c>
      <c r="G2500">
        <v>2025</v>
      </c>
    </row>
    <row r="2501" spans="1:7" hidden="1" x14ac:dyDescent="0.2">
      <c r="A2501" t="s">
        <v>526</v>
      </c>
      <c r="B2501" t="s">
        <v>32</v>
      </c>
      <c r="C2501">
        <v>6</v>
      </c>
      <c r="D2501" t="s">
        <v>293</v>
      </c>
      <c r="E2501" t="s">
        <v>225</v>
      </c>
      <c r="F2501">
        <v>4.2</v>
      </c>
      <c r="G2501">
        <v>2025</v>
      </c>
    </row>
    <row r="2502" spans="1:7" hidden="1" x14ac:dyDescent="0.2">
      <c r="A2502" t="s">
        <v>42</v>
      </c>
      <c r="B2502" t="s">
        <v>17</v>
      </c>
      <c r="C2502">
        <v>6</v>
      </c>
      <c r="D2502" t="s">
        <v>125</v>
      </c>
      <c r="E2502" t="s">
        <v>141</v>
      </c>
      <c r="F2502">
        <v>22.34</v>
      </c>
      <c r="G2502">
        <v>2025</v>
      </c>
    </row>
    <row r="2503" spans="1:7" hidden="1" x14ac:dyDescent="0.2">
      <c r="A2503" t="s">
        <v>42</v>
      </c>
      <c r="B2503" t="s">
        <v>17</v>
      </c>
      <c r="C2503">
        <v>6</v>
      </c>
      <c r="D2503" t="s">
        <v>128</v>
      </c>
      <c r="E2503" t="s">
        <v>146</v>
      </c>
      <c r="F2503">
        <v>3.4</v>
      </c>
      <c r="G2503">
        <v>2025</v>
      </c>
    </row>
    <row r="2504" spans="1:7" hidden="1" x14ac:dyDescent="0.2">
      <c r="A2504" t="s">
        <v>42</v>
      </c>
      <c r="B2504" t="s">
        <v>17</v>
      </c>
      <c r="C2504">
        <v>6</v>
      </c>
      <c r="D2504" t="s">
        <v>128</v>
      </c>
      <c r="E2504" t="s">
        <v>277</v>
      </c>
      <c r="F2504">
        <v>19</v>
      </c>
      <c r="G2504">
        <v>2025</v>
      </c>
    </row>
    <row r="2505" spans="1:7" hidden="1" x14ac:dyDescent="0.2">
      <c r="A2505" t="s">
        <v>42</v>
      </c>
      <c r="B2505" t="s">
        <v>17</v>
      </c>
      <c r="C2505">
        <v>6</v>
      </c>
      <c r="D2505" t="s">
        <v>128</v>
      </c>
      <c r="E2505" t="s">
        <v>522</v>
      </c>
      <c r="F2505">
        <v>16.399999999999999</v>
      </c>
      <c r="G2505">
        <v>2025</v>
      </c>
    </row>
    <row r="2506" spans="1:7" hidden="1" x14ac:dyDescent="0.2">
      <c r="A2506" t="s">
        <v>42</v>
      </c>
      <c r="B2506" t="s">
        <v>17</v>
      </c>
      <c r="C2506">
        <v>6</v>
      </c>
      <c r="D2506" t="s">
        <v>127</v>
      </c>
      <c r="E2506" t="s">
        <v>180</v>
      </c>
      <c r="F2506">
        <v>29.5</v>
      </c>
      <c r="G2506">
        <v>2025</v>
      </c>
    </row>
    <row r="2507" spans="1:7" hidden="1" x14ac:dyDescent="0.2">
      <c r="A2507" t="s">
        <v>42</v>
      </c>
      <c r="B2507" t="s">
        <v>17</v>
      </c>
      <c r="C2507">
        <v>6</v>
      </c>
      <c r="D2507" t="s">
        <v>127</v>
      </c>
      <c r="E2507" t="s">
        <v>197</v>
      </c>
      <c r="F2507">
        <v>10.1</v>
      </c>
      <c r="G2507">
        <v>2025</v>
      </c>
    </row>
    <row r="2508" spans="1:7" hidden="1" x14ac:dyDescent="0.2">
      <c r="A2508" t="s">
        <v>42</v>
      </c>
      <c r="B2508" t="s">
        <v>17</v>
      </c>
      <c r="C2508">
        <v>6</v>
      </c>
      <c r="D2508" t="s">
        <v>129</v>
      </c>
      <c r="E2508" t="s">
        <v>536</v>
      </c>
      <c r="F2508">
        <v>0.5</v>
      </c>
      <c r="G2508">
        <v>2025</v>
      </c>
    </row>
    <row r="2509" spans="1:7" hidden="1" x14ac:dyDescent="0.2">
      <c r="A2509" t="s">
        <v>42</v>
      </c>
      <c r="B2509" t="s">
        <v>17</v>
      </c>
      <c r="C2509">
        <v>6</v>
      </c>
      <c r="D2509" t="s">
        <v>131</v>
      </c>
      <c r="E2509" t="s">
        <v>523</v>
      </c>
      <c r="F2509">
        <v>3</v>
      </c>
      <c r="G2509">
        <v>2025</v>
      </c>
    </row>
    <row r="2510" spans="1:7" hidden="1" x14ac:dyDescent="0.2">
      <c r="A2510" t="s">
        <v>42</v>
      </c>
      <c r="B2510" t="s">
        <v>17</v>
      </c>
      <c r="C2510">
        <v>6</v>
      </c>
      <c r="D2510" t="s">
        <v>130</v>
      </c>
      <c r="E2510" t="s">
        <v>354</v>
      </c>
      <c r="F2510">
        <v>0</v>
      </c>
      <c r="G2510">
        <v>2025</v>
      </c>
    </row>
    <row r="2511" spans="1:7" hidden="1" x14ac:dyDescent="0.2">
      <c r="A2511" t="s">
        <v>42</v>
      </c>
      <c r="B2511" t="s">
        <v>17</v>
      </c>
      <c r="C2511">
        <v>6</v>
      </c>
      <c r="D2511" t="s">
        <v>293</v>
      </c>
      <c r="E2511" t="s">
        <v>551</v>
      </c>
      <c r="F2511">
        <v>5.3</v>
      </c>
      <c r="G2511">
        <v>2025</v>
      </c>
    </row>
    <row r="2512" spans="1:7" hidden="1" x14ac:dyDescent="0.2">
      <c r="A2512" t="s">
        <v>525</v>
      </c>
      <c r="B2512" t="s">
        <v>36</v>
      </c>
      <c r="C2512">
        <v>6</v>
      </c>
      <c r="D2512" t="s">
        <v>125</v>
      </c>
      <c r="E2512" t="s">
        <v>250</v>
      </c>
      <c r="F2512">
        <v>21.64</v>
      </c>
      <c r="G2512">
        <v>2025</v>
      </c>
    </row>
    <row r="2513" spans="1:7" hidden="1" x14ac:dyDescent="0.2">
      <c r="A2513" t="s">
        <v>525</v>
      </c>
      <c r="B2513" t="s">
        <v>36</v>
      </c>
      <c r="C2513">
        <v>6</v>
      </c>
      <c r="D2513" t="s">
        <v>128</v>
      </c>
      <c r="E2513" t="s">
        <v>161</v>
      </c>
      <c r="F2513">
        <v>12.8</v>
      </c>
      <c r="G2513">
        <v>2025</v>
      </c>
    </row>
    <row r="2514" spans="1:7" hidden="1" x14ac:dyDescent="0.2">
      <c r="A2514" t="s">
        <v>525</v>
      </c>
      <c r="B2514" t="s">
        <v>36</v>
      </c>
      <c r="C2514">
        <v>6</v>
      </c>
      <c r="D2514" t="s">
        <v>128</v>
      </c>
      <c r="E2514" t="s">
        <v>145</v>
      </c>
      <c r="F2514">
        <v>11</v>
      </c>
      <c r="G2514">
        <v>2025</v>
      </c>
    </row>
    <row r="2515" spans="1:7" hidden="1" x14ac:dyDescent="0.2">
      <c r="A2515" t="s">
        <v>525</v>
      </c>
      <c r="B2515" t="s">
        <v>36</v>
      </c>
      <c r="C2515">
        <v>6</v>
      </c>
      <c r="D2515" t="s">
        <v>128</v>
      </c>
      <c r="E2515" t="s">
        <v>204</v>
      </c>
      <c r="F2515">
        <v>11</v>
      </c>
      <c r="G2515">
        <v>2025</v>
      </c>
    </row>
    <row r="2516" spans="1:7" hidden="1" x14ac:dyDescent="0.2">
      <c r="A2516" t="s">
        <v>525</v>
      </c>
      <c r="B2516" t="s">
        <v>36</v>
      </c>
      <c r="C2516">
        <v>6</v>
      </c>
      <c r="D2516" t="s">
        <v>127</v>
      </c>
      <c r="E2516" t="s">
        <v>207</v>
      </c>
      <c r="F2516">
        <v>7</v>
      </c>
      <c r="G2516">
        <v>2025</v>
      </c>
    </row>
    <row r="2517" spans="1:7" hidden="1" x14ac:dyDescent="0.2">
      <c r="A2517" t="s">
        <v>525</v>
      </c>
      <c r="B2517" t="s">
        <v>36</v>
      </c>
      <c r="C2517">
        <v>6</v>
      </c>
      <c r="D2517" t="s">
        <v>127</v>
      </c>
      <c r="E2517" t="s">
        <v>217</v>
      </c>
      <c r="F2517">
        <v>16.100000000000001</v>
      </c>
      <c r="G2517">
        <v>2025</v>
      </c>
    </row>
    <row r="2518" spans="1:7" hidden="1" x14ac:dyDescent="0.2">
      <c r="A2518" t="s">
        <v>525</v>
      </c>
      <c r="B2518" t="s">
        <v>36</v>
      </c>
      <c r="C2518">
        <v>6</v>
      </c>
      <c r="D2518" t="s">
        <v>129</v>
      </c>
      <c r="E2518" t="s">
        <v>156</v>
      </c>
      <c r="F2518">
        <v>14</v>
      </c>
      <c r="G2518">
        <v>2025</v>
      </c>
    </row>
    <row r="2519" spans="1:7" hidden="1" x14ac:dyDescent="0.2">
      <c r="A2519" t="s">
        <v>525</v>
      </c>
      <c r="B2519" t="s">
        <v>36</v>
      </c>
      <c r="C2519">
        <v>6</v>
      </c>
      <c r="D2519" t="s">
        <v>131</v>
      </c>
      <c r="E2519" t="s">
        <v>183</v>
      </c>
      <c r="F2519">
        <v>6</v>
      </c>
      <c r="G2519">
        <v>2025</v>
      </c>
    </row>
    <row r="2520" spans="1:7" hidden="1" x14ac:dyDescent="0.2">
      <c r="A2520" t="s">
        <v>525</v>
      </c>
      <c r="B2520" t="s">
        <v>36</v>
      </c>
      <c r="C2520">
        <v>6</v>
      </c>
      <c r="D2520" t="s">
        <v>130</v>
      </c>
      <c r="E2520" t="s">
        <v>142</v>
      </c>
      <c r="F2520">
        <v>12</v>
      </c>
      <c r="G2520">
        <v>2025</v>
      </c>
    </row>
    <row r="2521" spans="1:7" hidden="1" x14ac:dyDescent="0.2">
      <c r="A2521" t="s">
        <v>525</v>
      </c>
      <c r="B2521" t="s">
        <v>36</v>
      </c>
      <c r="C2521">
        <v>6</v>
      </c>
      <c r="D2521" t="s">
        <v>294</v>
      </c>
      <c r="E2521" t="s">
        <v>527</v>
      </c>
      <c r="F2521">
        <v>3.4</v>
      </c>
      <c r="G2521">
        <v>2025</v>
      </c>
    </row>
    <row r="2522" spans="1:7" hidden="1" x14ac:dyDescent="0.2">
      <c r="A2522" t="s">
        <v>524</v>
      </c>
      <c r="B2522" t="s">
        <v>21</v>
      </c>
      <c r="C2522">
        <v>6</v>
      </c>
      <c r="D2522" t="s">
        <v>125</v>
      </c>
      <c r="E2522" t="s">
        <v>212</v>
      </c>
      <c r="F2522">
        <v>15.4</v>
      </c>
      <c r="G2522">
        <v>2025</v>
      </c>
    </row>
    <row r="2523" spans="1:7" hidden="1" x14ac:dyDescent="0.2">
      <c r="A2523" t="s">
        <v>524</v>
      </c>
      <c r="B2523" t="s">
        <v>21</v>
      </c>
      <c r="C2523">
        <v>6</v>
      </c>
      <c r="D2523" t="s">
        <v>128</v>
      </c>
      <c r="E2523" t="s">
        <v>222</v>
      </c>
      <c r="F2523">
        <v>15.6</v>
      </c>
      <c r="G2523">
        <v>2025</v>
      </c>
    </row>
    <row r="2524" spans="1:7" hidden="1" x14ac:dyDescent="0.2">
      <c r="A2524" t="s">
        <v>524</v>
      </c>
      <c r="B2524" t="s">
        <v>21</v>
      </c>
      <c r="C2524">
        <v>6</v>
      </c>
      <c r="D2524" t="s">
        <v>128</v>
      </c>
      <c r="E2524" t="s">
        <v>304</v>
      </c>
      <c r="F2524">
        <v>4.7</v>
      </c>
      <c r="G2524">
        <v>2025</v>
      </c>
    </row>
    <row r="2525" spans="1:7" hidden="1" x14ac:dyDescent="0.2">
      <c r="A2525" t="s">
        <v>524</v>
      </c>
      <c r="B2525" t="s">
        <v>21</v>
      </c>
      <c r="C2525">
        <v>6</v>
      </c>
      <c r="D2525" t="s">
        <v>128</v>
      </c>
      <c r="E2525" t="s">
        <v>552</v>
      </c>
      <c r="F2525">
        <v>1.6</v>
      </c>
      <c r="G2525">
        <v>2025</v>
      </c>
    </row>
    <row r="2526" spans="1:7" hidden="1" x14ac:dyDescent="0.2">
      <c r="A2526" t="s">
        <v>524</v>
      </c>
      <c r="B2526" t="s">
        <v>21</v>
      </c>
      <c r="C2526">
        <v>6</v>
      </c>
      <c r="D2526" t="s">
        <v>127</v>
      </c>
      <c r="E2526" t="s">
        <v>216</v>
      </c>
      <c r="F2526">
        <v>7.7</v>
      </c>
      <c r="G2526">
        <v>2025</v>
      </c>
    </row>
    <row r="2527" spans="1:7" hidden="1" x14ac:dyDescent="0.2">
      <c r="A2527" t="s">
        <v>524</v>
      </c>
      <c r="B2527" t="s">
        <v>21</v>
      </c>
      <c r="C2527">
        <v>6</v>
      </c>
      <c r="D2527" t="s">
        <v>127</v>
      </c>
      <c r="E2527" t="s">
        <v>181</v>
      </c>
      <c r="F2527">
        <v>7.1</v>
      </c>
      <c r="G2527">
        <v>2025</v>
      </c>
    </row>
    <row r="2528" spans="1:7" hidden="1" x14ac:dyDescent="0.2">
      <c r="A2528" t="s">
        <v>524</v>
      </c>
      <c r="B2528" t="s">
        <v>21</v>
      </c>
      <c r="C2528">
        <v>6</v>
      </c>
      <c r="D2528" t="s">
        <v>129</v>
      </c>
      <c r="E2528" t="s">
        <v>249</v>
      </c>
      <c r="F2528">
        <v>10.8</v>
      </c>
      <c r="G2528">
        <v>2025</v>
      </c>
    </row>
    <row r="2529" spans="1:7" hidden="1" x14ac:dyDescent="0.2">
      <c r="A2529" t="s">
        <v>524</v>
      </c>
      <c r="B2529" t="s">
        <v>21</v>
      </c>
      <c r="C2529">
        <v>6</v>
      </c>
      <c r="D2529" t="s">
        <v>131</v>
      </c>
      <c r="E2529" t="s">
        <v>214</v>
      </c>
      <c r="F2529">
        <v>5</v>
      </c>
      <c r="G2529">
        <v>2025</v>
      </c>
    </row>
    <row r="2530" spans="1:7" hidden="1" x14ac:dyDescent="0.2">
      <c r="A2530" t="s">
        <v>524</v>
      </c>
      <c r="B2530" t="s">
        <v>21</v>
      </c>
      <c r="C2530">
        <v>6</v>
      </c>
      <c r="D2530" t="s">
        <v>130</v>
      </c>
      <c r="E2530" t="s">
        <v>326</v>
      </c>
      <c r="F2530">
        <v>3</v>
      </c>
      <c r="G2530">
        <v>2025</v>
      </c>
    </row>
    <row r="2531" spans="1:7" hidden="1" x14ac:dyDescent="0.2">
      <c r="A2531" t="s">
        <v>524</v>
      </c>
      <c r="B2531" t="s">
        <v>21</v>
      </c>
      <c r="C2531">
        <v>6</v>
      </c>
      <c r="D2531" t="s">
        <v>293</v>
      </c>
      <c r="E2531" t="s">
        <v>528</v>
      </c>
      <c r="F2531">
        <v>4.0999999999999996</v>
      </c>
      <c r="G2531">
        <v>2025</v>
      </c>
    </row>
    <row r="2532" spans="1:7" hidden="1" x14ac:dyDescent="0.2">
      <c r="A2532" t="s">
        <v>35</v>
      </c>
      <c r="B2532" t="s">
        <v>49</v>
      </c>
      <c r="C2532">
        <v>6</v>
      </c>
      <c r="D2532" t="s">
        <v>125</v>
      </c>
      <c r="E2532" t="s">
        <v>168</v>
      </c>
      <c r="F2532">
        <v>20.62</v>
      </c>
      <c r="G2532">
        <v>2025</v>
      </c>
    </row>
    <row r="2533" spans="1:7" hidden="1" x14ac:dyDescent="0.2">
      <c r="A2533" t="s">
        <v>35</v>
      </c>
      <c r="B2533" t="s">
        <v>49</v>
      </c>
      <c r="C2533">
        <v>6</v>
      </c>
      <c r="D2533" t="s">
        <v>128</v>
      </c>
      <c r="E2533" t="s">
        <v>188</v>
      </c>
      <c r="F2533">
        <v>26.8</v>
      </c>
      <c r="G2533">
        <v>2025</v>
      </c>
    </row>
    <row r="2534" spans="1:7" hidden="1" x14ac:dyDescent="0.2">
      <c r="A2534" t="s">
        <v>35</v>
      </c>
      <c r="B2534" t="s">
        <v>49</v>
      </c>
      <c r="C2534">
        <v>6</v>
      </c>
      <c r="D2534" t="s">
        <v>128</v>
      </c>
      <c r="E2534" t="s">
        <v>160</v>
      </c>
      <c r="F2534">
        <v>27.3</v>
      </c>
      <c r="G2534">
        <v>2025</v>
      </c>
    </row>
    <row r="2535" spans="1:7" hidden="1" x14ac:dyDescent="0.2">
      <c r="A2535" t="s">
        <v>35</v>
      </c>
      <c r="B2535" t="s">
        <v>49</v>
      </c>
      <c r="C2535">
        <v>6</v>
      </c>
      <c r="D2535" t="s">
        <v>128</v>
      </c>
      <c r="E2535" t="s">
        <v>205</v>
      </c>
      <c r="F2535">
        <v>6.9</v>
      </c>
      <c r="G2535">
        <v>2025</v>
      </c>
    </row>
    <row r="2536" spans="1:7" hidden="1" x14ac:dyDescent="0.2">
      <c r="A2536" t="s">
        <v>35</v>
      </c>
      <c r="B2536" t="s">
        <v>49</v>
      </c>
      <c r="C2536">
        <v>6</v>
      </c>
      <c r="D2536" t="s">
        <v>127</v>
      </c>
      <c r="E2536" t="s">
        <v>256</v>
      </c>
      <c r="F2536">
        <v>15.7</v>
      </c>
      <c r="G2536">
        <v>2025</v>
      </c>
    </row>
    <row r="2537" spans="1:7" hidden="1" x14ac:dyDescent="0.2">
      <c r="A2537" t="s">
        <v>35</v>
      </c>
      <c r="B2537" t="s">
        <v>49</v>
      </c>
      <c r="C2537">
        <v>6</v>
      </c>
      <c r="D2537" t="s">
        <v>127</v>
      </c>
      <c r="E2537" t="s">
        <v>534</v>
      </c>
      <c r="F2537">
        <v>4.5</v>
      </c>
      <c r="G2537">
        <v>2025</v>
      </c>
    </row>
    <row r="2538" spans="1:7" hidden="1" x14ac:dyDescent="0.2">
      <c r="A2538" t="s">
        <v>35</v>
      </c>
      <c r="B2538" t="s">
        <v>49</v>
      </c>
      <c r="C2538">
        <v>6</v>
      </c>
      <c r="D2538" t="s">
        <v>129</v>
      </c>
      <c r="E2538" t="s">
        <v>137</v>
      </c>
      <c r="F2538">
        <v>17.2</v>
      </c>
      <c r="G2538">
        <v>2025</v>
      </c>
    </row>
    <row r="2539" spans="1:7" hidden="1" x14ac:dyDescent="0.2">
      <c r="A2539" t="s">
        <v>35</v>
      </c>
      <c r="B2539" t="s">
        <v>49</v>
      </c>
      <c r="C2539">
        <v>6</v>
      </c>
      <c r="D2539" t="s">
        <v>131</v>
      </c>
      <c r="E2539" t="s">
        <v>559</v>
      </c>
      <c r="F2539">
        <v>17</v>
      </c>
      <c r="G2539">
        <v>2025</v>
      </c>
    </row>
    <row r="2540" spans="1:7" hidden="1" x14ac:dyDescent="0.2">
      <c r="A2540" t="s">
        <v>35</v>
      </c>
      <c r="B2540" t="s">
        <v>49</v>
      </c>
      <c r="C2540">
        <v>6</v>
      </c>
      <c r="D2540" t="s">
        <v>130</v>
      </c>
      <c r="E2540" t="s">
        <v>323</v>
      </c>
      <c r="F2540">
        <v>18</v>
      </c>
      <c r="G2540">
        <v>2025</v>
      </c>
    </row>
    <row r="2541" spans="1:7" hidden="1" x14ac:dyDescent="0.2">
      <c r="A2541" t="s">
        <v>35</v>
      </c>
      <c r="B2541" t="s">
        <v>49</v>
      </c>
      <c r="C2541">
        <v>6</v>
      </c>
      <c r="D2541" t="s">
        <v>294</v>
      </c>
      <c r="E2541" t="s">
        <v>262</v>
      </c>
      <c r="F2541">
        <v>4.8</v>
      </c>
      <c r="G2541">
        <v>2025</v>
      </c>
    </row>
    <row r="2542" spans="1:7" hidden="1" x14ac:dyDescent="0.2">
      <c r="A2542" t="s">
        <v>521</v>
      </c>
      <c r="B2542" t="s">
        <v>29</v>
      </c>
      <c r="C2542">
        <v>6</v>
      </c>
      <c r="D2542" t="s">
        <v>125</v>
      </c>
      <c r="E2542" t="s">
        <v>150</v>
      </c>
      <c r="F2542">
        <v>31.48</v>
      </c>
      <c r="G2542">
        <v>2025</v>
      </c>
    </row>
    <row r="2543" spans="1:7" hidden="1" x14ac:dyDescent="0.2">
      <c r="A2543" t="s">
        <v>521</v>
      </c>
      <c r="B2543" t="s">
        <v>29</v>
      </c>
      <c r="C2543">
        <v>6</v>
      </c>
      <c r="D2543" t="s">
        <v>128</v>
      </c>
      <c r="E2543" t="s">
        <v>162</v>
      </c>
      <c r="F2543">
        <v>4.2</v>
      </c>
      <c r="G2543">
        <v>2025</v>
      </c>
    </row>
    <row r="2544" spans="1:7" hidden="1" x14ac:dyDescent="0.2">
      <c r="A2544" t="s">
        <v>521</v>
      </c>
      <c r="B2544" t="s">
        <v>29</v>
      </c>
      <c r="C2544">
        <v>6</v>
      </c>
      <c r="D2544" t="s">
        <v>128</v>
      </c>
      <c r="E2544" t="s">
        <v>151</v>
      </c>
      <c r="F2544">
        <v>5.9</v>
      </c>
      <c r="G2544">
        <v>2025</v>
      </c>
    </row>
    <row r="2545" spans="1:7" hidden="1" x14ac:dyDescent="0.2">
      <c r="A2545" t="s">
        <v>521</v>
      </c>
      <c r="B2545" t="s">
        <v>29</v>
      </c>
      <c r="C2545">
        <v>6</v>
      </c>
      <c r="D2545" t="s">
        <v>128</v>
      </c>
      <c r="E2545" t="s">
        <v>199</v>
      </c>
      <c r="F2545">
        <v>4.3</v>
      </c>
      <c r="G2545">
        <v>2025</v>
      </c>
    </row>
    <row r="2546" spans="1:7" hidden="1" x14ac:dyDescent="0.2">
      <c r="A2546" t="s">
        <v>521</v>
      </c>
      <c r="B2546" t="s">
        <v>29</v>
      </c>
      <c r="C2546">
        <v>6</v>
      </c>
      <c r="D2546" t="s">
        <v>127</v>
      </c>
      <c r="E2546" t="s">
        <v>198</v>
      </c>
      <c r="F2546">
        <v>21.7</v>
      </c>
      <c r="G2546">
        <v>2025</v>
      </c>
    </row>
    <row r="2547" spans="1:7" hidden="1" x14ac:dyDescent="0.2">
      <c r="A2547" t="s">
        <v>521</v>
      </c>
      <c r="B2547" t="s">
        <v>29</v>
      </c>
      <c r="C2547">
        <v>6</v>
      </c>
      <c r="D2547" t="s">
        <v>127</v>
      </c>
      <c r="E2547" t="s">
        <v>560</v>
      </c>
      <c r="F2547">
        <v>6.6</v>
      </c>
      <c r="G2547">
        <v>2025</v>
      </c>
    </row>
    <row r="2548" spans="1:7" hidden="1" x14ac:dyDescent="0.2">
      <c r="A2548" t="s">
        <v>521</v>
      </c>
      <c r="B2548" t="s">
        <v>29</v>
      </c>
      <c r="C2548">
        <v>6</v>
      </c>
      <c r="D2548" t="s">
        <v>129</v>
      </c>
      <c r="E2548" t="s">
        <v>196</v>
      </c>
      <c r="F2548">
        <v>4.5999999999999996</v>
      </c>
      <c r="G2548">
        <v>2025</v>
      </c>
    </row>
    <row r="2549" spans="1:7" hidden="1" x14ac:dyDescent="0.2">
      <c r="A2549" t="s">
        <v>521</v>
      </c>
      <c r="B2549" t="s">
        <v>29</v>
      </c>
      <c r="C2549">
        <v>6</v>
      </c>
      <c r="D2549" t="s">
        <v>131</v>
      </c>
      <c r="E2549" t="s">
        <v>374</v>
      </c>
      <c r="F2549">
        <v>4</v>
      </c>
      <c r="G2549">
        <v>2025</v>
      </c>
    </row>
    <row r="2550" spans="1:7" hidden="1" x14ac:dyDescent="0.2">
      <c r="A2550" t="s">
        <v>521</v>
      </c>
      <c r="B2550" t="s">
        <v>29</v>
      </c>
      <c r="C2550">
        <v>6</v>
      </c>
      <c r="D2550" t="s">
        <v>130</v>
      </c>
      <c r="E2550" t="s">
        <v>405</v>
      </c>
      <c r="F2550">
        <v>1</v>
      </c>
      <c r="G2550">
        <v>2025</v>
      </c>
    </row>
    <row r="2551" spans="1:7" hidden="1" x14ac:dyDescent="0.2">
      <c r="A2551" t="s">
        <v>521</v>
      </c>
      <c r="B2551" t="s">
        <v>29</v>
      </c>
      <c r="C2551">
        <v>6</v>
      </c>
      <c r="D2551" t="s">
        <v>294</v>
      </c>
      <c r="E2551" t="s">
        <v>280</v>
      </c>
      <c r="F2551">
        <v>4.2</v>
      </c>
      <c r="G2551">
        <v>2025</v>
      </c>
    </row>
    <row r="2552" spans="1:7" hidden="1" x14ac:dyDescent="0.2">
      <c r="A2552" t="s">
        <v>46</v>
      </c>
      <c r="B2552" t="s">
        <v>47</v>
      </c>
      <c r="C2552">
        <v>6</v>
      </c>
      <c r="D2552" t="s">
        <v>125</v>
      </c>
      <c r="E2552" t="s">
        <v>126</v>
      </c>
      <c r="F2552">
        <v>19.22</v>
      </c>
      <c r="G2552">
        <v>2025</v>
      </c>
    </row>
    <row r="2553" spans="1:7" hidden="1" x14ac:dyDescent="0.2">
      <c r="A2553" t="s">
        <v>46</v>
      </c>
      <c r="B2553" t="s">
        <v>47</v>
      </c>
      <c r="C2553">
        <v>6</v>
      </c>
      <c r="D2553" t="s">
        <v>128</v>
      </c>
      <c r="E2553" t="s">
        <v>178</v>
      </c>
      <c r="F2553">
        <v>12.82</v>
      </c>
      <c r="G2553">
        <v>2025</v>
      </c>
    </row>
    <row r="2554" spans="1:7" hidden="1" x14ac:dyDescent="0.2">
      <c r="A2554" t="s">
        <v>46</v>
      </c>
      <c r="B2554" t="s">
        <v>47</v>
      </c>
      <c r="C2554">
        <v>6</v>
      </c>
      <c r="D2554" t="s">
        <v>128</v>
      </c>
      <c r="E2554" t="s">
        <v>172</v>
      </c>
      <c r="F2554">
        <v>6.7</v>
      </c>
      <c r="G2554">
        <v>2025</v>
      </c>
    </row>
    <row r="2555" spans="1:7" hidden="1" x14ac:dyDescent="0.2">
      <c r="A2555" t="s">
        <v>46</v>
      </c>
      <c r="B2555" t="s">
        <v>47</v>
      </c>
      <c r="C2555">
        <v>6</v>
      </c>
      <c r="D2555" t="s">
        <v>128</v>
      </c>
      <c r="E2555" t="s">
        <v>540</v>
      </c>
      <c r="F2555">
        <v>0</v>
      </c>
      <c r="G2555">
        <v>2025</v>
      </c>
    </row>
    <row r="2556" spans="1:7" hidden="1" x14ac:dyDescent="0.2">
      <c r="A2556" t="s">
        <v>46</v>
      </c>
      <c r="B2556" t="s">
        <v>47</v>
      </c>
      <c r="C2556">
        <v>6</v>
      </c>
      <c r="D2556" t="s">
        <v>127</v>
      </c>
      <c r="E2556" t="s">
        <v>278</v>
      </c>
      <c r="F2556">
        <v>24.5</v>
      </c>
      <c r="G2556">
        <v>2025</v>
      </c>
    </row>
    <row r="2557" spans="1:7" hidden="1" x14ac:dyDescent="0.2">
      <c r="A2557" t="s">
        <v>46</v>
      </c>
      <c r="B2557" t="s">
        <v>47</v>
      </c>
      <c r="C2557">
        <v>6</v>
      </c>
      <c r="D2557" t="s">
        <v>127</v>
      </c>
      <c r="E2557" t="s">
        <v>372</v>
      </c>
      <c r="F2557">
        <v>20.6</v>
      </c>
      <c r="G2557">
        <v>2025</v>
      </c>
    </row>
    <row r="2558" spans="1:7" hidden="1" x14ac:dyDescent="0.2">
      <c r="A2558" t="s">
        <v>46</v>
      </c>
      <c r="B2558" t="s">
        <v>47</v>
      </c>
      <c r="C2558">
        <v>6</v>
      </c>
      <c r="D2558" t="s">
        <v>129</v>
      </c>
      <c r="E2558" t="s">
        <v>561</v>
      </c>
      <c r="F2558">
        <v>0.7</v>
      </c>
      <c r="G2558">
        <v>2025</v>
      </c>
    </row>
    <row r="2559" spans="1:7" hidden="1" x14ac:dyDescent="0.2">
      <c r="A2559" t="s">
        <v>46</v>
      </c>
      <c r="B2559" t="s">
        <v>47</v>
      </c>
      <c r="C2559">
        <v>6</v>
      </c>
      <c r="D2559" t="s">
        <v>131</v>
      </c>
      <c r="E2559" t="s">
        <v>242</v>
      </c>
      <c r="F2559">
        <v>15</v>
      </c>
      <c r="G2559">
        <v>2025</v>
      </c>
    </row>
    <row r="2560" spans="1:7" hidden="1" x14ac:dyDescent="0.2">
      <c r="A2560" t="s">
        <v>46</v>
      </c>
      <c r="B2560" t="s">
        <v>47</v>
      </c>
      <c r="C2560">
        <v>6</v>
      </c>
      <c r="D2560" t="s">
        <v>130</v>
      </c>
      <c r="E2560" t="s">
        <v>352</v>
      </c>
      <c r="F2560">
        <v>18</v>
      </c>
      <c r="G2560">
        <v>2025</v>
      </c>
    </row>
    <row r="2561" spans="1:7" hidden="1" x14ac:dyDescent="0.2">
      <c r="A2561" t="s">
        <v>46</v>
      </c>
      <c r="B2561" t="s">
        <v>47</v>
      </c>
      <c r="C2561">
        <v>6</v>
      </c>
      <c r="D2561" t="s">
        <v>293</v>
      </c>
      <c r="E2561" t="s">
        <v>550</v>
      </c>
      <c r="F2561">
        <v>7.4</v>
      </c>
      <c r="G2561">
        <v>2025</v>
      </c>
    </row>
    <row r="2562" spans="1:7" hidden="1" x14ac:dyDescent="0.2">
      <c r="A2562" t="s">
        <v>18</v>
      </c>
      <c r="B2562" t="s">
        <v>20</v>
      </c>
      <c r="C2562">
        <v>6</v>
      </c>
      <c r="D2562" t="s">
        <v>125</v>
      </c>
      <c r="E2562" t="s">
        <v>325</v>
      </c>
      <c r="F2562">
        <v>20</v>
      </c>
      <c r="G2562">
        <v>2025</v>
      </c>
    </row>
    <row r="2563" spans="1:7" hidden="1" x14ac:dyDescent="0.2">
      <c r="A2563" t="s">
        <v>18</v>
      </c>
      <c r="B2563" t="s">
        <v>20</v>
      </c>
      <c r="C2563">
        <v>6</v>
      </c>
      <c r="D2563" t="s">
        <v>128</v>
      </c>
      <c r="E2563" t="s">
        <v>248</v>
      </c>
      <c r="F2563">
        <v>26.2</v>
      </c>
      <c r="G2563">
        <v>2025</v>
      </c>
    </row>
    <row r="2564" spans="1:7" hidden="1" x14ac:dyDescent="0.2">
      <c r="A2564" t="s">
        <v>18</v>
      </c>
      <c r="B2564" t="s">
        <v>20</v>
      </c>
      <c r="C2564">
        <v>6</v>
      </c>
      <c r="D2564" t="s">
        <v>128</v>
      </c>
      <c r="E2564" t="s">
        <v>276</v>
      </c>
      <c r="F2564">
        <v>8.6999999999999993</v>
      </c>
      <c r="G2564">
        <v>2025</v>
      </c>
    </row>
    <row r="2565" spans="1:7" hidden="1" x14ac:dyDescent="0.2">
      <c r="A2565" t="s">
        <v>18</v>
      </c>
      <c r="B2565" t="s">
        <v>20</v>
      </c>
      <c r="C2565">
        <v>6</v>
      </c>
      <c r="D2565" t="s">
        <v>128</v>
      </c>
      <c r="E2565" t="s">
        <v>303</v>
      </c>
      <c r="F2565">
        <v>5.9</v>
      </c>
      <c r="G2565">
        <v>2025</v>
      </c>
    </row>
    <row r="2566" spans="1:7" hidden="1" x14ac:dyDescent="0.2">
      <c r="A2566" t="s">
        <v>18</v>
      </c>
      <c r="B2566" t="s">
        <v>20</v>
      </c>
      <c r="C2566">
        <v>6</v>
      </c>
      <c r="D2566" t="s">
        <v>127</v>
      </c>
      <c r="E2566" t="s">
        <v>154</v>
      </c>
      <c r="F2566">
        <v>13.5</v>
      </c>
      <c r="G2566">
        <v>2025</v>
      </c>
    </row>
    <row r="2567" spans="1:7" hidden="1" x14ac:dyDescent="0.2">
      <c r="A2567" t="s">
        <v>18</v>
      </c>
      <c r="B2567" t="s">
        <v>20</v>
      </c>
      <c r="C2567">
        <v>6</v>
      </c>
      <c r="D2567" t="s">
        <v>127</v>
      </c>
      <c r="E2567" t="s">
        <v>547</v>
      </c>
      <c r="F2567">
        <v>30</v>
      </c>
      <c r="G2567">
        <v>2025</v>
      </c>
    </row>
    <row r="2568" spans="1:7" hidden="1" x14ac:dyDescent="0.2">
      <c r="A2568" t="s">
        <v>18</v>
      </c>
      <c r="B2568" t="s">
        <v>20</v>
      </c>
      <c r="C2568">
        <v>6</v>
      </c>
      <c r="D2568" t="s">
        <v>129</v>
      </c>
      <c r="E2568" t="s">
        <v>327</v>
      </c>
      <c r="F2568">
        <v>11.3</v>
      </c>
      <c r="G2568">
        <v>2025</v>
      </c>
    </row>
    <row r="2569" spans="1:7" hidden="1" x14ac:dyDescent="0.2">
      <c r="A2569" t="s">
        <v>18</v>
      </c>
      <c r="B2569" t="s">
        <v>20</v>
      </c>
      <c r="C2569">
        <v>6</v>
      </c>
      <c r="D2569" t="s">
        <v>131</v>
      </c>
      <c r="E2569" t="s">
        <v>350</v>
      </c>
      <c r="F2569">
        <v>16</v>
      </c>
      <c r="G2569">
        <v>2025</v>
      </c>
    </row>
    <row r="2570" spans="1:7" hidden="1" x14ac:dyDescent="0.2">
      <c r="A2570" t="s">
        <v>18</v>
      </c>
      <c r="B2570" t="s">
        <v>20</v>
      </c>
      <c r="C2570">
        <v>6</v>
      </c>
      <c r="D2570" t="s">
        <v>130</v>
      </c>
      <c r="E2570" t="s">
        <v>307</v>
      </c>
      <c r="F2570">
        <v>6</v>
      </c>
      <c r="G2570">
        <v>2025</v>
      </c>
    </row>
    <row r="2571" spans="1:7" hidden="1" x14ac:dyDescent="0.2">
      <c r="A2571" t="s">
        <v>18</v>
      </c>
      <c r="B2571" t="s">
        <v>20</v>
      </c>
      <c r="C2571">
        <v>6</v>
      </c>
      <c r="D2571" t="s">
        <v>293</v>
      </c>
      <c r="E2571" t="s">
        <v>208</v>
      </c>
      <c r="F2571">
        <v>8.6999999999999993</v>
      </c>
      <c r="G2571">
        <v>2025</v>
      </c>
    </row>
    <row r="2572" spans="1:7" hidden="1" x14ac:dyDescent="0.2">
      <c r="A2572" t="s">
        <v>26</v>
      </c>
      <c r="B2572" t="s">
        <v>28</v>
      </c>
      <c r="C2572">
        <v>6</v>
      </c>
      <c r="D2572" t="s">
        <v>125</v>
      </c>
      <c r="E2572" t="s">
        <v>544</v>
      </c>
      <c r="F2572">
        <v>23.6</v>
      </c>
      <c r="G2572">
        <v>2025</v>
      </c>
    </row>
    <row r="2573" spans="1:7" hidden="1" x14ac:dyDescent="0.2">
      <c r="A2573" t="s">
        <v>26</v>
      </c>
      <c r="B2573" t="s">
        <v>28</v>
      </c>
      <c r="C2573">
        <v>6</v>
      </c>
      <c r="D2573" t="s">
        <v>128</v>
      </c>
      <c r="E2573" t="s">
        <v>257</v>
      </c>
      <c r="F2573">
        <v>9.6</v>
      </c>
      <c r="G2573">
        <v>2025</v>
      </c>
    </row>
    <row r="2574" spans="1:7" hidden="1" x14ac:dyDescent="0.2">
      <c r="A2574" t="s">
        <v>26</v>
      </c>
      <c r="B2574" t="s">
        <v>28</v>
      </c>
      <c r="C2574">
        <v>6</v>
      </c>
      <c r="D2574" t="s">
        <v>128</v>
      </c>
      <c r="E2574" t="s">
        <v>179</v>
      </c>
      <c r="F2574">
        <v>3.8</v>
      </c>
      <c r="G2574">
        <v>2025</v>
      </c>
    </row>
    <row r="2575" spans="1:7" hidden="1" x14ac:dyDescent="0.2">
      <c r="A2575" t="s">
        <v>26</v>
      </c>
      <c r="B2575" t="s">
        <v>28</v>
      </c>
      <c r="C2575">
        <v>6</v>
      </c>
      <c r="D2575" t="s">
        <v>128</v>
      </c>
      <c r="E2575" t="s">
        <v>153</v>
      </c>
      <c r="F2575">
        <v>4.8</v>
      </c>
      <c r="G2575">
        <v>2025</v>
      </c>
    </row>
    <row r="2576" spans="1:7" hidden="1" x14ac:dyDescent="0.2">
      <c r="A2576" t="s">
        <v>26</v>
      </c>
      <c r="B2576" t="s">
        <v>28</v>
      </c>
      <c r="C2576">
        <v>6</v>
      </c>
      <c r="D2576" t="s">
        <v>127</v>
      </c>
      <c r="E2576" t="s">
        <v>519</v>
      </c>
      <c r="F2576">
        <v>15.6</v>
      </c>
      <c r="G2576">
        <v>2025</v>
      </c>
    </row>
    <row r="2577" spans="1:7" hidden="1" x14ac:dyDescent="0.2">
      <c r="A2577" t="s">
        <v>26</v>
      </c>
      <c r="B2577" t="s">
        <v>28</v>
      </c>
      <c r="C2577">
        <v>6</v>
      </c>
      <c r="D2577" t="s">
        <v>127</v>
      </c>
      <c r="E2577" t="s">
        <v>545</v>
      </c>
      <c r="F2577">
        <v>3.6</v>
      </c>
      <c r="G2577">
        <v>2025</v>
      </c>
    </row>
    <row r="2578" spans="1:7" hidden="1" x14ac:dyDescent="0.2">
      <c r="A2578" t="s">
        <v>26</v>
      </c>
      <c r="B2578" t="s">
        <v>28</v>
      </c>
      <c r="C2578">
        <v>6</v>
      </c>
      <c r="D2578" t="s">
        <v>129</v>
      </c>
      <c r="E2578" t="s">
        <v>542</v>
      </c>
      <c r="F2578">
        <v>11.6</v>
      </c>
      <c r="G2578">
        <v>2025</v>
      </c>
    </row>
    <row r="2579" spans="1:7" hidden="1" x14ac:dyDescent="0.2">
      <c r="A2579" t="s">
        <v>26</v>
      </c>
      <c r="B2579" t="s">
        <v>28</v>
      </c>
      <c r="C2579">
        <v>6</v>
      </c>
      <c r="D2579" t="s">
        <v>131</v>
      </c>
      <c r="E2579" t="s">
        <v>520</v>
      </c>
      <c r="F2579">
        <v>8</v>
      </c>
      <c r="G2579">
        <v>2025</v>
      </c>
    </row>
    <row r="2580" spans="1:7" x14ac:dyDescent="0.2">
      <c r="A2580" t="s">
        <v>26</v>
      </c>
      <c r="B2580" t="s">
        <v>28</v>
      </c>
      <c r="C2580">
        <v>6</v>
      </c>
      <c r="D2580" t="s">
        <v>130</v>
      </c>
      <c r="E2580" t="s">
        <v>279</v>
      </c>
      <c r="F2580">
        <v>17</v>
      </c>
      <c r="G2580">
        <v>2025</v>
      </c>
    </row>
    <row r="2581" spans="1:7" hidden="1" x14ac:dyDescent="0.2">
      <c r="A2581" t="s">
        <v>26</v>
      </c>
      <c r="B2581" t="s">
        <v>28</v>
      </c>
      <c r="C2581">
        <v>6</v>
      </c>
      <c r="D2581" t="s">
        <v>294</v>
      </c>
      <c r="E2581" t="s">
        <v>288</v>
      </c>
      <c r="F2581">
        <v>2.2000000000000002</v>
      </c>
      <c r="G2581">
        <v>2025</v>
      </c>
    </row>
    <row r="2582" spans="1:7" hidden="1" x14ac:dyDescent="0.2">
      <c r="A2582" t="s">
        <v>77</v>
      </c>
      <c r="B2582" t="s">
        <v>45</v>
      </c>
      <c r="C2582">
        <v>6</v>
      </c>
      <c r="D2582" t="s">
        <v>125</v>
      </c>
      <c r="E2582" t="s">
        <v>241</v>
      </c>
      <c r="F2582">
        <v>19.64</v>
      </c>
      <c r="G2582">
        <v>2025</v>
      </c>
    </row>
    <row r="2583" spans="1:7" hidden="1" x14ac:dyDescent="0.2">
      <c r="A2583" t="s">
        <v>77</v>
      </c>
      <c r="B2583" t="s">
        <v>45</v>
      </c>
      <c r="C2583">
        <v>6</v>
      </c>
      <c r="D2583" t="s">
        <v>128</v>
      </c>
      <c r="E2583" t="s">
        <v>231</v>
      </c>
      <c r="F2583">
        <v>20.100000000000001</v>
      </c>
      <c r="G2583">
        <v>2025</v>
      </c>
    </row>
    <row r="2584" spans="1:7" hidden="1" x14ac:dyDescent="0.2">
      <c r="A2584" t="s">
        <v>77</v>
      </c>
      <c r="B2584" t="s">
        <v>45</v>
      </c>
      <c r="C2584">
        <v>6</v>
      </c>
      <c r="D2584" t="s">
        <v>128</v>
      </c>
      <c r="E2584" t="s">
        <v>187</v>
      </c>
      <c r="F2584">
        <v>9.1999999999999993</v>
      </c>
      <c r="G2584">
        <v>2025</v>
      </c>
    </row>
    <row r="2585" spans="1:7" hidden="1" x14ac:dyDescent="0.2">
      <c r="A2585" t="s">
        <v>77</v>
      </c>
      <c r="B2585" t="s">
        <v>45</v>
      </c>
      <c r="C2585">
        <v>6</v>
      </c>
      <c r="D2585" t="s">
        <v>128</v>
      </c>
      <c r="E2585" t="s">
        <v>220</v>
      </c>
      <c r="F2585">
        <v>8</v>
      </c>
      <c r="G2585">
        <v>2025</v>
      </c>
    </row>
    <row r="2586" spans="1:7" hidden="1" x14ac:dyDescent="0.2">
      <c r="A2586" t="s">
        <v>77</v>
      </c>
      <c r="B2586" t="s">
        <v>45</v>
      </c>
      <c r="C2586">
        <v>6</v>
      </c>
      <c r="D2586" t="s">
        <v>127</v>
      </c>
      <c r="E2586" t="s">
        <v>136</v>
      </c>
      <c r="F2586">
        <v>5.9</v>
      </c>
      <c r="G2586">
        <v>2025</v>
      </c>
    </row>
    <row r="2587" spans="1:7" hidden="1" x14ac:dyDescent="0.2">
      <c r="A2587" t="s">
        <v>77</v>
      </c>
      <c r="B2587" t="s">
        <v>45</v>
      </c>
      <c r="C2587">
        <v>6</v>
      </c>
      <c r="D2587" t="s">
        <v>127</v>
      </c>
      <c r="E2587" t="s">
        <v>313</v>
      </c>
      <c r="F2587">
        <v>3.9</v>
      </c>
      <c r="G2587">
        <v>2025</v>
      </c>
    </row>
    <row r="2588" spans="1:7" hidden="1" x14ac:dyDescent="0.2">
      <c r="A2588" t="s">
        <v>77</v>
      </c>
      <c r="B2588" t="s">
        <v>45</v>
      </c>
      <c r="C2588">
        <v>6</v>
      </c>
      <c r="D2588" t="s">
        <v>129</v>
      </c>
      <c r="E2588" t="s">
        <v>317</v>
      </c>
      <c r="F2588">
        <v>13.3</v>
      </c>
      <c r="G2588">
        <v>2025</v>
      </c>
    </row>
    <row r="2589" spans="1:7" hidden="1" x14ac:dyDescent="0.2">
      <c r="A2589" t="s">
        <v>77</v>
      </c>
      <c r="B2589" t="s">
        <v>45</v>
      </c>
      <c r="C2589">
        <v>6</v>
      </c>
      <c r="D2589" t="s">
        <v>131</v>
      </c>
      <c r="E2589" t="s">
        <v>532</v>
      </c>
      <c r="F2589">
        <v>2</v>
      </c>
      <c r="G2589">
        <v>2025</v>
      </c>
    </row>
    <row r="2590" spans="1:7" hidden="1" x14ac:dyDescent="0.2">
      <c r="A2590" t="s">
        <v>77</v>
      </c>
      <c r="B2590" t="s">
        <v>45</v>
      </c>
      <c r="C2590">
        <v>6</v>
      </c>
      <c r="D2590" t="s">
        <v>130</v>
      </c>
      <c r="E2590" t="s">
        <v>184</v>
      </c>
      <c r="F2590">
        <v>11</v>
      </c>
      <c r="G2590">
        <v>2025</v>
      </c>
    </row>
    <row r="2591" spans="1:7" hidden="1" x14ac:dyDescent="0.2">
      <c r="A2591" t="s">
        <v>77</v>
      </c>
      <c r="B2591" t="s">
        <v>45</v>
      </c>
      <c r="C2591">
        <v>6</v>
      </c>
      <c r="D2591" t="s">
        <v>297</v>
      </c>
      <c r="E2591" t="s">
        <v>165</v>
      </c>
      <c r="F2591">
        <v>4.2</v>
      </c>
      <c r="G2591">
        <v>2025</v>
      </c>
    </row>
    <row r="2592" spans="1:7" hidden="1" x14ac:dyDescent="0.2">
      <c r="A2592" t="s">
        <v>31</v>
      </c>
      <c r="B2592" t="s">
        <v>33</v>
      </c>
      <c r="C2592">
        <v>6</v>
      </c>
      <c r="D2592" t="s">
        <v>125</v>
      </c>
      <c r="E2592" t="s">
        <v>203</v>
      </c>
      <c r="F2592">
        <v>14.96</v>
      </c>
      <c r="G2592">
        <v>2025</v>
      </c>
    </row>
    <row r="2593" spans="1:7" hidden="1" x14ac:dyDescent="0.2">
      <c r="A2593" t="s">
        <v>31</v>
      </c>
      <c r="B2593" t="s">
        <v>33</v>
      </c>
      <c r="C2593">
        <v>6</v>
      </c>
      <c r="D2593" t="s">
        <v>128</v>
      </c>
      <c r="E2593" t="s">
        <v>219</v>
      </c>
      <c r="F2593">
        <v>17.5</v>
      </c>
      <c r="G2593">
        <v>2025</v>
      </c>
    </row>
    <row r="2594" spans="1:7" hidden="1" x14ac:dyDescent="0.2">
      <c r="A2594" t="s">
        <v>31</v>
      </c>
      <c r="B2594" t="s">
        <v>33</v>
      </c>
      <c r="C2594">
        <v>6</v>
      </c>
      <c r="D2594" t="s">
        <v>128</v>
      </c>
      <c r="E2594" t="s">
        <v>243</v>
      </c>
      <c r="F2594">
        <v>2.2999999999999998</v>
      </c>
      <c r="G2594">
        <v>2025</v>
      </c>
    </row>
    <row r="2595" spans="1:7" hidden="1" x14ac:dyDescent="0.2">
      <c r="A2595" t="s">
        <v>31</v>
      </c>
      <c r="B2595" t="s">
        <v>33</v>
      </c>
      <c r="C2595">
        <v>6</v>
      </c>
      <c r="D2595" t="s">
        <v>128</v>
      </c>
      <c r="E2595" t="s">
        <v>292</v>
      </c>
      <c r="F2595">
        <v>1.2</v>
      </c>
      <c r="G2595">
        <v>2025</v>
      </c>
    </row>
    <row r="2596" spans="1:7" hidden="1" x14ac:dyDescent="0.2">
      <c r="A2596" t="s">
        <v>31</v>
      </c>
      <c r="B2596" t="s">
        <v>33</v>
      </c>
      <c r="C2596">
        <v>6</v>
      </c>
      <c r="D2596" t="s">
        <v>127</v>
      </c>
      <c r="E2596" t="s">
        <v>174</v>
      </c>
      <c r="F2596">
        <v>32.799999999999997</v>
      </c>
      <c r="G2596">
        <v>2025</v>
      </c>
    </row>
    <row r="2597" spans="1:7" hidden="1" x14ac:dyDescent="0.2">
      <c r="A2597" t="s">
        <v>31</v>
      </c>
      <c r="B2597" t="s">
        <v>33</v>
      </c>
      <c r="C2597">
        <v>6</v>
      </c>
      <c r="D2597" t="s">
        <v>127</v>
      </c>
      <c r="E2597" t="s">
        <v>318</v>
      </c>
      <c r="F2597">
        <v>31.9</v>
      </c>
      <c r="G2597">
        <v>2025</v>
      </c>
    </row>
    <row r="2598" spans="1:7" hidden="1" x14ac:dyDescent="0.2">
      <c r="A2598" t="s">
        <v>31</v>
      </c>
      <c r="B2598" t="s">
        <v>33</v>
      </c>
      <c r="C2598">
        <v>6</v>
      </c>
      <c r="D2598" t="s">
        <v>129</v>
      </c>
      <c r="E2598" t="s">
        <v>530</v>
      </c>
      <c r="F2598">
        <v>15.3</v>
      </c>
      <c r="G2598">
        <v>2025</v>
      </c>
    </row>
    <row r="2599" spans="1:7" hidden="1" x14ac:dyDescent="0.2">
      <c r="A2599" t="s">
        <v>31</v>
      </c>
      <c r="B2599" t="s">
        <v>33</v>
      </c>
      <c r="C2599">
        <v>6</v>
      </c>
      <c r="D2599" t="s">
        <v>131</v>
      </c>
      <c r="E2599" t="s">
        <v>562</v>
      </c>
      <c r="F2599">
        <v>8</v>
      </c>
      <c r="G2599">
        <v>2025</v>
      </c>
    </row>
    <row r="2600" spans="1:7" hidden="1" x14ac:dyDescent="0.2">
      <c r="A2600" t="s">
        <v>31</v>
      </c>
      <c r="B2600" t="s">
        <v>33</v>
      </c>
      <c r="C2600">
        <v>6</v>
      </c>
      <c r="D2600" t="s">
        <v>130</v>
      </c>
      <c r="E2600" t="s">
        <v>251</v>
      </c>
      <c r="F2600">
        <v>-1</v>
      </c>
      <c r="G2600">
        <v>2025</v>
      </c>
    </row>
    <row r="2601" spans="1:7" hidden="1" x14ac:dyDescent="0.2">
      <c r="A2601" t="s">
        <v>31</v>
      </c>
      <c r="B2601" t="s">
        <v>33</v>
      </c>
      <c r="C2601">
        <v>6</v>
      </c>
      <c r="D2601" t="s">
        <v>293</v>
      </c>
      <c r="E2601" t="s">
        <v>259</v>
      </c>
      <c r="F2601">
        <v>4</v>
      </c>
      <c r="G2601">
        <v>2025</v>
      </c>
    </row>
    <row r="2602" spans="1:7" hidden="1" x14ac:dyDescent="0.2">
      <c r="A2602" t="s">
        <v>14</v>
      </c>
      <c r="B2602" t="s">
        <v>16</v>
      </c>
      <c r="C2602">
        <v>7</v>
      </c>
      <c r="D2602" t="s">
        <v>125</v>
      </c>
      <c r="E2602" t="s">
        <v>427</v>
      </c>
      <c r="F2602">
        <v>27.38</v>
      </c>
      <c r="G2602">
        <v>2025</v>
      </c>
    </row>
    <row r="2603" spans="1:7" hidden="1" x14ac:dyDescent="0.2">
      <c r="A2603" t="s">
        <v>14</v>
      </c>
      <c r="B2603" t="s">
        <v>16</v>
      </c>
      <c r="C2603">
        <v>7</v>
      </c>
      <c r="D2603" t="s">
        <v>128</v>
      </c>
      <c r="E2603" t="s">
        <v>254</v>
      </c>
      <c r="F2603">
        <v>17.3</v>
      </c>
      <c r="G2603">
        <v>2025</v>
      </c>
    </row>
    <row r="2604" spans="1:7" hidden="1" x14ac:dyDescent="0.2">
      <c r="A2604" t="s">
        <v>14</v>
      </c>
      <c r="B2604" t="s">
        <v>16</v>
      </c>
      <c r="C2604">
        <v>7</v>
      </c>
      <c r="D2604" t="s">
        <v>128</v>
      </c>
      <c r="E2604" t="s">
        <v>351</v>
      </c>
      <c r="F2604">
        <v>5.8</v>
      </c>
      <c r="G2604">
        <v>2025</v>
      </c>
    </row>
    <row r="2605" spans="1:7" hidden="1" x14ac:dyDescent="0.2">
      <c r="A2605" t="s">
        <v>14</v>
      </c>
      <c r="B2605" t="s">
        <v>16</v>
      </c>
      <c r="C2605">
        <v>7</v>
      </c>
      <c r="D2605" t="s">
        <v>128</v>
      </c>
      <c r="E2605" t="s">
        <v>557</v>
      </c>
      <c r="F2605">
        <v>2.4</v>
      </c>
      <c r="G2605">
        <v>2025</v>
      </c>
    </row>
    <row r="2606" spans="1:7" hidden="1" x14ac:dyDescent="0.2">
      <c r="A2606" t="s">
        <v>14</v>
      </c>
      <c r="B2606" t="s">
        <v>16</v>
      </c>
      <c r="C2606">
        <v>7</v>
      </c>
      <c r="D2606" t="s">
        <v>127</v>
      </c>
      <c r="E2606" t="s">
        <v>314</v>
      </c>
      <c r="F2606">
        <v>11</v>
      </c>
      <c r="G2606">
        <v>2025</v>
      </c>
    </row>
    <row r="2607" spans="1:7" hidden="1" x14ac:dyDescent="0.2">
      <c r="A2607" t="s">
        <v>14</v>
      </c>
      <c r="B2607" t="s">
        <v>16</v>
      </c>
      <c r="C2607">
        <v>7</v>
      </c>
      <c r="D2607" t="s">
        <v>127</v>
      </c>
      <c r="E2607" t="s">
        <v>189</v>
      </c>
      <c r="F2607">
        <v>6</v>
      </c>
      <c r="G2607">
        <v>2025</v>
      </c>
    </row>
    <row r="2608" spans="1:7" hidden="1" x14ac:dyDescent="0.2">
      <c r="A2608" t="s">
        <v>14</v>
      </c>
      <c r="B2608" t="s">
        <v>16</v>
      </c>
      <c r="C2608">
        <v>7</v>
      </c>
      <c r="D2608" t="s">
        <v>129</v>
      </c>
      <c r="E2608" t="s">
        <v>299</v>
      </c>
      <c r="F2608">
        <v>18.399999999999999</v>
      </c>
      <c r="G2608">
        <v>2025</v>
      </c>
    </row>
    <row r="2609" spans="1:7" hidden="1" x14ac:dyDescent="0.2">
      <c r="A2609" t="s">
        <v>14</v>
      </c>
      <c r="B2609" t="s">
        <v>16</v>
      </c>
      <c r="C2609">
        <v>7</v>
      </c>
      <c r="D2609" t="s">
        <v>131</v>
      </c>
      <c r="E2609" t="s">
        <v>210</v>
      </c>
      <c r="F2609">
        <v>16</v>
      </c>
      <c r="G2609">
        <v>2025</v>
      </c>
    </row>
    <row r="2610" spans="1:7" hidden="1" x14ac:dyDescent="0.2">
      <c r="A2610" t="s">
        <v>14</v>
      </c>
      <c r="B2610" t="s">
        <v>16</v>
      </c>
      <c r="C2610">
        <v>7</v>
      </c>
      <c r="D2610" t="s">
        <v>130</v>
      </c>
      <c r="E2610" t="s">
        <v>289</v>
      </c>
      <c r="F2610">
        <v>3</v>
      </c>
      <c r="G2610">
        <v>2025</v>
      </c>
    </row>
    <row r="2611" spans="1:7" hidden="1" x14ac:dyDescent="0.2">
      <c r="A2611" t="s">
        <v>14</v>
      </c>
      <c r="B2611" t="s">
        <v>16</v>
      </c>
      <c r="C2611">
        <v>7</v>
      </c>
      <c r="D2611" t="s">
        <v>297</v>
      </c>
      <c r="E2611" t="s">
        <v>236</v>
      </c>
      <c r="F2611">
        <v>0</v>
      </c>
      <c r="G2611">
        <v>2025</v>
      </c>
    </row>
    <row r="2612" spans="1:7" hidden="1" x14ac:dyDescent="0.2">
      <c r="A2612" t="s">
        <v>524</v>
      </c>
      <c r="B2612" t="s">
        <v>21</v>
      </c>
      <c r="C2612">
        <v>7</v>
      </c>
      <c r="D2612" t="s">
        <v>125</v>
      </c>
      <c r="E2612" t="s">
        <v>368</v>
      </c>
      <c r="F2612">
        <v>39.96</v>
      </c>
      <c r="G2612">
        <v>2025</v>
      </c>
    </row>
    <row r="2613" spans="1:7" hidden="1" x14ac:dyDescent="0.2">
      <c r="A2613" t="s">
        <v>524</v>
      </c>
      <c r="B2613" t="s">
        <v>21</v>
      </c>
      <c r="C2613">
        <v>7</v>
      </c>
      <c r="D2613" t="s">
        <v>128</v>
      </c>
      <c r="E2613" t="s">
        <v>177</v>
      </c>
      <c r="F2613">
        <v>19.5</v>
      </c>
      <c r="G2613">
        <v>2025</v>
      </c>
    </row>
    <row r="2614" spans="1:7" hidden="1" x14ac:dyDescent="0.2">
      <c r="A2614" t="s">
        <v>524</v>
      </c>
      <c r="B2614" t="s">
        <v>21</v>
      </c>
      <c r="C2614">
        <v>7</v>
      </c>
      <c r="D2614" t="s">
        <v>128</v>
      </c>
      <c r="E2614" t="s">
        <v>304</v>
      </c>
      <c r="F2614">
        <v>23.4</v>
      </c>
      <c r="G2614">
        <v>2025</v>
      </c>
    </row>
    <row r="2615" spans="1:7" hidden="1" x14ac:dyDescent="0.2">
      <c r="A2615" t="s">
        <v>524</v>
      </c>
      <c r="B2615" t="s">
        <v>21</v>
      </c>
      <c r="C2615">
        <v>7</v>
      </c>
      <c r="D2615" t="s">
        <v>128</v>
      </c>
      <c r="E2615" t="s">
        <v>546</v>
      </c>
      <c r="F2615">
        <v>5.7</v>
      </c>
      <c r="G2615">
        <v>2025</v>
      </c>
    </row>
    <row r="2616" spans="1:7" hidden="1" x14ac:dyDescent="0.2">
      <c r="A2616" t="s">
        <v>524</v>
      </c>
      <c r="B2616" t="s">
        <v>21</v>
      </c>
      <c r="C2616">
        <v>7</v>
      </c>
      <c r="D2616" t="s">
        <v>127</v>
      </c>
      <c r="E2616" t="s">
        <v>216</v>
      </c>
      <c r="F2616">
        <v>4.7</v>
      </c>
      <c r="G2616">
        <v>2025</v>
      </c>
    </row>
    <row r="2617" spans="1:7" hidden="1" x14ac:dyDescent="0.2">
      <c r="A2617" t="s">
        <v>524</v>
      </c>
      <c r="B2617" t="s">
        <v>21</v>
      </c>
      <c r="C2617">
        <v>7</v>
      </c>
      <c r="D2617" t="s">
        <v>127</v>
      </c>
      <c r="E2617" t="s">
        <v>181</v>
      </c>
      <c r="F2617">
        <v>4.9000000000000004</v>
      </c>
      <c r="G2617">
        <v>2025</v>
      </c>
    </row>
    <row r="2618" spans="1:7" hidden="1" x14ac:dyDescent="0.2">
      <c r="A2618" t="s">
        <v>524</v>
      </c>
      <c r="B2618" t="s">
        <v>21</v>
      </c>
      <c r="C2618">
        <v>7</v>
      </c>
      <c r="D2618" t="s">
        <v>129</v>
      </c>
      <c r="E2618" t="s">
        <v>249</v>
      </c>
      <c r="F2618">
        <v>6.9</v>
      </c>
      <c r="G2618">
        <v>2025</v>
      </c>
    </row>
    <row r="2619" spans="1:7" hidden="1" x14ac:dyDescent="0.2">
      <c r="A2619" t="s">
        <v>524</v>
      </c>
      <c r="B2619" t="s">
        <v>21</v>
      </c>
      <c r="C2619">
        <v>7</v>
      </c>
      <c r="D2619" t="s">
        <v>131</v>
      </c>
      <c r="E2619" t="s">
        <v>192</v>
      </c>
      <c r="F2619">
        <v>9</v>
      </c>
      <c r="G2619">
        <v>2025</v>
      </c>
    </row>
    <row r="2620" spans="1:7" hidden="1" x14ac:dyDescent="0.2">
      <c r="A2620" t="s">
        <v>524</v>
      </c>
      <c r="B2620" t="s">
        <v>21</v>
      </c>
      <c r="C2620">
        <v>7</v>
      </c>
      <c r="D2620" t="s">
        <v>130</v>
      </c>
      <c r="E2620" t="s">
        <v>326</v>
      </c>
      <c r="F2620">
        <v>7</v>
      </c>
      <c r="G2620">
        <v>2025</v>
      </c>
    </row>
    <row r="2621" spans="1:7" hidden="1" x14ac:dyDescent="0.2">
      <c r="A2621" t="s">
        <v>524</v>
      </c>
      <c r="B2621" t="s">
        <v>21</v>
      </c>
      <c r="C2621">
        <v>7</v>
      </c>
      <c r="D2621" t="s">
        <v>294</v>
      </c>
      <c r="E2621" t="s">
        <v>222</v>
      </c>
      <c r="F2621">
        <v>0</v>
      </c>
      <c r="G2621">
        <v>2025</v>
      </c>
    </row>
    <row r="2622" spans="1:7" hidden="1" x14ac:dyDescent="0.2">
      <c r="A2622" t="s">
        <v>42</v>
      </c>
      <c r="B2622" t="s">
        <v>17</v>
      </c>
      <c r="C2622">
        <v>7</v>
      </c>
      <c r="D2622" t="s">
        <v>125</v>
      </c>
      <c r="E2622" t="s">
        <v>141</v>
      </c>
      <c r="F2622">
        <v>23.26</v>
      </c>
      <c r="G2622">
        <v>2025</v>
      </c>
    </row>
    <row r="2623" spans="1:7" hidden="1" x14ac:dyDescent="0.2">
      <c r="A2623" t="s">
        <v>42</v>
      </c>
      <c r="B2623" t="s">
        <v>17</v>
      </c>
      <c r="C2623">
        <v>7</v>
      </c>
      <c r="D2623" t="s">
        <v>128</v>
      </c>
      <c r="E2623" t="s">
        <v>522</v>
      </c>
      <c r="F2623">
        <v>4.8</v>
      </c>
      <c r="G2623">
        <v>2025</v>
      </c>
    </row>
    <row r="2624" spans="1:7" hidden="1" x14ac:dyDescent="0.2">
      <c r="A2624" t="s">
        <v>42</v>
      </c>
      <c r="B2624" t="s">
        <v>17</v>
      </c>
      <c r="C2624">
        <v>7</v>
      </c>
      <c r="D2624" t="s">
        <v>128</v>
      </c>
      <c r="E2624" t="s">
        <v>232</v>
      </c>
      <c r="F2624">
        <v>4.7</v>
      </c>
      <c r="G2624">
        <v>2025</v>
      </c>
    </row>
    <row r="2625" spans="1:7" hidden="1" x14ac:dyDescent="0.2">
      <c r="A2625" t="s">
        <v>42</v>
      </c>
      <c r="B2625" t="s">
        <v>17</v>
      </c>
      <c r="C2625">
        <v>7</v>
      </c>
      <c r="D2625" t="s">
        <v>128</v>
      </c>
      <c r="E2625" t="s">
        <v>277</v>
      </c>
      <c r="F2625">
        <v>4.5999999999999996</v>
      </c>
      <c r="G2625">
        <v>2025</v>
      </c>
    </row>
    <row r="2626" spans="1:7" hidden="1" x14ac:dyDescent="0.2">
      <c r="A2626" t="s">
        <v>42</v>
      </c>
      <c r="B2626" t="s">
        <v>17</v>
      </c>
      <c r="C2626">
        <v>7</v>
      </c>
      <c r="D2626" t="s">
        <v>127</v>
      </c>
      <c r="E2626" t="s">
        <v>180</v>
      </c>
      <c r="F2626">
        <v>18.3</v>
      </c>
      <c r="G2626">
        <v>2025</v>
      </c>
    </row>
    <row r="2627" spans="1:7" hidden="1" x14ac:dyDescent="0.2">
      <c r="A2627" t="s">
        <v>42</v>
      </c>
      <c r="B2627" t="s">
        <v>17</v>
      </c>
      <c r="C2627">
        <v>7</v>
      </c>
      <c r="D2627" t="s">
        <v>127</v>
      </c>
      <c r="E2627" t="s">
        <v>197</v>
      </c>
      <c r="F2627">
        <v>4.4000000000000004</v>
      </c>
      <c r="G2627">
        <v>2025</v>
      </c>
    </row>
    <row r="2628" spans="1:7" hidden="1" x14ac:dyDescent="0.2">
      <c r="A2628" t="s">
        <v>42</v>
      </c>
      <c r="B2628" t="s">
        <v>17</v>
      </c>
      <c r="C2628">
        <v>7</v>
      </c>
      <c r="D2628" t="s">
        <v>129</v>
      </c>
      <c r="E2628" t="s">
        <v>245</v>
      </c>
      <c r="F2628">
        <v>14.3</v>
      </c>
      <c r="G2628">
        <v>2025</v>
      </c>
    </row>
    <row r="2629" spans="1:7" hidden="1" x14ac:dyDescent="0.2">
      <c r="A2629" t="s">
        <v>42</v>
      </c>
      <c r="B2629" t="s">
        <v>17</v>
      </c>
      <c r="C2629">
        <v>7</v>
      </c>
      <c r="D2629" t="s">
        <v>131</v>
      </c>
      <c r="E2629" t="s">
        <v>195</v>
      </c>
      <c r="F2629">
        <v>8</v>
      </c>
      <c r="G2629">
        <v>2025</v>
      </c>
    </row>
    <row r="2630" spans="1:7" hidden="1" x14ac:dyDescent="0.2">
      <c r="A2630" t="s">
        <v>42</v>
      </c>
      <c r="B2630" t="s">
        <v>17</v>
      </c>
      <c r="C2630">
        <v>7</v>
      </c>
      <c r="D2630" t="s">
        <v>130</v>
      </c>
      <c r="E2630" t="s">
        <v>354</v>
      </c>
      <c r="F2630">
        <v>11</v>
      </c>
      <c r="G2630">
        <v>2025</v>
      </c>
    </row>
    <row r="2631" spans="1:7" hidden="1" x14ac:dyDescent="0.2">
      <c r="A2631" t="s">
        <v>42</v>
      </c>
      <c r="B2631" t="s">
        <v>17</v>
      </c>
      <c r="C2631">
        <v>7</v>
      </c>
      <c r="D2631" t="s">
        <v>293</v>
      </c>
      <c r="E2631" t="s">
        <v>551</v>
      </c>
      <c r="F2631">
        <v>3.7</v>
      </c>
      <c r="G2631">
        <v>2025</v>
      </c>
    </row>
    <row r="2632" spans="1:7" hidden="1" x14ac:dyDescent="0.2">
      <c r="A2632" t="s">
        <v>77</v>
      </c>
      <c r="B2632" t="s">
        <v>45</v>
      </c>
      <c r="C2632">
        <v>7</v>
      </c>
      <c r="D2632" t="s">
        <v>125</v>
      </c>
      <c r="E2632" t="s">
        <v>241</v>
      </c>
      <c r="F2632">
        <v>11.12</v>
      </c>
      <c r="G2632">
        <v>2025</v>
      </c>
    </row>
    <row r="2633" spans="1:7" hidden="1" x14ac:dyDescent="0.2">
      <c r="A2633" t="s">
        <v>77</v>
      </c>
      <c r="B2633" t="s">
        <v>45</v>
      </c>
      <c r="C2633">
        <v>7</v>
      </c>
      <c r="D2633" t="s">
        <v>128</v>
      </c>
      <c r="E2633" t="s">
        <v>231</v>
      </c>
      <c r="F2633">
        <v>30.1</v>
      </c>
      <c r="G2633">
        <v>2025</v>
      </c>
    </row>
    <row r="2634" spans="1:7" hidden="1" x14ac:dyDescent="0.2">
      <c r="A2634" t="s">
        <v>77</v>
      </c>
      <c r="B2634" t="s">
        <v>45</v>
      </c>
      <c r="C2634">
        <v>7</v>
      </c>
      <c r="D2634" t="s">
        <v>128</v>
      </c>
      <c r="E2634" t="s">
        <v>187</v>
      </c>
      <c r="F2634">
        <v>17.600000000000001</v>
      </c>
      <c r="G2634">
        <v>2025</v>
      </c>
    </row>
    <row r="2635" spans="1:7" hidden="1" x14ac:dyDescent="0.2">
      <c r="A2635" t="s">
        <v>77</v>
      </c>
      <c r="B2635" t="s">
        <v>45</v>
      </c>
      <c r="C2635">
        <v>7</v>
      </c>
      <c r="D2635" t="s">
        <v>128</v>
      </c>
      <c r="E2635" t="s">
        <v>220</v>
      </c>
      <c r="F2635">
        <v>10.199999999999999</v>
      </c>
      <c r="G2635">
        <v>2025</v>
      </c>
    </row>
    <row r="2636" spans="1:7" hidden="1" x14ac:dyDescent="0.2">
      <c r="A2636" t="s">
        <v>77</v>
      </c>
      <c r="B2636" t="s">
        <v>45</v>
      </c>
      <c r="C2636">
        <v>7</v>
      </c>
      <c r="D2636" t="s">
        <v>127</v>
      </c>
      <c r="E2636" t="s">
        <v>136</v>
      </c>
      <c r="F2636">
        <v>18.3</v>
      </c>
      <c r="G2636">
        <v>2025</v>
      </c>
    </row>
    <row r="2637" spans="1:7" hidden="1" x14ac:dyDescent="0.2">
      <c r="A2637" t="s">
        <v>77</v>
      </c>
      <c r="B2637" t="s">
        <v>45</v>
      </c>
      <c r="C2637">
        <v>7</v>
      </c>
      <c r="D2637" t="s">
        <v>127</v>
      </c>
      <c r="E2637" t="s">
        <v>313</v>
      </c>
      <c r="F2637">
        <v>1.8</v>
      </c>
      <c r="G2637">
        <v>2025</v>
      </c>
    </row>
    <row r="2638" spans="1:7" hidden="1" x14ac:dyDescent="0.2">
      <c r="A2638" t="s">
        <v>77</v>
      </c>
      <c r="B2638" t="s">
        <v>45</v>
      </c>
      <c r="C2638">
        <v>7</v>
      </c>
      <c r="D2638" t="s">
        <v>129</v>
      </c>
      <c r="E2638" t="s">
        <v>165</v>
      </c>
      <c r="F2638">
        <v>5.3</v>
      </c>
      <c r="G2638">
        <v>2025</v>
      </c>
    </row>
    <row r="2639" spans="1:7" hidden="1" x14ac:dyDescent="0.2">
      <c r="A2639" t="s">
        <v>77</v>
      </c>
      <c r="B2639" t="s">
        <v>45</v>
      </c>
      <c r="C2639">
        <v>7</v>
      </c>
      <c r="D2639" t="s">
        <v>131</v>
      </c>
      <c r="E2639" t="s">
        <v>563</v>
      </c>
      <c r="F2639">
        <v>4</v>
      </c>
      <c r="G2639">
        <v>2025</v>
      </c>
    </row>
    <row r="2640" spans="1:7" hidden="1" x14ac:dyDescent="0.2">
      <c r="A2640" t="s">
        <v>77</v>
      </c>
      <c r="B2640" t="s">
        <v>45</v>
      </c>
      <c r="C2640">
        <v>7</v>
      </c>
      <c r="D2640" t="s">
        <v>130</v>
      </c>
      <c r="E2640" t="s">
        <v>184</v>
      </c>
      <c r="F2640">
        <v>-3</v>
      </c>
      <c r="G2640">
        <v>2025</v>
      </c>
    </row>
    <row r="2641" spans="1:7" hidden="1" x14ac:dyDescent="0.2">
      <c r="A2641" t="s">
        <v>77</v>
      </c>
      <c r="B2641" t="s">
        <v>45</v>
      </c>
      <c r="C2641">
        <v>7</v>
      </c>
      <c r="D2641" t="s">
        <v>294</v>
      </c>
      <c r="E2641" t="s">
        <v>320</v>
      </c>
      <c r="F2641">
        <v>1.9</v>
      </c>
      <c r="G2641">
        <v>2025</v>
      </c>
    </row>
    <row r="2642" spans="1:7" hidden="1" x14ac:dyDescent="0.2">
      <c r="A2642" t="s">
        <v>521</v>
      </c>
      <c r="B2642" t="s">
        <v>29</v>
      </c>
      <c r="C2642">
        <v>7</v>
      </c>
      <c r="D2642" t="s">
        <v>125</v>
      </c>
      <c r="E2642" t="s">
        <v>150</v>
      </c>
      <c r="F2642">
        <v>26.24</v>
      </c>
      <c r="G2642">
        <v>2025</v>
      </c>
    </row>
    <row r="2643" spans="1:7" hidden="1" x14ac:dyDescent="0.2">
      <c r="A2643" t="s">
        <v>521</v>
      </c>
      <c r="B2643" t="s">
        <v>29</v>
      </c>
      <c r="C2643">
        <v>7</v>
      </c>
      <c r="D2643" t="s">
        <v>128</v>
      </c>
      <c r="E2643" t="s">
        <v>151</v>
      </c>
      <c r="F2643">
        <v>24</v>
      </c>
      <c r="G2643">
        <v>2025</v>
      </c>
    </row>
    <row r="2644" spans="1:7" hidden="1" x14ac:dyDescent="0.2">
      <c r="A2644" t="s">
        <v>521</v>
      </c>
      <c r="B2644" t="s">
        <v>29</v>
      </c>
      <c r="C2644">
        <v>7</v>
      </c>
      <c r="D2644" t="s">
        <v>128</v>
      </c>
      <c r="E2644" t="s">
        <v>171</v>
      </c>
      <c r="F2644">
        <v>10.4</v>
      </c>
      <c r="G2644">
        <v>2025</v>
      </c>
    </row>
    <row r="2645" spans="1:7" hidden="1" x14ac:dyDescent="0.2">
      <c r="A2645" t="s">
        <v>521</v>
      </c>
      <c r="B2645" t="s">
        <v>29</v>
      </c>
      <c r="C2645">
        <v>7</v>
      </c>
      <c r="D2645" t="s">
        <v>128</v>
      </c>
      <c r="E2645" t="s">
        <v>162</v>
      </c>
      <c r="F2645">
        <v>6.8</v>
      </c>
      <c r="G2645">
        <v>2025</v>
      </c>
    </row>
    <row r="2646" spans="1:7" hidden="1" x14ac:dyDescent="0.2">
      <c r="A2646" t="s">
        <v>521</v>
      </c>
      <c r="B2646" t="s">
        <v>29</v>
      </c>
      <c r="C2646">
        <v>7</v>
      </c>
      <c r="D2646" t="s">
        <v>127</v>
      </c>
      <c r="E2646" t="s">
        <v>198</v>
      </c>
      <c r="F2646">
        <v>32.700000000000003</v>
      </c>
      <c r="G2646">
        <v>2025</v>
      </c>
    </row>
    <row r="2647" spans="1:7" hidden="1" x14ac:dyDescent="0.2">
      <c r="A2647" t="s">
        <v>521</v>
      </c>
      <c r="B2647" t="s">
        <v>29</v>
      </c>
      <c r="C2647">
        <v>7</v>
      </c>
      <c r="D2647" t="s">
        <v>127</v>
      </c>
      <c r="E2647" t="s">
        <v>244</v>
      </c>
      <c r="F2647">
        <v>11.7</v>
      </c>
      <c r="G2647">
        <v>2025</v>
      </c>
    </row>
    <row r="2648" spans="1:7" hidden="1" x14ac:dyDescent="0.2">
      <c r="A2648" t="s">
        <v>521</v>
      </c>
      <c r="B2648" t="s">
        <v>29</v>
      </c>
      <c r="C2648">
        <v>7</v>
      </c>
      <c r="D2648" t="s">
        <v>129</v>
      </c>
      <c r="E2648" t="s">
        <v>213</v>
      </c>
      <c r="F2648">
        <v>6.7</v>
      </c>
      <c r="G2648">
        <v>2025</v>
      </c>
    </row>
    <row r="2649" spans="1:7" hidden="1" x14ac:dyDescent="0.2">
      <c r="A2649" t="s">
        <v>521</v>
      </c>
      <c r="B2649" t="s">
        <v>29</v>
      </c>
      <c r="C2649">
        <v>7</v>
      </c>
      <c r="D2649" t="s">
        <v>131</v>
      </c>
      <c r="E2649" t="s">
        <v>374</v>
      </c>
      <c r="F2649">
        <v>8</v>
      </c>
      <c r="G2649">
        <v>2025</v>
      </c>
    </row>
    <row r="2650" spans="1:7" hidden="1" x14ac:dyDescent="0.2">
      <c r="A2650" t="s">
        <v>521</v>
      </c>
      <c r="B2650" t="s">
        <v>29</v>
      </c>
      <c r="C2650">
        <v>7</v>
      </c>
      <c r="D2650" t="s">
        <v>130</v>
      </c>
      <c r="E2650" t="s">
        <v>251</v>
      </c>
      <c r="F2650">
        <v>26</v>
      </c>
      <c r="G2650">
        <v>2025</v>
      </c>
    </row>
    <row r="2651" spans="1:7" hidden="1" x14ac:dyDescent="0.2">
      <c r="A2651" t="s">
        <v>521</v>
      </c>
      <c r="B2651" t="s">
        <v>29</v>
      </c>
      <c r="C2651">
        <v>7</v>
      </c>
      <c r="D2651" t="s">
        <v>294</v>
      </c>
      <c r="E2651" t="s">
        <v>280</v>
      </c>
      <c r="F2651">
        <v>4.0999999999999996</v>
      </c>
      <c r="G2651">
        <v>2025</v>
      </c>
    </row>
    <row r="2652" spans="1:7" hidden="1" x14ac:dyDescent="0.2">
      <c r="A2652" t="s">
        <v>526</v>
      </c>
      <c r="B2652" t="s">
        <v>32</v>
      </c>
      <c r="C2652">
        <v>7</v>
      </c>
      <c r="D2652" t="s">
        <v>125</v>
      </c>
      <c r="E2652" t="s">
        <v>185</v>
      </c>
      <c r="F2652">
        <v>4.68</v>
      </c>
      <c r="G2652">
        <v>2025</v>
      </c>
    </row>
    <row r="2653" spans="1:7" hidden="1" x14ac:dyDescent="0.2">
      <c r="A2653" t="s">
        <v>526</v>
      </c>
      <c r="B2653" t="s">
        <v>32</v>
      </c>
      <c r="C2653">
        <v>7</v>
      </c>
      <c r="D2653" t="s">
        <v>128</v>
      </c>
      <c r="E2653" t="s">
        <v>186</v>
      </c>
      <c r="F2653">
        <v>11.2</v>
      </c>
      <c r="G2653">
        <v>2025</v>
      </c>
    </row>
    <row r="2654" spans="1:7" hidden="1" x14ac:dyDescent="0.2">
      <c r="A2654" t="s">
        <v>526</v>
      </c>
      <c r="B2654" t="s">
        <v>32</v>
      </c>
      <c r="C2654">
        <v>7</v>
      </c>
      <c r="D2654" t="s">
        <v>128</v>
      </c>
      <c r="E2654" t="s">
        <v>539</v>
      </c>
      <c r="F2654">
        <v>20.100000000000001</v>
      </c>
      <c r="G2654">
        <v>2025</v>
      </c>
    </row>
    <row r="2655" spans="1:7" hidden="1" x14ac:dyDescent="0.2">
      <c r="A2655" t="s">
        <v>526</v>
      </c>
      <c r="B2655" t="s">
        <v>32</v>
      </c>
      <c r="C2655">
        <v>7</v>
      </c>
      <c r="D2655" t="s">
        <v>128</v>
      </c>
      <c r="E2655" t="s">
        <v>283</v>
      </c>
      <c r="F2655">
        <v>2.7</v>
      </c>
      <c r="G2655">
        <v>2025</v>
      </c>
    </row>
    <row r="2656" spans="1:7" hidden="1" x14ac:dyDescent="0.2">
      <c r="A2656" t="s">
        <v>526</v>
      </c>
      <c r="B2656" t="s">
        <v>32</v>
      </c>
      <c r="C2656">
        <v>7</v>
      </c>
      <c r="D2656" t="s">
        <v>127</v>
      </c>
      <c r="E2656" t="s">
        <v>148</v>
      </c>
      <c r="F2656">
        <v>11.3</v>
      </c>
      <c r="G2656">
        <v>2025</v>
      </c>
    </row>
    <row r="2657" spans="1:7" hidden="1" x14ac:dyDescent="0.2">
      <c r="A2657" t="s">
        <v>526</v>
      </c>
      <c r="B2657" t="s">
        <v>32</v>
      </c>
      <c r="C2657">
        <v>7</v>
      </c>
      <c r="D2657" t="s">
        <v>127</v>
      </c>
      <c r="E2657" t="s">
        <v>225</v>
      </c>
      <c r="F2657">
        <v>6.6</v>
      </c>
      <c r="G2657">
        <v>2025</v>
      </c>
    </row>
    <row r="2658" spans="1:7" hidden="1" x14ac:dyDescent="0.2">
      <c r="A2658" t="s">
        <v>526</v>
      </c>
      <c r="B2658" t="s">
        <v>32</v>
      </c>
      <c r="C2658">
        <v>7</v>
      </c>
      <c r="D2658" t="s">
        <v>129</v>
      </c>
      <c r="E2658" t="s">
        <v>558</v>
      </c>
      <c r="F2658">
        <v>0</v>
      </c>
      <c r="G2658">
        <v>2025</v>
      </c>
    </row>
    <row r="2659" spans="1:7" hidden="1" x14ac:dyDescent="0.2">
      <c r="A2659" t="s">
        <v>526</v>
      </c>
      <c r="B2659" t="s">
        <v>32</v>
      </c>
      <c r="C2659">
        <v>7</v>
      </c>
      <c r="D2659" t="s">
        <v>131</v>
      </c>
      <c r="E2659" t="s">
        <v>339</v>
      </c>
      <c r="F2659">
        <v>5</v>
      </c>
      <c r="G2659">
        <v>2025</v>
      </c>
    </row>
    <row r="2660" spans="1:7" hidden="1" x14ac:dyDescent="0.2">
      <c r="A2660" t="s">
        <v>526</v>
      </c>
      <c r="B2660" t="s">
        <v>32</v>
      </c>
      <c r="C2660">
        <v>7</v>
      </c>
      <c r="D2660" t="s">
        <v>130</v>
      </c>
      <c r="E2660" t="s">
        <v>238</v>
      </c>
      <c r="F2660">
        <v>3</v>
      </c>
      <c r="G2660">
        <v>2025</v>
      </c>
    </row>
    <row r="2661" spans="1:7" hidden="1" x14ac:dyDescent="0.2">
      <c r="A2661" t="s">
        <v>526</v>
      </c>
      <c r="B2661" t="s">
        <v>32</v>
      </c>
      <c r="C2661">
        <v>7</v>
      </c>
      <c r="D2661" t="s">
        <v>293</v>
      </c>
      <c r="E2661" t="s">
        <v>226</v>
      </c>
      <c r="F2661">
        <v>6.2</v>
      </c>
      <c r="G2661">
        <v>2025</v>
      </c>
    </row>
    <row r="2662" spans="1:7" hidden="1" x14ac:dyDescent="0.2">
      <c r="A2662" t="s">
        <v>525</v>
      </c>
      <c r="B2662" t="s">
        <v>36</v>
      </c>
      <c r="C2662">
        <v>7</v>
      </c>
      <c r="D2662" t="s">
        <v>125</v>
      </c>
      <c r="E2662" t="s">
        <v>250</v>
      </c>
      <c r="F2662">
        <v>17.739999999999998</v>
      </c>
      <c r="G2662">
        <v>2025</v>
      </c>
    </row>
    <row r="2663" spans="1:7" hidden="1" x14ac:dyDescent="0.2">
      <c r="A2663" t="s">
        <v>525</v>
      </c>
      <c r="B2663" t="s">
        <v>36</v>
      </c>
      <c r="C2663">
        <v>7</v>
      </c>
      <c r="D2663" t="s">
        <v>128</v>
      </c>
      <c r="E2663" t="s">
        <v>145</v>
      </c>
      <c r="F2663">
        <v>26.1</v>
      </c>
      <c r="G2663">
        <v>2025</v>
      </c>
    </row>
    <row r="2664" spans="1:7" hidden="1" x14ac:dyDescent="0.2">
      <c r="A2664" t="s">
        <v>525</v>
      </c>
      <c r="B2664" t="s">
        <v>36</v>
      </c>
      <c r="C2664">
        <v>7</v>
      </c>
      <c r="D2664" t="s">
        <v>128</v>
      </c>
      <c r="E2664" t="s">
        <v>298</v>
      </c>
      <c r="F2664">
        <v>10</v>
      </c>
      <c r="G2664">
        <v>2025</v>
      </c>
    </row>
    <row r="2665" spans="1:7" hidden="1" x14ac:dyDescent="0.2">
      <c r="A2665" t="s">
        <v>525</v>
      </c>
      <c r="B2665" t="s">
        <v>36</v>
      </c>
      <c r="C2665">
        <v>7</v>
      </c>
      <c r="D2665" t="s">
        <v>128</v>
      </c>
      <c r="E2665" t="s">
        <v>161</v>
      </c>
      <c r="F2665">
        <v>24.3</v>
      </c>
      <c r="G2665">
        <v>2025</v>
      </c>
    </row>
    <row r="2666" spans="1:7" hidden="1" x14ac:dyDescent="0.2">
      <c r="A2666" t="s">
        <v>525</v>
      </c>
      <c r="B2666" t="s">
        <v>36</v>
      </c>
      <c r="C2666">
        <v>7</v>
      </c>
      <c r="D2666" t="s">
        <v>127</v>
      </c>
      <c r="E2666" t="s">
        <v>207</v>
      </c>
      <c r="F2666">
        <v>35.299999999999997</v>
      </c>
      <c r="G2666">
        <v>2025</v>
      </c>
    </row>
    <row r="2667" spans="1:7" hidden="1" x14ac:dyDescent="0.2">
      <c r="A2667" t="s">
        <v>525</v>
      </c>
      <c r="B2667" t="s">
        <v>36</v>
      </c>
      <c r="C2667">
        <v>7</v>
      </c>
      <c r="D2667" t="s">
        <v>127</v>
      </c>
      <c r="E2667" t="s">
        <v>217</v>
      </c>
      <c r="F2667">
        <v>6.4</v>
      </c>
      <c r="G2667">
        <v>2025</v>
      </c>
    </row>
    <row r="2668" spans="1:7" hidden="1" x14ac:dyDescent="0.2">
      <c r="A2668" t="s">
        <v>525</v>
      </c>
      <c r="B2668" t="s">
        <v>36</v>
      </c>
      <c r="C2668">
        <v>7</v>
      </c>
      <c r="D2668" t="s">
        <v>129</v>
      </c>
      <c r="E2668" t="s">
        <v>156</v>
      </c>
      <c r="F2668">
        <v>3</v>
      </c>
      <c r="G2668">
        <v>2025</v>
      </c>
    </row>
    <row r="2669" spans="1:7" hidden="1" x14ac:dyDescent="0.2">
      <c r="A2669" t="s">
        <v>525</v>
      </c>
      <c r="B2669" t="s">
        <v>36</v>
      </c>
      <c r="C2669">
        <v>7</v>
      </c>
      <c r="D2669" t="s">
        <v>131</v>
      </c>
      <c r="E2669" t="s">
        <v>183</v>
      </c>
      <c r="F2669">
        <v>3</v>
      </c>
      <c r="G2669">
        <v>2025</v>
      </c>
    </row>
    <row r="2670" spans="1:7" hidden="1" x14ac:dyDescent="0.2">
      <c r="A2670" t="s">
        <v>525</v>
      </c>
      <c r="B2670" t="s">
        <v>36</v>
      </c>
      <c r="C2670">
        <v>7</v>
      </c>
      <c r="D2670" t="s">
        <v>130</v>
      </c>
      <c r="E2670" t="s">
        <v>142</v>
      </c>
      <c r="F2670">
        <v>10</v>
      </c>
      <c r="G2670">
        <v>2025</v>
      </c>
    </row>
    <row r="2671" spans="1:7" hidden="1" x14ac:dyDescent="0.2">
      <c r="A2671" t="s">
        <v>525</v>
      </c>
      <c r="B2671" t="s">
        <v>36</v>
      </c>
      <c r="C2671">
        <v>7</v>
      </c>
      <c r="D2671" t="s">
        <v>294</v>
      </c>
      <c r="E2671" t="s">
        <v>204</v>
      </c>
      <c r="F2671">
        <v>1.7</v>
      </c>
      <c r="G2671">
        <v>2025</v>
      </c>
    </row>
    <row r="2672" spans="1:7" hidden="1" x14ac:dyDescent="0.2">
      <c r="A2672" t="s">
        <v>26</v>
      </c>
      <c r="B2672" t="s">
        <v>28</v>
      </c>
      <c r="C2672">
        <v>7</v>
      </c>
      <c r="D2672" t="s">
        <v>125</v>
      </c>
      <c r="E2672" t="s">
        <v>544</v>
      </c>
      <c r="F2672">
        <v>28.42</v>
      </c>
      <c r="G2672">
        <v>2025</v>
      </c>
    </row>
    <row r="2673" spans="1:7" hidden="1" x14ac:dyDescent="0.2">
      <c r="A2673" t="s">
        <v>26</v>
      </c>
      <c r="B2673" t="s">
        <v>28</v>
      </c>
      <c r="C2673">
        <v>7</v>
      </c>
      <c r="D2673" t="s">
        <v>128</v>
      </c>
      <c r="E2673" t="s">
        <v>288</v>
      </c>
      <c r="F2673">
        <v>13.7</v>
      </c>
      <c r="G2673">
        <v>2025</v>
      </c>
    </row>
    <row r="2674" spans="1:7" hidden="1" x14ac:dyDescent="0.2">
      <c r="A2674" t="s">
        <v>26</v>
      </c>
      <c r="B2674" t="s">
        <v>28</v>
      </c>
      <c r="C2674">
        <v>7</v>
      </c>
      <c r="D2674" t="s">
        <v>128</v>
      </c>
      <c r="E2674" t="s">
        <v>257</v>
      </c>
      <c r="F2674">
        <v>6.3</v>
      </c>
      <c r="G2674">
        <v>2025</v>
      </c>
    </row>
    <row r="2675" spans="1:7" hidden="1" x14ac:dyDescent="0.2">
      <c r="A2675" t="s">
        <v>26</v>
      </c>
      <c r="B2675" t="s">
        <v>28</v>
      </c>
      <c r="C2675">
        <v>7</v>
      </c>
      <c r="D2675" t="s">
        <v>128</v>
      </c>
      <c r="E2675" t="s">
        <v>564</v>
      </c>
      <c r="F2675">
        <v>13.8</v>
      </c>
      <c r="G2675">
        <v>2025</v>
      </c>
    </row>
    <row r="2676" spans="1:7" hidden="1" x14ac:dyDescent="0.2">
      <c r="A2676" t="s">
        <v>26</v>
      </c>
      <c r="B2676" t="s">
        <v>28</v>
      </c>
      <c r="C2676">
        <v>7</v>
      </c>
      <c r="D2676" t="s">
        <v>127</v>
      </c>
      <c r="E2676" t="s">
        <v>545</v>
      </c>
      <c r="F2676">
        <v>26.4</v>
      </c>
      <c r="G2676">
        <v>2025</v>
      </c>
    </row>
    <row r="2677" spans="1:7" hidden="1" x14ac:dyDescent="0.2">
      <c r="A2677" t="s">
        <v>26</v>
      </c>
      <c r="B2677" t="s">
        <v>28</v>
      </c>
      <c r="C2677">
        <v>7</v>
      </c>
      <c r="D2677" t="s">
        <v>127</v>
      </c>
      <c r="E2677" t="s">
        <v>403</v>
      </c>
      <c r="F2677">
        <v>18.5</v>
      </c>
      <c r="G2677">
        <v>2025</v>
      </c>
    </row>
    <row r="2678" spans="1:7" hidden="1" x14ac:dyDescent="0.2">
      <c r="A2678" t="s">
        <v>26</v>
      </c>
      <c r="B2678" t="s">
        <v>28</v>
      </c>
      <c r="C2678">
        <v>7</v>
      </c>
      <c r="D2678" t="s">
        <v>129</v>
      </c>
      <c r="E2678" t="s">
        <v>376</v>
      </c>
      <c r="F2678">
        <v>7.3</v>
      </c>
      <c r="G2678">
        <v>2025</v>
      </c>
    </row>
    <row r="2679" spans="1:7" hidden="1" x14ac:dyDescent="0.2">
      <c r="A2679" t="s">
        <v>26</v>
      </c>
      <c r="B2679" t="s">
        <v>28</v>
      </c>
      <c r="C2679">
        <v>7</v>
      </c>
      <c r="D2679" t="s">
        <v>131</v>
      </c>
      <c r="E2679" t="s">
        <v>520</v>
      </c>
      <c r="F2679">
        <v>5</v>
      </c>
      <c r="G2679">
        <v>2025</v>
      </c>
    </row>
    <row r="2680" spans="1:7" x14ac:dyDescent="0.2">
      <c r="A2680" t="s">
        <v>26</v>
      </c>
      <c r="B2680" t="s">
        <v>28</v>
      </c>
      <c r="C2680">
        <v>7</v>
      </c>
      <c r="D2680" t="s">
        <v>130</v>
      </c>
      <c r="E2680" t="s">
        <v>287</v>
      </c>
      <c r="F2680">
        <v>18</v>
      </c>
      <c r="G2680">
        <v>2025</v>
      </c>
    </row>
    <row r="2681" spans="1:7" hidden="1" x14ac:dyDescent="0.2">
      <c r="A2681" t="s">
        <v>26</v>
      </c>
      <c r="B2681" t="s">
        <v>28</v>
      </c>
      <c r="C2681">
        <v>7</v>
      </c>
      <c r="D2681" t="s">
        <v>293</v>
      </c>
      <c r="E2681" t="s">
        <v>519</v>
      </c>
      <c r="F2681">
        <v>3.9</v>
      </c>
      <c r="G2681">
        <v>2025</v>
      </c>
    </row>
    <row r="2682" spans="1:7" hidden="1" x14ac:dyDescent="0.2">
      <c r="A2682" t="s">
        <v>18</v>
      </c>
      <c r="B2682" t="s">
        <v>20</v>
      </c>
      <c r="C2682">
        <v>7</v>
      </c>
      <c r="D2682" t="s">
        <v>125</v>
      </c>
      <c r="E2682" t="s">
        <v>325</v>
      </c>
      <c r="F2682">
        <v>8.6199999999999992</v>
      </c>
      <c r="G2682">
        <v>2025</v>
      </c>
    </row>
    <row r="2683" spans="1:7" hidden="1" x14ac:dyDescent="0.2">
      <c r="A2683" t="s">
        <v>18</v>
      </c>
      <c r="B2683" t="s">
        <v>20</v>
      </c>
      <c r="C2683">
        <v>7</v>
      </c>
      <c r="D2683" t="s">
        <v>128</v>
      </c>
      <c r="E2683" t="s">
        <v>248</v>
      </c>
      <c r="F2683">
        <v>22.3</v>
      </c>
      <c r="G2683">
        <v>2025</v>
      </c>
    </row>
    <row r="2684" spans="1:7" hidden="1" x14ac:dyDescent="0.2">
      <c r="A2684" t="s">
        <v>18</v>
      </c>
      <c r="B2684" t="s">
        <v>20</v>
      </c>
      <c r="C2684">
        <v>7</v>
      </c>
      <c r="D2684" t="s">
        <v>128</v>
      </c>
      <c r="E2684" t="s">
        <v>276</v>
      </c>
      <c r="F2684">
        <v>18.600000000000001</v>
      </c>
      <c r="G2684">
        <v>2025</v>
      </c>
    </row>
    <row r="2685" spans="1:7" hidden="1" x14ac:dyDescent="0.2">
      <c r="A2685" t="s">
        <v>18</v>
      </c>
      <c r="B2685" t="s">
        <v>20</v>
      </c>
      <c r="C2685">
        <v>7</v>
      </c>
      <c r="D2685" t="s">
        <v>128</v>
      </c>
      <c r="E2685" t="s">
        <v>305</v>
      </c>
      <c r="F2685">
        <v>17.3</v>
      </c>
      <c r="G2685">
        <v>2025</v>
      </c>
    </row>
    <row r="2686" spans="1:7" hidden="1" x14ac:dyDescent="0.2">
      <c r="A2686" t="s">
        <v>18</v>
      </c>
      <c r="B2686" t="s">
        <v>20</v>
      </c>
      <c r="C2686">
        <v>7</v>
      </c>
      <c r="D2686" t="s">
        <v>127</v>
      </c>
      <c r="E2686" t="s">
        <v>547</v>
      </c>
      <c r="F2686">
        <v>16.899999999999999</v>
      </c>
      <c r="G2686">
        <v>2025</v>
      </c>
    </row>
    <row r="2687" spans="1:7" hidden="1" x14ac:dyDescent="0.2">
      <c r="A2687" t="s">
        <v>18</v>
      </c>
      <c r="B2687" t="s">
        <v>20</v>
      </c>
      <c r="C2687">
        <v>7</v>
      </c>
      <c r="D2687" t="s">
        <v>127</v>
      </c>
      <c r="E2687" t="s">
        <v>566</v>
      </c>
      <c r="F2687">
        <v>5.5</v>
      </c>
      <c r="G2687">
        <v>2025</v>
      </c>
    </row>
    <row r="2688" spans="1:7" hidden="1" x14ac:dyDescent="0.2">
      <c r="A2688" t="s">
        <v>18</v>
      </c>
      <c r="B2688" t="s">
        <v>20</v>
      </c>
      <c r="C2688">
        <v>7</v>
      </c>
      <c r="D2688" t="s">
        <v>129</v>
      </c>
      <c r="E2688" t="s">
        <v>327</v>
      </c>
      <c r="F2688">
        <v>14.3</v>
      </c>
      <c r="G2688">
        <v>2025</v>
      </c>
    </row>
    <row r="2689" spans="1:7" hidden="1" x14ac:dyDescent="0.2">
      <c r="A2689" t="s">
        <v>18</v>
      </c>
      <c r="B2689" t="s">
        <v>20</v>
      </c>
      <c r="C2689">
        <v>7</v>
      </c>
      <c r="D2689" t="s">
        <v>131</v>
      </c>
      <c r="E2689" t="s">
        <v>350</v>
      </c>
      <c r="F2689">
        <v>7</v>
      </c>
      <c r="G2689">
        <v>2025</v>
      </c>
    </row>
    <row r="2690" spans="1:7" hidden="1" x14ac:dyDescent="0.2">
      <c r="A2690" t="s">
        <v>18</v>
      </c>
      <c r="B2690" t="s">
        <v>20</v>
      </c>
      <c r="C2690">
        <v>7</v>
      </c>
      <c r="D2690" t="s">
        <v>130</v>
      </c>
      <c r="E2690" t="s">
        <v>307</v>
      </c>
      <c r="F2690">
        <v>20</v>
      </c>
      <c r="G2690">
        <v>2025</v>
      </c>
    </row>
    <row r="2691" spans="1:7" hidden="1" x14ac:dyDescent="0.2">
      <c r="A2691" t="s">
        <v>18</v>
      </c>
      <c r="B2691" t="s">
        <v>20</v>
      </c>
      <c r="C2691">
        <v>7</v>
      </c>
      <c r="D2691" t="s">
        <v>294</v>
      </c>
      <c r="E2691" t="s">
        <v>565</v>
      </c>
      <c r="F2691">
        <v>0</v>
      </c>
      <c r="G2691">
        <v>2025</v>
      </c>
    </row>
    <row r="2692" spans="1:7" hidden="1" x14ac:dyDescent="0.2">
      <c r="A2692" t="s">
        <v>35</v>
      </c>
      <c r="B2692" t="s">
        <v>49</v>
      </c>
      <c r="C2692">
        <v>7</v>
      </c>
      <c r="D2692" t="s">
        <v>125</v>
      </c>
      <c r="E2692" t="s">
        <v>168</v>
      </c>
      <c r="F2692">
        <v>24.04</v>
      </c>
      <c r="G2692">
        <v>2025</v>
      </c>
    </row>
    <row r="2693" spans="1:7" hidden="1" x14ac:dyDescent="0.2">
      <c r="A2693" t="s">
        <v>35</v>
      </c>
      <c r="B2693" t="s">
        <v>49</v>
      </c>
      <c r="C2693">
        <v>7</v>
      </c>
      <c r="D2693" t="s">
        <v>128</v>
      </c>
      <c r="E2693" t="s">
        <v>205</v>
      </c>
      <c r="F2693">
        <v>28.8</v>
      </c>
      <c r="G2693">
        <v>2025</v>
      </c>
    </row>
    <row r="2694" spans="1:7" hidden="1" x14ac:dyDescent="0.2">
      <c r="A2694" t="s">
        <v>35</v>
      </c>
      <c r="B2694" t="s">
        <v>49</v>
      </c>
      <c r="C2694">
        <v>7</v>
      </c>
      <c r="D2694" t="s">
        <v>128</v>
      </c>
      <c r="E2694" t="s">
        <v>160</v>
      </c>
      <c r="F2694">
        <v>10.199999999999999</v>
      </c>
      <c r="G2694">
        <v>2025</v>
      </c>
    </row>
    <row r="2695" spans="1:7" hidden="1" x14ac:dyDescent="0.2">
      <c r="A2695" t="s">
        <v>35</v>
      </c>
      <c r="B2695" t="s">
        <v>49</v>
      </c>
      <c r="C2695">
        <v>7</v>
      </c>
      <c r="D2695" t="s">
        <v>128</v>
      </c>
      <c r="E2695" t="s">
        <v>147</v>
      </c>
      <c r="F2695">
        <v>19.7</v>
      </c>
      <c r="G2695">
        <v>2025</v>
      </c>
    </row>
    <row r="2696" spans="1:7" hidden="1" x14ac:dyDescent="0.2">
      <c r="A2696" t="s">
        <v>35</v>
      </c>
      <c r="B2696" t="s">
        <v>49</v>
      </c>
      <c r="C2696">
        <v>7</v>
      </c>
      <c r="D2696" t="s">
        <v>127</v>
      </c>
      <c r="E2696" t="s">
        <v>234</v>
      </c>
      <c r="F2696">
        <v>15.8</v>
      </c>
      <c r="G2696">
        <v>2025</v>
      </c>
    </row>
    <row r="2697" spans="1:7" hidden="1" x14ac:dyDescent="0.2">
      <c r="A2697" t="s">
        <v>35</v>
      </c>
      <c r="B2697" t="s">
        <v>49</v>
      </c>
      <c r="C2697">
        <v>7</v>
      </c>
      <c r="D2697" t="s">
        <v>127</v>
      </c>
      <c r="E2697" t="s">
        <v>256</v>
      </c>
      <c r="F2697">
        <v>7.5</v>
      </c>
      <c r="G2697">
        <v>2025</v>
      </c>
    </row>
    <row r="2698" spans="1:7" hidden="1" x14ac:dyDescent="0.2">
      <c r="A2698" t="s">
        <v>35</v>
      </c>
      <c r="B2698" t="s">
        <v>49</v>
      </c>
      <c r="C2698">
        <v>7</v>
      </c>
      <c r="D2698" t="s">
        <v>129</v>
      </c>
      <c r="E2698" t="s">
        <v>137</v>
      </c>
      <c r="F2698">
        <v>24.4</v>
      </c>
      <c r="G2698">
        <v>2025</v>
      </c>
    </row>
    <row r="2699" spans="1:7" hidden="1" x14ac:dyDescent="0.2">
      <c r="A2699" t="s">
        <v>35</v>
      </c>
      <c r="B2699" t="s">
        <v>49</v>
      </c>
      <c r="C2699">
        <v>7</v>
      </c>
      <c r="D2699" t="s">
        <v>131</v>
      </c>
      <c r="E2699" t="s">
        <v>559</v>
      </c>
      <c r="F2699">
        <v>11</v>
      </c>
      <c r="G2699">
        <v>2025</v>
      </c>
    </row>
    <row r="2700" spans="1:7" hidden="1" x14ac:dyDescent="0.2">
      <c r="A2700" t="s">
        <v>35</v>
      </c>
      <c r="B2700" t="s">
        <v>49</v>
      </c>
      <c r="C2700">
        <v>7</v>
      </c>
      <c r="D2700" t="s">
        <v>130</v>
      </c>
      <c r="E2700" t="s">
        <v>323</v>
      </c>
      <c r="F2700">
        <v>4</v>
      </c>
      <c r="G2700">
        <v>2025</v>
      </c>
    </row>
    <row r="2701" spans="1:7" hidden="1" x14ac:dyDescent="0.2">
      <c r="A2701" t="s">
        <v>35</v>
      </c>
      <c r="B2701" t="s">
        <v>49</v>
      </c>
      <c r="C2701">
        <v>7</v>
      </c>
      <c r="D2701" t="s">
        <v>294</v>
      </c>
      <c r="E2701" t="s">
        <v>188</v>
      </c>
      <c r="F2701">
        <v>6.2</v>
      </c>
      <c r="G2701">
        <v>2025</v>
      </c>
    </row>
    <row r="2702" spans="1:7" hidden="1" x14ac:dyDescent="0.2">
      <c r="A2702" t="s">
        <v>31</v>
      </c>
      <c r="B2702" t="s">
        <v>33</v>
      </c>
      <c r="C2702">
        <v>7</v>
      </c>
      <c r="D2702" t="s">
        <v>125</v>
      </c>
      <c r="E2702" t="s">
        <v>334</v>
      </c>
      <c r="F2702">
        <v>22.22</v>
      </c>
      <c r="G2702">
        <v>2025</v>
      </c>
    </row>
    <row r="2703" spans="1:7" hidden="1" x14ac:dyDescent="0.2">
      <c r="A2703" t="s">
        <v>31</v>
      </c>
      <c r="B2703" t="s">
        <v>33</v>
      </c>
      <c r="C2703">
        <v>7</v>
      </c>
      <c r="D2703" t="s">
        <v>128</v>
      </c>
      <c r="E2703" t="s">
        <v>152</v>
      </c>
      <c r="F2703">
        <v>0</v>
      </c>
      <c r="G2703">
        <v>2025</v>
      </c>
    </row>
    <row r="2704" spans="1:7" hidden="1" x14ac:dyDescent="0.2">
      <c r="A2704" t="s">
        <v>31</v>
      </c>
      <c r="B2704" t="s">
        <v>33</v>
      </c>
      <c r="C2704">
        <v>7</v>
      </c>
      <c r="D2704" t="s">
        <v>128</v>
      </c>
      <c r="E2704" t="s">
        <v>219</v>
      </c>
      <c r="F2704">
        <v>6.5</v>
      </c>
      <c r="G2704">
        <v>2025</v>
      </c>
    </row>
    <row r="2705" spans="1:7" hidden="1" x14ac:dyDescent="0.2">
      <c r="A2705" t="s">
        <v>31</v>
      </c>
      <c r="B2705" t="s">
        <v>33</v>
      </c>
      <c r="C2705">
        <v>7</v>
      </c>
      <c r="D2705" t="s">
        <v>128</v>
      </c>
      <c r="E2705" t="s">
        <v>390</v>
      </c>
      <c r="F2705">
        <v>12.5</v>
      </c>
      <c r="G2705">
        <v>2025</v>
      </c>
    </row>
    <row r="2706" spans="1:7" hidden="1" x14ac:dyDescent="0.2">
      <c r="A2706" t="s">
        <v>31</v>
      </c>
      <c r="B2706" t="s">
        <v>33</v>
      </c>
      <c r="C2706">
        <v>7</v>
      </c>
      <c r="D2706" t="s">
        <v>127</v>
      </c>
      <c r="E2706" t="s">
        <v>174</v>
      </c>
      <c r="F2706">
        <v>18.2</v>
      </c>
      <c r="G2706">
        <v>2025</v>
      </c>
    </row>
    <row r="2707" spans="1:7" hidden="1" x14ac:dyDescent="0.2">
      <c r="A2707" t="s">
        <v>31</v>
      </c>
      <c r="B2707" t="s">
        <v>33</v>
      </c>
      <c r="C2707">
        <v>7</v>
      </c>
      <c r="D2707" t="s">
        <v>127</v>
      </c>
      <c r="E2707" t="s">
        <v>175</v>
      </c>
      <c r="F2707">
        <v>17.8</v>
      </c>
      <c r="G2707">
        <v>2025</v>
      </c>
    </row>
    <row r="2708" spans="1:7" hidden="1" x14ac:dyDescent="0.2">
      <c r="A2708" t="s">
        <v>31</v>
      </c>
      <c r="B2708" t="s">
        <v>33</v>
      </c>
      <c r="C2708">
        <v>7</v>
      </c>
      <c r="D2708" t="s">
        <v>129</v>
      </c>
      <c r="E2708" t="s">
        <v>530</v>
      </c>
      <c r="F2708">
        <v>14.9</v>
      </c>
      <c r="G2708">
        <v>2025</v>
      </c>
    </row>
    <row r="2709" spans="1:7" hidden="1" x14ac:dyDescent="0.2">
      <c r="A2709" t="s">
        <v>31</v>
      </c>
      <c r="B2709" t="s">
        <v>33</v>
      </c>
      <c r="C2709">
        <v>7</v>
      </c>
      <c r="D2709" t="s">
        <v>131</v>
      </c>
      <c r="E2709" t="s">
        <v>562</v>
      </c>
      <c r="F2709">
        <v>2</v>
      </c>
      <c r="G2709">
        <v>2025</v>
      </c>
    </row>
    <row r="2710" spans="1:7" hidden="1" x14ac:dyDescent="0.2">
      <c r="A2710" t="s">
        <v>31</v>
      </c>
      <c r="B2710" t="s">
        <v>33</v>
      </c>
      <c r="C2710">
        <v>7</v>
      </c>
      <c r="D2710" t="s">
        <v>130</v>
      </c>
      <c r="E2710" t="s">
        <v>281</v>
      </c>
      <c r="F2710">
        <v>14</v>
      </c>
      <c r="G2710">
        <v>2025</v>
      </c>
    </row>
    <row r="2711" spans="1:7" hidden="1" x14ac:dyDescent="0.2">
      <c r="A2711" t="s">
        <v>31</v>
      </c>
      <c r="B2711" t="s">
        <v>33</v>
      </c>
      <c r="C2711">
        <v>7</v>
      </c>
      <c r="D2711" t="s">
        <v>293</v>
      </c>
      <c r="E2711" t="s">
        <v>318</v>
      </c>
      <c r="F2711">
        <v>10.1</v>
      </c>
      <c r="G2711">
        <v>2025</v>
      </c>
    </row>
    <row r="2712" spans="1:7" hidden="1" x14ac:dyDescent="0.2">
      <c r="A2712" t="s">
        <v>46</v>
      </c>
      <c r="B2712" t="s">
        <v>47</v>
      </c>
      <c r="C2712">
        <v>7</v>
      </c>
      <c r="D2712" t="s">
        <v>125</v>
      </c>
      <c r="E2712" t="s">
        <v>126</v>
      </c>
      <c r="F2712">
        <v>17.64</v>
      </c>
      <c r="G2712">
        <v>2025</v>
      </c>
    </row>
    <row r="2713" spans="1:7" hidden="1" x14ac:dyDescent="0.2">
      <c r="A2713" t="s">
        <v>46</v>
      </c>
      <c r="B2713" t="s">
        <v>47</v>
      </c>
      <c r="C2713">
        <v>7</v>
      </c>
      <c r="D2713" t="s">
        <v>128</v>
      </c>
      <c r="E2713" t="s">
        <v>347</v>
      </c>
      <c r="F2713">
        <v>12.3</v>
      </c>
      <c r="G2713">
        <v>2025</v>
      </c>
    </row>
    <row r="2714" spans="1:7" hidden="1" x14ac:dyDescent="0.2">
      <c r="A2714" t="s">
        <v>46</v>
      </c>
      <c r="B2714" t="s">
        <v>47</v>
      </c>
      <c r="C2714">
        <v>7</v>
      </c>
      <c r="D2714" t="s">
        <v>128</v>
      </c>
      <c r="E2714" t="s">
        <v>178</v>
      </c>
      <c r="F2714">
        <v>2</v>
      </c>
      <c r="G2714">
        <v>2025</v>
      </c>
    </row>
    <row r="2715" spans="1:7" hidden="1" x14ac:dyDescent="0.2">
      <c r="A2715" t="s">
        <v>46</v>
      </c>
      <c r="B2715" t="s">
        <v>47</v>
      </c>
      <c r="C2715">
        <v>7</v>
      </c>
      <c r="D2715" t="s">
        <v>128</v>
      </c>
      <c r="E2715" t="s">
        <v>172</v>
      </c>
      <c r="F2715">
        <v>6.7</v>
      </c>
      <c r="G2715">
        <v>2025</v>
      </c>
    </row>
    <row r="2716" spans="1:7" hidden="1" x14ac:dyDescent="0.2">
      <c r="A2716" t="s">
        <v>46</v>
      </c>
      <c r="B2716" t="s">
        <v>47</v>
      </c>
      <c r="C2716">
        <v>7</v>
      </c>
      <c r="D2716" t="s">
        <v>127</v>
      </c>
      <c r="E2716" t="s">
        <v>372</v>
      </c>
      <c r="F2716">
        <v>35.6</v>
      </c>
      <c r="G2716">
        <v>2025</v>
      </c>
    </row>
    <row r="2717" spans="1:7" hidden="1" x14ac:dyDescent="0.2">
      <c r="A2717" t="s">
        <v>46</v>
      </c>
      <c r="B2717" t="s">
        <v>47</v>
      </c>
      <c r="C2717">
        <v>7</v>
      </c>
      <c r="D2717" t="s">
        <v>127</v>
      </c>
      <c r="E2717" t="s">
        <v>278</v>
      </c>
      <c r="F2717">
        <v>20.3</v>
      </c>
      <c r="G2717">
        <v>2025</v>
      </c>
    </row>
    <row r="2718" spans="1:7" hidden="1" x14ac:dyDescent="0.2">
      <c r="A2718" t="s">
        <v>46</v>
      </c>
      <c r="B2718" t="s">
        <v>47</v>
      </c>
      <c r="C2718">
        <v>7</v>
      </c>
      <c r="D2718" t="s">
        <v>129</v>
      </c>
      <c r="E2718" t="s">
        <v>561</v>
      </c>
      <c r="F2718">
        <v>4.5999999999999996</v>
      </c>
      <c r="G2718">
        <v>2025</v>
      </c>
    </row>
    <row r="2719" spans="1:7" hidden="1" x14ac:dyDescent="0.2">
      <c r="A2719" t="s">
        <v>46</v>
      </c>
      <c r="B2719" t="s">
        <v>47</v>
      </c>
      <c r="C2719">
        <v>7</v>
      </c>
      <c r="D2719" t="s">
        <v>131</v>
      </c>
      <c r="E2719" t="s">
        <v>242</v>
      </c>
      <c r="F2719">
        <v>8</v>
      </c>
      <c r="G2719">
        <v>2025</v>
      </c>
    </row>
    <row r="2720" spans="1:7" hidden="1" x14ac:dyDescent="0.2">
      <c r="A2720" t="s">
        <v>46</v>
      </c>
      <c r="B2720" t="s">
        <v>47</v>
      </c>
      <c r="C2720">
        <v>7</v>
      </c>
      <c r="D2720" t="s">
        <v>130</v>
      </c>
      <c r="E2720" t="s">
        <v>352</v>
      </c>
      <c r="F2720">
        <v>10</v>
      </c>
      <c r="G2720">
        <v>2025</v>
      </c>
    </row>
    <row r="2721" spans="1:7" hidden="1" x14ac:dyDescent="0.2">
      <c r="A2721" t="s">
        <v>46</v>
      </c>
      <c r="B2721" t="s">
        <v>47</v>
      </c>
      <c r="C2721">
        <v>7</v>
      </c>
      <c r="D2721" t="s">
        <v>293</v>
      </c>
      <c r="E2721" t="s">
        <v>550</v>
      </c>
      <c r="F2721">
        <v>4.5999999999999996</v>
      </c>
      <c r="G2721">
        <v>2025</v>
      </c>
    </row>
    <row r="2722" spans="1:7" hidden="1" x14ac:dyDescent="0.2">
      <c r="A2722" t="s">
        <v>14</v>
      </c>
      <c r="B2722" t="s">
        <v>16</v>
      </c>
      <c r="C2722">
        <v>8</v>
      </c>
      <c r="D2722" t="s">
        <v>125</v>
      </c>
      <c r="E2722" t="s">
        <v>567</v>
      </c>
      <c r="F2722">
        <v>11.32</v>
      </c>
      <c r="G2722">
        <v>2025</v>
      </c>
    </row>
    <row r="2723" spans="1:7" hidden="1" x14ac:dyDescent="0.2">
      <c r="A2723" t="s">
        <v>14</v>
      </c>
      <c r="B2723" t="s">
        <v>16</v>
      </c>
      <c r="C2723">
        <v>8</v>
      </c>
      <c r="D2723" t="s">
        <v>128</v>
      </c>
      <c r="E2723" t="s">
        <v>254</v>
      </c>
      <c r="F2723">
        <v>19.5</v>
      </c>
      <c r="G2723">
        <v>2025</v>
      </c>
    </row>
    <row r="2724" spans="1:7" hidden="1" x14ac:dyDescent="0.2">
      <c r="A2724" t="s">
        <v>14</v>
      </c>
      <c r="B2724" t="s">
        <v>16</v>
      </c>
      <c r="C2724">
        <v>8</v>
      </c>
      <c r="D2724" t="s">
        <v>128</v>
      </c>
      <c r="E2724" t="s">
        <v>295</v>
      </c>
      <c r="F2724">
        <v>12.9</v>
      </c>
      <c r="G2724">
        <v>2025</v>
      </c>
    </row>
    <row r="2725" spans="1:7" hidden="1" x14ac:dyDescent="0.2">
      <c r="A2725" t="s">
        <v>14</v>
      </c>
      <c r="B2725" t="s">
        <v>16</v>
      </c>
      <c r="C2725">
        <v>8</v>
      </c>
      <c r="D2725" t="s">
        <v>128</v>
      </c>
      <c r="E2725" t="s">
        <v>328</v>
      </c>
      <c r="F2725">
        <v>1.6</v>
      </c>
      <c r="G2725">
        <v>2025</v>
      </c>
    </row>
    <row r="2726" spans="1:7" hidden="1" x14ac:dyDescent="0.2">
      <c r="A2726" t="s">
        <v>14</v>
      </c>
      <c r="B2726" t="s">
        <v>16</v>
      </c>
      <c r="C2726">
        <v>8</v>
      </c>
      <c r="D2726" t="s">
        <v>127</v>
      </c>
      <c r="E2726" t="s">
        <v>314</v>
      </c>
      <c r="F2726">
        <v>24</v>
      </c>
      <c r="G2726">
        <v>2025</v>
      </c>
    </row>
    <row r="2727" spans="1:7" hidden="1" x14ac:dyDescent="0.2">
      <c r="A2727" t="s">
        <v>14</v>
      </c>
      <c r="B2727" t="s">
        <v>16</v>
      </c>
      <c r="C2727">
        <v>8</v>
      </c>
      <c r="D2727" t="s">
        <v>127</v>
      </c>
      <c r="E2727" t="s">
        <v>306</v>
      </c>
      <c r="F2727">
        <v>9.4</v>
      </c>
      <c r="G2727">
        <v>2025</v>
      </c>
    </row>
    <row r="2728" spans="1:7" hidden="1" x14ac:dyDescent="0.2">
      <c r="A2728" t="s">
        <v>14</v>
      </c>
      <c r="B2728" t="s">
        <v>16</v>
      </c>
      <c r="C2728">
        <v>8</v>
      </c>
      <c r="D2728" t="s">
        <v>129</v>
      </c>
      <c r="E2728" t="s">
        <v>236</v>
      </c>
      <c r="F2728">
        <v>12.3</v>
      </c>
      <c r="G2728">
        <v>2025</v>
      </c>
    </row>
    <row r="2729" spans="1:7" hidden="1" x14ac:dyDescent="0.2">
      <c r="A2729" t="s">
        <v>14</v>
      </c>
      <c r="B2729" t="s">
        <v>16</v>
      </c>
      <c r="C2729">
        <v>8</v>
      </c>
      <c r="D2729" t="s">
        <v>131</v>
      </c>
      <c r="E2729" t="s">
        <v>210</v>
      </c>
      <c r="F2729">
        <v>5</v>
      </c>
      <c r="G2729">
        <v>2025</v>
      </c>
    </row>
    <row r="2730" spans="1:7" hidden="1" x14ac:dyDescent="0.2">
      <c r="A2730" t="s">
        <v>14</v>
      </c>
      <c r="B2730" t="s">
        <v>16</v>
      </c>
      <c r="C2730">
        <v>8</v>
      </c>
      <c r="D2730" t="s">
        <v>130</v>
      </c>
      <c r="E2730" t="s">
        <v>253</v>
      </c>
      <c r="F2730">
        <v>6</v>
      </c>
      <c r="G2730">
        <v>2025</v>
      </c>
    </row>
    <row r="2731" spans="1:7" hidden="1" x14ac:dyDescent="0.2">
      <c r="A2731" t="s">
        <v>14</v>
      </c>
      <c r="B2731" t="s">
        <v>16</v>
      </c>
      <c r="C2731">
        <v>8</v>
      </c>
      <c r="D2731" t="s">
        <v>297</v>
      </c>
      <c r="E2731" t="s">
        <v>299</v>
      </c>
      <c r="F2731">
        <v>0</v>
      </c>
      <c r="G2731">
        <v>2025</v>
      </c>
    </row>
    <row r="2732" spans="1:7" hidden="1" x14ac:dyDescent="0.2">
      <c r="A2732" t="s">
        <v>35</v>
      </c>
      <c r="B2732" t="s">
        <v>49</v>
      </c>
      <c r="C2732">
        <v>8</v>
      </c>
      <c r="D2732" t="s">
        <v>125</v>
      </c>
      <c r="E2732" t="s">
        <v>168</v>
      </c>
      <c r="F2732">
        <v>25.36</v>
      </c>
      <c r="G2732">
        <v>2025</v>
      </c>
    </row>
    <row r="2733" spans="1:7" hidden="1" x14ac:dyDescent="0.2">
      <c r="A2733" t="s">
        <v>35</v>
      </c>
      <c r="B2733" t="s">
        <v>49</v>
      </c>
      <c r="C2733">
        <v>8</v>
      </c>
      <c r="D2733" t="s">
        <v>128</v>
      </c>
      <c r="E2733" t="s">
        <v>160</v>
      </c>
      <c r="F2733">
        <v>11.3</v>
      </c>
      <c r="G2733">
        <v>2025</v>
      </c>
    </row>
    <row r="2734" spans="1:7" hidden="1" x14ac:dyDescent="0.2">
      <c r="A2734" t="s">
        <v>35</v>
      </c>
      <c r="B2734" t="s">
        <v>49</v>
      </c>
      <c r="C2734">
        <v>8</v>
      </c>
      <c r="D2734" t="s">
        <v>128</v>
      </c>
      <c r="E2734" t="s">
        <v>205</v>
      </c>
      <c r="F2734">
        <v>11.4</v>
      </c>
      <c r="G2734">
        <v>2025</v>
      </c>
    </row>
    <row r="2735" spans="1:7" hidden="1" x14ac:dyDescent="0.2">
      <c r="A2735" t="s">
        <v>35</v>
      </c>
      <c r="B2735" t="s">
        <v>49</v>
      </c>
      <c r="C2735">
        <v>8</v>
      </c>
      <c r="D2735" t="s">
        <v>128</v>
      </c>
      <c r="E2735" t="s">
        <v>147</v>
      </c>
      <c r="F2735">
        <v>21</v>
      </c>
      <c r="G2735">
        <v>2025</v>
      </c>
    </row>
    <row r="2736" spans="1:7" hidden="1" x14ac:dyDescent="0.2">
      <c r="A2736" t="s">
        <v>35</v>
      </c>
      <c r="B2736" t="s">
        <v>49</v>
      </c>
      <c r="C2736">
        <v>8</v>
      </c>
      <c r="D2736" t="s">
        <v>127</v>
      </c>
      <c r="E2736" t="s">
        <v>556</v>
      </c>
      <c r="F2736">
        <v>13.1</v>
      </c>
      <c r="G2736">
        <v>2025</v>
      </c>
    </row>
    <row r="2737" spans="1:7" hidden="1" x14ac:dyDescent="0.2">
      <c r="A2737" t="s">
        <v>35</v>
      </c>
      <c r="B2737" t="s">
        <v>49</v>
      </c>
      <c r="C2737">
        <v>8</v>
      </c>
      <c r="D2737" t="s">
        <v>127</v>
      </c>
      <c r="E2737" t="s">
        <v>234</v>
      </c>
      <c r="F2737">
        <v>5.4</v>
      </c>
      <c r="G2737">
        <v>2025</v>
      </c>
    </row>
    <row r="2738" spans="1:7" hidden="1" x14ac:dyDescent="0.2">
      <c r="A2738" t="s">
        <v>35</v>
      </c>
      <c r="B2738" t="s">
        <v>49</v>
      </c>
      <c r="C2738">
        <v>8</v>
      </c>
      <c r="D2738" t="s">
        <v>129</v>
      </c>
      <c r="E2738" t="s">
        <v>331</v>
      </c>
      <c r="F2738">
        <v>6</v>
      </c>
      <c r="G2738">
        <v>2025</v>
      </c>
    </row>
    <row r="2739" spans="1:7" hidden="1" x14ac:dyDescent="0.2">
      <c r="A2739" t="s">
        <v>35</v>
      </c>
      <c r="B2739" t="s">
        <v>49</v>
      </c>
      <c r="C2739">
        <v>8</v>
      </c>
      <c r="D2739" t="s">
        <v>131</v>
      </c>
      <c r="E2739" t="s">
        <v>559</v>
      </c>
      <c r="F2739">
        <v>1</v>
      </c>
      <c r="G2739">
        <v>2025</v>
      </c>
    </row>
    <row r="2740" spans="1:7" hidden="1" x14ac:dyDescent="0.2">
      <c r="A2740" t="s">
        <v>35</v>
      </c>
      <c r="B2740" t="s">
        <v>49</v>
      </c>
      <c r="C2740">
        <v>8</v>
      </c>
      <c r="D2740" t="s">
        <v>130</v>
      </c>
      <c r="E2740" t="s">
        <v>323</v>
      </c>
      <c r="F2740">
        <v>5</v>
      </c>
      <c r="G2740">
        <v>2025</v>
      </c>
    </row>
    <row r="2741" spans="1:7" hidden="1" x14ac:dyDescent="0.2">
      <c r="A2741" t="s">
        <v>35</v>
      </c>
      <c r="B2741" t="s">
        <v>49</v>
      </c>
      <c r="C2741">
        <v>8</v>
      </c>
      <c r="D2741" t="s">
        <v>294</v>
      </c>
      <c r="E2741" t="s">
        <v>262</v>
      </c>
      <c r="F2741">
        <v>10</v>
      </c>
      <c r="G2741">
        <v>2025</v>
      </c>
    </row>
    <row r="2742" spans="1:7" hidden="1" x14ac:dyDescent="0.2">
      <c r="A2742" t="s">
        <v>42</v>
      </c>
      <c r="B2742" t="s">
        <v>17</v>
      </c>
      <c r="C2742">
        <v>8</v>
      </c>
      <c r="D2742" t="s">
        <v>125</v>
      </c>
      <c r="E2742" t="s">
        <v>141</v>
      </c>
      <c r="F2742">
        <v>6.62</v>
      </c>
      <c r="G2742">
        <v>2025</v>
      </c>
    </row>
    <row r="2743" spans="1:7" hidden="1" x14ac:dyDescent="0.2">
      <c r="A2743" t="s">
        <v>42</v>
      </c>
      <c r="B2743" t="s">
        <v>17</v>
      </c>
      <c r="C2743">
        <v>8</v>
      </c>
      <c r="D2743" t="s">
        <v>128</v>
      </c>
      <c r="E2743" t="s">
        <v>522</v>
      </c>
      <c r="F2743">
        <v>13.4</v>
      </c>
      <c r="G2743">
        <v>2025</v>
      </c>
    </row>
    <row r="2744" spans="1:7" hidden="1" x14ac:dyDescent="0.2">
      <c r="A2744" t="s">
        <v>42</v>
      </c>
      <c r="B2744" t="s">
        <v>17</v>
      </c>
      <c r="C2744">
        <v>8</v>
      </c>
      <c r="D2744" t="s">
        <v>128</v>
      </c>
      <c r="E2744" t="s">
        <v>315</v>
      </c>
      <c r="F2744">
        <v>6.3</v>
      </c>
      <c r="G2744">
        <v>2025</v>
      </c>
    </row>
    <row r="2745" spans="1:7" hidden="1" x14ac:dyDescent="0.2">
      <c r="A2745" t="s">
        <v>42</v>
      </c>
      <c r="B2745" t="s">
        <v>17</v>
      </c>
      <c r="C2745">
        <v>8</v>
      </c>
      <c r="D2745" t="s">
        <v>128</v>
      </c>
      <c r="E2745" t="s">
        <v>146</v>
      </c>
      <c r="F2745">
        <v>2.7</v>
      </c>
      <c r="G2745">
        <v>2025</v>
      </c>
    </row>
    <row r="2746" spans="1:7" hidden="1" x14ac:dyDescent="0.2">
      <c r="A2746" t="s">
        <v>42</v>
      </c>
      <c r="B2746" t="s">
        <v>17</v>
      </c>
      <c r="C2746">
        <v>8</v>
      </c>
      <c r="D2746" t="s">
        <v>127</v>
      </c>
      <c r="E2746" t="s">
        <v>568</v>
      </c>
      <c r="F2746">
        <v>19.2</v>
      </c>
      <c r="G2746">
        <v>2025</v>
      </c>
    </row>
    <row r="2747" spans="1:7" hidden="1" x14ac:dyDescent="0.2">
      <c r="A2747" t="s">
        <v>42</v>
      </c>
      <c r="B2747" t="s">
        <v>17</v>
      </c>
      <c r="C2747">
        <v>8</v>
      </c>
      <c r="D2747" t="s">
        <v>127</v>
      </c>
      <c r="E2747" t="s">
        <v>180</v>
      </c>
      <c r="F2747">
        <v>12</v>
      </c>
      <c r="G2747">
        <v>2025</v>
      </c>
    </row>
    <row r="2748" spans="1:7" hidden="1" x14ac:dyDescent="0.2">
      <c r="A2748" t="s">
        <v>42</v>
      </c>
      <c r="B2748" t="s">
        <v>17</v>
      </c>
      <c r="C2748">
        <v>8</v>
      </c>
      <c r="D2748" t="s">
        <v>129</v>
      </c>
      <c r="E2748" t="s">
        <v>245</v>
      </c>
      <c r="F2748">
        <v>3.4</v>
      </c>
      <c r="G2748">
        <v>2025</v>
      </c>
    </row>
    <row r="2749" spans="1:7" hidden="1" x14ac:dyDescent="0.2">
      <c r="A2749" t="s">
        <v>42</v>
      </c>
      <c r="B2749" t="s">
        <v>17</v>
      </c>
      <c r="C2749">
        <v>8</v>
      </c>
      <c r="D2749" t="s">
        <v>131</v>
      </c>
      <c r="E2749" t="s">
        <v>195</v>
      </c>
      <c r="F2749">
        <v>14</v>
      </c>
      <c r="G2749">
        <v>2025</v>
      </c>
    </row>
    <row r="2750" spans="1:7" hidden="1" x14ac:dyDescent="0.2">
      <c r="A2750" t="s">
        <v>42</v>
      </c>
      <c r="B2750" t="s">
        <v>17</v>
      </c>
      <c r="C2750">
        <v>8</v>
      </c>
      <c r="D2750" t="s">
        <v>130</v>
      </c>
      <c r="E2750" t="s">
        <v>354</v>
      </c>
      <c r="F2750">
        <v>7</v>
      </c>
      <c r="G2750">
        <v>2025</v>
      </c>
    </row>
    <row r="2751" spans="1:7" hidden="1" x14ac:dyDescent="0.2">
      <c r="A2751" t="s">
        <v>42</v>
      </c>
      <c r="B2751" t="s">
        <v>17</v>
      </c>
      <c r="C2751">
        <v>8</v>
      </c>
      <c r="D2751" t="s">
        <v>293</v>
      </c>
      <c r="E2751" t="s">
        <v>197</v>
      </c>
      <c r="F2751">
        <v>5.5</v>
      </c>
      <c r="G2751">
        <v>2025</v>
      </c>
    </row>
    <row r="2752" spans="1:7" hidden="1" x14ac:dyDescent="0.2">
      <c r="A2752" t="s">
        <v>46</v>
      </c>
      <c r="B2752" t="s">
        <v>47</v>
      </c>
      <c r="C2752">
        <v>8</v>
      </c>
      <c r="D2752" t="s">
        <v>125</v>
      </c>
      <c r="E2752" t="s">
        <v>569</v>
      </c>
      <c r="F2752">
        <v>2.64</v>
      </c>
      <c r="G2752">
        <v>2025</v>
      </c>
    </row>
    <row r="2753" spans="1:7" hidden="1" x14ac:dyDescent="0.2">
      <c r="A2753" t="s">
        <v>46</v>
      </c>
      <c r="B2753" t="s">
        <v>47</v>
      </c>
      <c r="C2753">
        <v>8</v>
      </c>
      <c r="D2753" t="s">
        <v>128</v>
      </c>
      <c r="E2753" t="s">
        <v>178</v>
      </c>
      <c r="F2753">
        <v>18.399999999999999</v>
      </c>
      <c r="G2753">
        <v>2025</v>
      </c>
    </row>
    <row r="2754" spans="1:7" hidden="1" x14ac:dyDescent="0.2">
      <c r="A2754" t="s">
        <v>46</v>
      </c>
      <c r="B2754" t="s">
        <v>47</v>
      </c>
      <c r="C2754">
        <v>8</v>
      </c>
      <c r="D2754" t="s">
        <v>128</v>
      </c>
      <c r="E2754" t="s">
        <v>172</v>
      </c>
      <c r="F2754">
        <v>9.6</v>
      </c>
      <c r="G2754">
        <v>2025</v>
      </c>
    </row>
    <row r="2755" spans="1:7" hidden="1" x14ac:dyDescent="0.2">
      <c r="A2755" t="s">
        <v>46</v>
      </c>
      <c r="B2755" t="s">
        <v>47</v>
      </c>
      <c r="C2755">
        <v>8</v>
      </c>
      <c r="D2755" t="s">
        <v>128</v>
      </c>
      <c r="E2755" t="s">
        <v>549</v>
      </c>
      <c r="F2755">
        <v>11.4</v>
      </c>
      <c r="G2755">
        <v>2025</v>
      </c>
    </row>
    <row r="2756" spans="1:7" hidden="1" x14ac:dyDescent="0.2">
      <c r="A2756" t="s">
        <v>46</v>
      </c>
      <c r="B2756" t="s">
        <v>47</v>
      </c>
      <c r="C2756">
        <v>8</v>
      </c>
      <c r="D2756" t="s">
        <v>127</v>
      </c>
      <c r="E2756" t="s">
        <v>278</v>
      </c>
      <c r="F2756">
        <v>14.1</v>
      </c>
      <c r="G2756">
        <v>2025</v>
      </c>
    </row>
    <row r="2757" spans="1:7" hidden="1" x14ac:dyDescent="0.2">
      <c r="A2757" t="s">
        <v>46</v>
      </c>
      <c r="B2757" t="s">
        <v>47</v>
      </c>
      <c r="C2757">
        <v>8</v>
      </c>
      <c r="D2757" t="s">
        <v>127</v>
      </c>
      <c r="E2757" t="s">
        <v>372</v>
      </c>
      <c r="F2757">
        <v>8.3000000000000007</v>
      </c>
      <c r="G2757">
        <v>2025</v>
      </c>
    </row>
    <row r="2758" spans="1:7" hidden="1" x14ac:dyDescent="0.2">
      <c r="A2758" t="s">
        <v>46</v>
      </c>
      <c r="B2758" t="s">
        <v>47</v>
      </c>
      <c r="C2758">
        <v>8</v>
      </c>
      <c r="D2758" t="s">
        <v>129</v>
      </c>
      <c r="E2758" t="s">
        <v>561</v>
      </c>
      <c r="F2758">
        <v>11.9</v>
      </c>
      <c r="G2758">
        <v>2025</v>
      </c>
    </row>
    <row r="2759" spans="1:7" hidden="1" x14ac:dyDescent="0.2">
      <c r="A2759" t="s">
        <v>46</v>
      </c>
      <c r="B2759" t="s">
        <v>47</v>
      </c>
      <c r="C2759">
        <v>8</v>
      </c>
      <c r="D2759" t="s">
        <v>131</v>
      </c>
      <c r="E2759" t="s">
        <v>242</v>
      </c>
      <c r="F2759">
        <v>20</v>
      </c>
      <c r="G2759">
        <v>2025</v>
      </c>
    </row>
    <row r="2760" spans="1:7" hidden="1" x14ac:dyDescent="0.2">
      <c r="A2760" t="s">
        <v>46</v>
      </c>
      <c r="B2760" t="s">
        <v>47</v>
      </c>
      <c r="C2760">
        <v>8</v>
      </c>
      <c r="D2760" t="s">
        <v>130</v>
      </c>
      <c r="E2760" t="s">
        <v>193</v>
      </c>
      <c r="F2760">
        <v>6</v>
      </c>
      <c r="G2760">
        <v>2025</v>
      </c>
    </row>
    <row r="2761" spans="1:7" hidden="1" x14ac:dyDescent="0.2">
      <c r="A2761" t="s">
        <v>46</v>
      </c>
      <c r="B2761" t="s">
        <v>47</v>
      </c>
      <c r="C2761">
        <v>8</v>
      </c>
      <c r="D2761" t="s">
        <v>294</v>
      </c>
      <c r="E2761" t="s">
        <v>347</v>
      </c>
      <c r="F2761">
        <v>7.9</v>
      </c>
      <c r="G2761">
        <v>2025</v>
      </c>
    </row>
    <row r="2762" spans="1:7" hidden="1" x14ac:dyDescent="0.2">
      <c r="A2762" t="s">
        <v>524</v>
      </c>
      <c r="B2762" t="s">
        <v>21</v>
      </c>
      <c r="C2762">
        <v>8</v>
      </c>
      <c r="D2762" t="s">
        <v>125</v>
      </c>
      <c r="E2762" t="s">
        <v>212</v>
      </c>
      <c r="F2762">
        <v>23.22</v>
      </c>
      <c r="G2762">
        <v>2025</v>
      </c>
    </row>
    <row r="2763" spans="1:7" hidden="1" x14ac:dyDescent="0.2">
      <c r="A2763" t="s">
        <v>524</v>
      </c>
      <c r="B2763" t="s">
        <v>21</v>
      </c>
      <c r="C2763">
        <v>8</v>
      </c>
      <c r="D2763" t="s">
        <v>128</v>
      </c>
      <c r="E2763" t="s">
        <v>177</v>
      </c>
      <c r="F2763">
        <v>11.1</v>
      </c>
      <c r="G2763">
        <v>2025</v>
      </c>
    </row>
    <row r="2764" spans="1:7" hidden="1" x14ac:dyDescent="0.2">
      <c r="A2764" t="s">
        <v>524</v>
      </c>
      <c r="B2764" t="s">
        <v>21</v>
      </c>
      <c r="C2764">
        <v>8</v>
      </c>
      <c r="D2764" t="s">
        <v>128</v>
      </c>
      <c r="E2764" t="s">
        <v>304</v>
      </c>
      <c r="F2764">
        <v>6.4</v>
      </c>
      <c r="G2764">
        <v>2025</v>
      </c>
    </row>
    <row r="2765" spans="1:7" hidden="1" x14ac:dyDescent="0.2">
      <c r="A2765" t="s">
        <v>524</v>
      </c>
      <c r="B2765" t="s">
        <v>21</v>
      </c>
      <c r="C2765">
        <v>8</v>
      </c>
      <c r="D2765" t="s">
        <v>128</v>
      </c>
      <c r="E2765" t="s">
        <v>552</v>
      </c>
      <c r="F2765">
        <v>23.9</v>
      </c>
      <c r="G2765">
        <v>2025</v>
      </c>
    </row>
    <row r="2766" spans="1:7" hidden="1" x14ac:dyDescent="0.2">
      <c r="A2766" t="s">
        <v>524</v>
      </c>
      <c r="B2766" t="s">
        <v>21</v>
      </c>
      <c r="C2766">
        <v>8</v>
      </c>
      <c r="D2766" t="s">
        <v>127</v>
      </c>
      <c r="E2766" t="s">
        <v>216</v>
      </c>
      <c r="F2766">
        <v>31.4</v>
      </c>
      <c r="G2766">
        <v>2025</v>
      </c>
    </row>
    <row r="2767" spans="1:7" hidden="1" x14ac:dyDescent="0.2">
      <c r="A2767" t="s">
        <v>524</v>
      </c>
      <c r="B2767" t="s">
        <v>21</v>
      </c>
      <c r="C2767">
        <v>8</v>
      </c>
      <c r="D2767" t="s">
        <v>127</v>
      </c>
      <c r="E2767" t="s">
        <v>164</v>
      </c>
      <c r="F2767">
        <v>5.8</v>
      </c>
      <c r="G2767">
        <v>2025</v>
      </c>
    </row>
    <row r="2768" spans="1:7" hidden="1" x14ac:dyDescent="0.2">
      <c r="A2768" t="s">
        <v>524</v>
      </c>
      <c r="B2768" t="s">
        <v>21</v>
      </c>
      <c r="C2768">
        <v>8</v>
      </c>
      <c r="D2768" t="s">
        <v>129</v>
      </c>
      <c r="E2768" t="s">
        <v>249</v>
      </c>
      <c r="F2768">
        <v>18.899999999999999</v>
      </c>
      <c r="G2768">
        <v>2025</v>
      </c>
    </row>
    <row r="2769" spans="1:7" hidden="1" x14ac:dyDescent="0.2">
      <c r="A2769" t="s">
        <v>524</v>
      </c>
      <c r="B2769" t="s">
        <v>21</v>
      </c>
      <c r="C2769">
        <v>8</v>
      </c>
      <c r="D2769" t="s">
        <v>131</v>
      </c>
      <c r="E2769" t="s">
        <v>237</v>
      </c>
      <c r="F2769">
        <v>7</v>
      </c>
      <c r="G2769">
        <v>2025</v>
      </c>
    </row>
    <row r="2770" spans="1:7" hidden="1" x14ac:dyDescent="0.2">
      <c r="A2770" t="s">
        <v>524</v>
      </c>
      <c r="B2770" t="s">
        <v>21</v>
      </c>
      <c r="C2770">
        <v>8</v>
      </c>
      <c r="D2770" t="s">
        <v>130</v>
      </c>
      <c r="E2770" t="s">
        <v>326</v>
      </c>
      <c r="F2770">
        <v>6</v>
      </c>
      <c r="G2770">
        <v>2025</v>
      </c>
    </row>
    <row r="2771" spans="1:7" hidden="1" x14ac:dyDescent="0.2">
      <c r="A2771" t="s">
        <v>524</v>
      </c>
      <c r="B2771" t="s">
        <v>21</v>
      </c>
      <c r="C2771">
        <v>8</v>
      </c>
      <c r="D2771" t="s">
        <v>294</v>
      </c>
      <c r="E2771" t="s">
        <v>546</v>
      </c>
      <c r="F2771">
        <v>1.9</v>
      </c>
      <c r="G2771">
        <v>2025</v>
      </c>
    </row>
    <row r="2772" spans="1:7" hidden="1" x14ac:dyDescent="0.2">
      <c r="A2772" t="s">
        <v>521</v>
      </c>
      <c r="B2772" t="s">
        <v>29</v>
      </c>
      <c r="C2772">
        <v>8</v>
      </c>
      <c r="D2772" t="s">
        <v>125</v>
      </c>
      <c r="E2772" t="s">
        <v>150</v>
      </c>
      <c r="F2772">
        <v>22.96</v>
      </c>
      <c r="G2772">
        <v>2025</v>
      </c>
    </row>
    <row r="2773" spans="1:7" hidden="1" x14ac:dyDescent="0.2">
      <c r="A2773" t="s">
        <v>521</v>
      </c>
      <c r="B2773" t="s">
        <v>29</v>
      </c>
      <c r="C2773">
        <v>8</v>
      </c>
      <c r="D2773" t="s">
        <v>128</v>
      </c>
      <c r="E2773" t="s">
        <v>171</v>
      </c>
      <c r="F2773">
        <v>10.9</v>
      </c>
      <c r="G2773">
        <v>2025</v>
      </c>
    </row>
    <row r="2774" spans="1:7" hidden="1" x14ac:dyDescent="0.2">
      <c r="A2774" t="s">
        <v>521</v>
      </c>
      <c r="B2774" t="s">
        <v>29</v>
      </c>
      <c r="C2774">
        <v>8</v>
      </c>
      <c r="D2774" t="s">
        <v>128</v>
      </c>
      <c r="E2774" t="s">
        <v>280</v>
      </c>
      <c r="F2774">
        <v>14.9</v>
      </c>
      <c r="G2774">
        <v>2025</v>
      </c>
    </row>
    <row r="2775" spans="1:7" hidden="1" x14ac:dyDescent="0.2">
      <c r="A2775" t="s">
        <v>521</v>
      </c>
      <c r="B2775" t="s">
        <v>29</v>
      </c>
      <c r="C2775">
        <v>8</v>
      </c>
      <c r="D2775" t="s">
        <v>128</v>
      </c>
      <c r="E2775" t="s">
        <v>199</v>
      </c>
      <c r="F2775">
        <v>8.9</v>
      </c>
      <c r="G2775">
        <v>2025</v>
      </c>
    </row>
    <row r="2776" spans="1:7" hidden="1" x14ac:dyDescent="0.2">
      <c r="A2776" t="s">
        <v>521</v>
      </c>
      <c r="B2776" t="s">
        <v>29</v>
      </c>
      <c r="C2776">
        <v>8</v>
      </c>
      <c r="D2776" t="s">
        <v>127</v>
      </c>
      <c r="E2776" t="s">
        <v>198</v>
      </c>
      <c r="F2776">
        <v>36.4</v>
      </c>
      <c r="G2776">
        <v>2025</v>
      </c>
    </row>
    <row r="2777" spans="1:7" hidden="1" x14ac:dyDescent="0.2">
      <c r="A2777" t="s">
        <v>521</v>
      </c>
      <c r="B2777" t="s">
        <v>29</v>
      </c>
      <c r="C2777">
        <v>8</v>
      </c>
      <c r="D2777" t="s">
        <v>127</v>
      </c>
      <c r="E2777" t="s">
        <v>560</v>
      </c>
      <c r="F2777">
        <v>2.5</v>
      </c>
      <c r="G2777">
        <v>2025</v>
      </c>
    </row>
    <row r="2778" spans="1:7" hidden="1" x14ac:dyDescent="0.2">
      <c r="A2778" t="s">
        <v>521</v>
      </c>
      <c r="B2778" t="s">
        <v>29</v>
      </c>
      <c r="C2778">
        <v>8</v>
      </c>
      <c r="D2778" t="s">
        <v>129</v>
      </c>
      <c r="E2778" t="s">
        <v>196</v>
      </c>
      <c r="F2778">
        <v>4.9000000000000004</v>
      </c>
      <c r="G2778">
        <v>2025</v>
      </c>
    </row>
    <row r="2779" spans="1:7" hidden="1" x14ac:dyDescent="0.2">
      <c r="A2779" t="s">
        <v>521</v>
      </c>
      <c r="B2779" t="s">
        <v>29</v>
      </c>
      <c r="C2779">
        <v>8</v>
      </c>
      <c r="D2779" t="s">
        <v>131</v>
      </c>
      <c r="E2779" t="s">
        <v>523</v>
      </c>
      <c r="F2779">
        <v>12</v>
      </c>
      <c r="G2779">
        <v>2025</v>
      </c>
    </row>
    <row r="2780" spans="1:7" hidden="1" x14ac:dyDescent="0.2">
      <c r="A2780" t="s">
        <v>521</v>
      </c>
      <c r="B2780" t="s">
        <v>29</v>
      </c>
      <c r="C2780">
        <v>8</v>
      </c>
      <c r="D2780" t="s">
        <v>130</v>
      </c>
      <c r="E2780" t="s">
        <v>251</v>
      </c>
      <c r="F2780">
        <v>5</v>
      </c>
      <c r="G2780">
        <v>2025</v>
      </c>
    </row>
    <row r="2781" spans="1:7" hidden="1" x14ac:dyDescent="0.2">
      <c r="A2781" t="s">
        <v>521</v>
      </c>
      <c r="B2781" t="s">
        <v>29</v>
      </c>
      <c r="C2781">
        <v>8</v>
      </c>
      <c r="D2781" t="s">
        <v>293</v>
      </c>
      <c r="E2781" t="s">
        <v>244</v>
      </c>
      <c r="F2781">
        <v>1.1000000000000001</v>
      </c>
      <c r="G2781">
        <v>2025</v>
      </c>
    </row>
    <row r="2782" spans="1:7" hidden="1" x14ac:dyDescent="0.2">
      <c r="A2782" t="s">
        <v>525</v>
      </c>
      <c r="B2782" t="s">
        <v>36</v>
      </c>
      <c r="C2782">
        <v>8</v>
      </c>
      <c r="D2782" t="s">
        <v>125</v>
      </c>
      <c r="E2782" t="s">
        <v>386</v>
      </c>
      <c r="F2782">
        <v>25.28</v>
      </c>
      <c r="G2782">
        <v>2025</v>
      </c>
    </row>
    <row r="2783" spans="1:7" hidden="1" x14ac:dyDescent="0.2">
      <c r="A2783" t="s">
        <v>525</v>
      </c>
      <c r="B2783" t="s">
        <v>36</v>
      </c>
      <c r="C2783">
        <v>8</v>
      </c>
      <c r="D2783" t="s">
        <v>128</v>
      </c>
      <c r="E2783" t="s">
        <v>161</v>
      </c>
      <c r="F2783">
        <v>10</v>
      </c>
      <c r="G2783">
        <v>2025</v>
      </c>
    </row>
    <row r="2784" spans="1:7" hidden="1" x14ac:dyDescent="0.2">
      <c r="A2784" t="s">
        <v>525</v>
      </c>
      <c r="B2784" t="s">
        <v>36</v>
      </c>
      <c r="C2784">
        <v>8</v>
      </c>
      <c r="D2784" t="s">
        <v>128</v>
      </c>
      <c r="E2784" t="s">
        <v>527</v>
      </c>
      <c r="F2784">
        <v>5</v>
      </c>
      <c r="G2784">
        <v>2025</v>
      </c>
    </row>
    <row r="2785" spans="1:7" hidden="1" x14ac:dyDescent="0.2">
      <c r="A2785" t="s">
        <v>525</v>
      </c>
      <c r="B2785" t="s">
        <v>36</v>
      </c>
      <c r="C2785">
        <v>8</v>
      </c>
      <c r="D2785" t="s">
        <v>128</v>
      </c>
      <c r="E2785" t="s">
        <v>298</v>
      </c>
      <c r="F2785">
        <v>0</v>
      </c>
      <c r="G2785">
        <v>2025</v>
      </c>
    </row>
    <row r="2786" spans="1:7" hidden="1" x14ac:dyDescent="0.2">
      <c r="A2786" t="s">
        <v>525</v>
      </c>
      <c r="B2786" t="s">
        <v>36</v>
      </c>
      <c r="C2786">
        <v>8</v>
      </c>
      <c r="D2786" t="s">
        <v>127</v>
      </c>
      <c r="E2786" t="s">
        <v>217</v>
      </c>
      <c r="F2786">
        <v>7.1</v>
      </c>
      <c r="G2786">
        <v>2025</v>
      </c>
    </row>
    <row r="2787" spans="1:7" hidden="1" x14ac:dyDescent="0.2">
      <c r="A2787" t="s">
        <v>525</v>
      </c>
      <c r="B2787" t="s">
        <v>36</v>
      </c>
      <c r="C2787">
        <v>8</v>
      </c>
      <c r="D2787" t="s">
        <v>127</v>
      </c>
      <c r="E2787" t="s">
        <v>361</v>
      </c>
      <c r="F2787">
        <v>7.9</v>
      </c>
      <c r="G2787">
        <v>2025</v>
      </c>
    </row>
    <row r="2788" spans="1:7" hidden="1" x14ac:dyDescent="0.2">
      <c r="A2788" t="s">
        <v>525</v>
      </c>
      <c r="B2788" t="s">
        <v>36</v>
      </c>
      <c r="C2788">
        <v>8</v>
      </c>
      <c r="D2788" t="s">
        <v>129</v>
      </c>
      <c r="E2788" t="s">
        <v>191</v>
      </c>
      <c r="F2788">
        <v>10.4</v>
      </c>
      <c r="G2788">
        <v>2025</v>
      </c>
    </row>
    <row r="2789" spans="1:7" hidden="1" x14ac:dyDescent="0.2">
      <c r="A2789" t="s">
        <v>525</v>
      </c>
      <c r="B2789" t="s">
        <v>36</v>
      </c>
      <c r="C2789">
        <v>8</v>
      </c>
      <c r="D2789" t="s">
        <v>131</v>
      </c>
      <c r="E2789" t="s">
        <v>183</v>
      </c>
      <c r="F2789">
        <v>9</v>
      </c>
      <c r="G2789">
        <v>2025</v>
      </c>
    </row>
    <row r="2790" spans="1:7" hidden="1" x14ac:dyDescent="0.2">
      <c r="A2790" t="s">
        <v>525</v>
      </c>
      <c r="B2790" t="s">
        <v>36</v>
      </c>
      <c r="C2790">
        <v>8</v>
      </c>
      <c r="D2790" t="s">
        <v>130</v>
      </c>
      <c r="E2790" t="s">
        <v>273</v>
      </c>
      <c r="F2790">
        <v>27</v>
      </c>
      <c r="G2790">
        <v>2025</v>
      </c>
    </row>
    <row r="2791" spans="1:7" hidden="1" x14ac:dyDescent="0.2">
      <c r="A2791" t="s">
        <v>525</v>
      </c>
      <c r="B2791" t="s">
        <v>36</v>
      </c>
      <c r="C2791">
        <v>8</v>
      </c>
      <c r="D2791" t="s">
        <v>297</v>
      </c>
      <c r="E2791" t="s">
        <v>536</v>
      </c>
      <c r="F2791">
        <v>7.8</v>
      </c>
      <c r="G2791">
        <v>2025</v>
      </c>
    </row>
    <row r="2792" spans="1:7" hidden="1" x14ac:dyDescent="0.2">
      <c r="A2792" t="s">
        <v>18</v>
      </c>
      <c r="B2792" t="s">
        <v>20</v>
      </c>
      <c r="C2792">
        <v>8</v>
      </c>
      <c r="D2792" t="s">
        <v>125</v>
      </c>
      <c r="E2792" t="s">
        <v>316</v>
      </c>
      <c r="F2792">
        <v>24.32</v>
      </c>
      <c r="G2792">
        <v>2025</v>
      </c>
    </row>
    <row r="2793" spans="1:7" hidden="1" x14ac:dyDescent="0.2">
      <c r="A2793" t="s">
        <v>18</v>
      </c>
      <c r="B2793" t="s">
        <v>20</v>
      </c>
      <c r="C2793">
        <v>8</v>
      </c>
      <c r="D2793" t="s">
        <v>128</v>
      </c>
      <c r="E2793" t="s">
        <v>276</v>
      </c>
      <c r="F2793">
        <v>10.9</v>
      </c>
      <c r="G2793">
        <v>2025</v>
      </c>
    </row>
    <row r="2794" spans="1:7" hidden="1" x14ac:dyDescent="0.2">
      <c r="A2794" t="s">
        <v>18</v>
      </c>
      <c r="B2794" t="s">
        <v>20</v>
      </c>
      <c r="C2794">
        <v>8</v>
      </c>
      <c r="D2794" t="s">
        <v>128</v>
      </c>
      <c r="E2794" t="s">
        <v>305</v>
      </c>
      <c r="F2794">
        <v>10.1</v>
      </c>
      <c r="G2794">
        <v>2025</v>
      </c>
    </row>
    <row r="2795" spans="1:7" hidden="1" x14ac:dyDescent="0.2">
      <c r="A2795" t="s">
        <v>18</v>
      </c>
      <c r="B2795" t="s">
        <v>20</v>
      </c>
      <c r="C2795">
        <v>8</v>
      </c>
      <c r="D2795" t="s">
        <v>128</v>
      </c>
      <c r="E2795" t="s">
        <v>134</v>
      </c>
      <c r="F2795">
        <v>10.6</v>
      </c>
      <c r="G2795">
        <v>2025</v>
      </c>
    </row>
    <row r="2796" spans="1:7" hidden="1" x14ac:dyDescent="0.2">
      <c r="A2796" t="s">
        <v>18</v>
      </c>
      <c r="B2796" t="s">
        <v>20</v>
      </c>
      <c r="C2796">
        <v>8</v>
      </c>
      <c r="D2796" t="s">
        <v>127</v>
      </c>
      <c r="E2796" t="s">
        <v>208</v>
      </c>
      <c r="F2796">
        <v>33.6</v>
      </c>
      <c r="G2796">
        <v>2025</v>
      </c>
    </row>
    <row r="2797" spans="1:7" hidden="1" x14ac:dyDescent="0.2">
      <c r="A2797" t="s">
        <v>18</v>
      </c>
      <c r="B2797" t="s">
        <v>20</v>
      </c>
      <c r="C2797">
        <v>8</v>
      </c>
      <c r="D2797" t="s">
        <v>127</v>
      </c>
      <c r="E2797" t="s">
        <v>154</v>
      </c>
      <c r="F2797">
        <v>19.100000000000001</v>
      </c>
      <c r="G2797">
        <v>2025</v>
      </c>
    </row>
    <row r="2798" spans="1:7" hidden="1" x14ac:dyDescent="0.2">
      <c r="A2798" t="s">
        <v>18</v>
      </c>
      <c r="B2798" t="s">
        <v>20</v>
      </c>
      <c r="C2798">
        <v>8</v>
      </c>
      <c r="D2798" t="s">
        <v>129</v>
      </c>
      <c r="E2798" t="s">
        <v>327</v>
      </c>
      <c r="F2798">
        <v>29.8</v>
      </c>
      <c r="G2798">
        <v>2025</v>
      </c>
    </row>
    <row r="2799" spans="1:7" hidden="1" x14ac:dyDescent="0.2">
      <c r="A2799" t="s">
        <v>18</v>
      </c>
      <c r="B2799" t="s">
        <v>20</v>
      </c>
      <c r="C2799">
        <v>8</v>
      </c>
      <c r="D2799" t="s">
        <v>131</v>
      </c>
      <c r="E2799" t="s">
        <v>350</v>
      </c>
      <c r="F2799">
        <v>14</v>
      </c>
      <c r="G2799">
        <v>2025</v>
      </c>
    </row>
    <row r="2800" spans="1:7" hidden="1" x14ac:dyDescent="0.2">
      <c r="A2800" t="s">
        <v>18</v>
      </c>
      <c r="B2800" t="s">
        <v>20</v>
      </c>
      <c r="C2800">
        <v>8</v>
      </c>
      <c r="D2800" t="s">
        <v>130</v>
      </c>
      <c r="E2800" t="s">
        <v>307</v>
      </c>
      <c r="F2800">
        <v>12</v>
      </c>
      <c r="G2800">
        <v>2025</v>
      </c>
    </row>
    <row r="2801" spans="1:7" hidden="1" x14ac:dyDescent="0.2">
      <c r="A2801" t="s">
        <v>18</v>
      </c>
      <c r="B2801" t="s">
        <v>20</v>
      </c>
      <c r="C2801">
        <v>8</v>
      </c>
      <c r="D2801" t="s">
        <v>293</v>
      </c>
      <c r="E2801" t="s">
        <v>547</v>
      </c>
      <c r="F2801">
        <v>9.5</v>
      </c>
      <c r="G2801">
        <v>2025</v>
      </c>
    </row>
    <row r="2802" spans="1:7" hidden="1" x14ac:dyDescent="0.2">
      <c r="A2802" t="s">
        <v>77</v>
      </c>
      <c r="B2802" t="s">
        <v>45</v>
      </c>
      <c r="C2802">
        <v>8</v>
      </c>
      <c r="D2802" t="s">
        <v>125</v>
      </c>
      <c r="E2802" t="s">
        <v>241</v>
      </c>
      <c r="F2802">
        <v>4.08</v>
      </c>
      <c r="G2802">
        <v>2025</v>
      </c>
    </row>
    <row r="2803" spans="1:7" hidden="1" x14ac:dyDescent="0.2">
      <c r="A2803" t="s">
        <v>77</v>
      </c>
      <c r="B2803" t="s">
        <v>45</v>
      </c>
      <c r="C2803">
        <v>8</v>
      </c>
      <c r="D2803" t="s">
        <v>128</v>
      </c>
      <c r="E2803" t="s">
        <v>231</v>
      </c>
      <c r="F2803">
        <v>15.1</v>
      </c>
      <c r="G2803">
        <v>2025</v>
      </c>
    </row>
    <row r="2804" spans="1:7" hidden="1" x14ac:dyDescent="0.2">
      <c r="A2804" t="s">
        <v>77</v>
      </c>
      <c r="B2804" t="s">
        <v>45</v>
      </c>
      <c r="C2804">
        <v>8</v>
      </c>
      <c r="D2804" t="s">
        <v>128</v>
      </c>
      <c r="E2804" t="s">
        <v>220</v>
      </c>
      <c r="F2804">
        <v>7.9</v>
      </c>
      <c r="G2804">
        <v>2025</v>
      </c>
    </row>
    <row r="2805" spans="1:7" hidden="1" x14ac:dyDescent="0.2">
      <c r="A2805" t="s">
        <v>77</v>
      </c>
      <c r="B2805" t="s">
        <v>45</v>
      </c>
      <c r="C2805">
        <v>8</v>
      </c>
      <c r="D2805" t="s">
        <v>128</v>
      </c>
      <c r="E2805" t="s">
        <v>554</v>
      </c>
      <c r="F2805">
        <v>3.6</v>
      </c>
      <c r="G2805">
        <v>2025</v>
      </c>
    </row>
    <row r="2806" spans="1:7" hidden="1" x14ac:dyDescent="0.2">
      <c r="A2806" t="s">
        <v>77</v>
      </c>
      <c r="B2806" t="s">
        <v>45</v>
      </c>
      <c r="C2806">
        <v>8</v>
      </c>
      <c r="D2806" t="s">
        <v>127</v>
      </c>
      <c r="E2806" t="s">
        <v>136</v>
      </c>
      <c r="F2806">
        <v>17.399999999999999</v>
      </c>
      <c r="G2806">
        <v>2025</v>
      </c>
    </row>
    <row r="2807" spans="1:7" hidden="1" x14ac:dyDescent="0.2">
      <c r="A2807" t="s">
        <v>77</v>
      </c>
      <c r="B2807" t="s">
        <v>45</v>
      </c>
      <c r="C2807">
        <v>8</v>
      </c>
      <c r="D2807" t="s">
        <v>127</v>
      </c>
      <c r="E2807" t="s">
        <v>313</v>
      </c>
      <c r="F2807">
        <v>16.7</v>
      </c>
      <c r="G2807">
        <v>2025</v>
      </c>
    </row>
    <row r="2808" spans="1:7" hidden="1" x14ac:dyDescent="0.2">
      <c r="A2808" t="s">
        <v>77</v>
      </c>
      <c r="B2808" t="s">
        <v>45</v>
      </c>
      <c r="C2808">
        <v>8</v>
      </c>
      <c r="D2808" t="s">
        <v>129</v>
      </c>
      <c r="E2808" t="s">
        <v>165</v>
      </c>
      <c r="F2808">
        <v>7.2</v>
      </c>
      <c r="G2808">
        <v>2025</v>
      </c>
    </row>
    <row r="2809" spans="1:7" hidden="1" x14ac:dyDescent="0.2">
      <c r="A2809" t="s">
        <v>77</v>
      </c>
      <c r="B2809" t="s">
        <v>45</v>
      </c>
      <c r="C2809">
        <v>8</v>
      </c>
      <c r="D2809" t="s">
        <v>131</v>
      </c>
      <c r="E2809" t="s">
        <v>214</v>
      </c>
      <c r="F2809">
        <v>4</v>
      </c>
      <c r="G2809">
        <v>2025</v>
      </c>
    </row>
    <row r="2810" spans="1:7" hidden="1" x14ac:dyDescent="0.2">
      <c r="A2810" t="s">
        <v>77</v>
      </c>
      <c r="B2810" t="s">
        <v>45</v>
      </c>
      <c r="C2810">
        <v>8</v>
      </c>
      <c r="D2810" t="s">
        <v>130</v>
      </c>
      <c r="E2810" t="s">
        <v>138</v>
      </c>
      <c r="F2810">
        <v>-10</v>
      </c>
      <c r="G2810">
        <v>2025</v>
      </c>
    </row>
    <row r="2811" spans="1:7" hidden="1" x14ac:dyDescent="0.2">
      <c r="A2811" t="s">
        <v>77</v>
      </c>
      <c r="B2811" t="s">
        <v>45</v>
      </c>
      <c r="C2811">
        <v>8</v>
      </c>
      <c r="D2811" t="s">
        <v>297</v>
      </c>
      <c r="E2811" t="s">
        <v>317</v>
      </c>
      <c r="F2811">
        <v>3.6</v>
      </c>
      <c r="G2811">
        <v>2025</v>
      </c>
    </row>
    <row r="2812" spans="1:7" hidden="1" x14ac:dyDescent="0.2">
      <c r="A2812" t="s">
        <v>26</v>
      </c>
      <c r="B2812" t="s">
        <v>28</v>
      </c>
      <c r="C2812">
        <v>8</v>
      </c>
      <c r="D2812" t="s">
        <v>125</v>
      </c>
      <c r="E2812" t="s">
        <v>541</v>
      </c>
      <c r="F2812">
        <v>16.760000000000002</v>
      </c>
      <c r="G2812">
        <v>2025</v>
      </c>
    </row>
    <row r="2813" spans="1:7" hidden="1" x14ac:dyDescent="0.2">
      <c r="A2813" t="s">
        <v>26</v>
      </c>
      <c r="B2813" t="s">
        <v>28</v>
      </c>
      <c r="C2813">
        <v>8</v>
      </c>
      <c r="D2813" t="s">
        <v>128</v>
      </c>
      <c r="E2813" t="s">
        <v>288</v>
      </c>
      <c r="F2813">
        <v>8.6999999999999993</v>
      </c>
      <c r="G2813">
        <v>2025</v>
      </c>
    </row>
    <row r="2814" spans="1:7" hidden="1" x14ac:dyDescent="0.2">
      <c r="A2814" t="s">
        <v>26</v>
      </c>
      <c r="B2814" t="s">
        <v>28</v>
      </c>
      <c r="C2814">
        <v>8</v>
      </c>
      <c r="D2814" t="s">
        <v>128</v>
      </c>
      <c r="E2814" t="s">
        <v>257</v>
      </c>
      <c r="F2814">
        <v>7.8</v>
      </c>
      <c r="G2814">
        <v>2025</v>
      </c>
    </row>
    <row r="2815" spans="1:7" hidden="1" x14ac:dyDescent="0.2">
      <c r="A2815" t="s">
        <v>26</v>
      </c>
      <c r="B2815" t="s">
        <v>28</v>
      </c>
      <c r="C2815">
        <v>8</v>
      </c>
      <c r="D2815" t="s">
        <v>128</v>
      </c>
      <c r="E2815" t="s">
        <v>153</v>
      </c>
      <c r="F2815">
        <v>17.8</v>
      </c>
      <c r="G2815">
        <v>2025</v>
      </c>
    </row>
    <row r="2816" spans="1:7" hidden="1" x14ac:dyDescent="0.2">
      <c r="A2816" t="s">
        <v>26</v>
      </c>
      <c r="B2816" t="s">
        <v>28</v>
      </c>
      <c r="C2816">
        <v>8</v>
      </c>
      <c r="D2816" t="s">
        <v>127</v>
      </c>
      <c r="E2816" t="s">
        <v>545</v>
      </c>
      <c r="F2816">
        <v>3.2</v>
      </c>
      <c r="G2816">
        <v>2025</v>
      </c>
    </row>
    <row r="2817" spans="1:7" hidden="1" x14ac:dyDescent="0.2">
      <c r="A2817" t="s">
        <v>26</v>
      </c>
      <c r="B2817" t="s">
        <v>28</v>
      </c>
      <c r="C2817">
        <v>8</v>
      </c>
      <c r="D2817" t="s">
        <v>127</v>
      </c>
      <c r="E2817" t="s">
        <v>570</v>
      </c>
      <c r="F2817">
        <v>2.4</v>
      </c>
      <c r="G2817">
        <v>2025</v>
      </c>
    </row>
    <row r="2818" spans="1:7" hidden="1" x14ac:dyDescent="0.2">
      <c r="A2818" t="s">
        <v>26</v>
      </c>
      <c r="B2818" t="s">
        <v>28</v>
      </c>
      <c r="C2818">
        <v>8</v>
      </c>
      <c r="D2818" t="s">
        <v>129</v>
      </c>
      <c r="E2818" t="s">
        <v>376</v>
      </c>
      <c r="F2818">
        <v>3.6</v>
      </c>
      <c r="G2818">
        <v>2025</v>
      </c>
    </row>
    <row r="2819" spans="1:7" hidden="1" x14ac:dyDescent="0.2">
      <c r="A2819" t="s">
        <v>26</v>
      </c>
      <c r="B2819" t="s">
        <v>28</v>
      </c>
      <c r="C2819">
        <v>8</v>
      </c>
      <c r="D2819" t="s">
        <v>131</v>
      </c>
      <c r="E2819" t="s">
        <v>520</v>
      </c>
      <c r="F2819">
        <v>9</v>
      </c>
      <c r="G2819">
        <v>2025</v>
      </c>
    </row>
    <row r="2820" spans="1:7" x14ac:dyDescent="0.2">
      <c r="A2820" t="s">
        <v>26</v>
      </c>
      <c r="B2820" t="s">
        <v>28</v>
      </c>
      <c r="C2820">
        <v>8</v>
      </c>
      <c r="D2820" t="s">
        <v>130</v>
      </c>
      <c r="E2820" t="s">
        <v>287</v>
      </c>
      <c r="F2820">
        <v>11</v>
      </c>
      <c r="G2820">
        <v>2025</v>
      </c>
    </row>
    <row r="2821" spans="1:7" hidden="1" x14ac:dyDescent="0.2">
      <c r="A2821" t="s">
        <v>26</v>
      </c>
      <c r="B2821" t="s">
        <v>28</v>
      </c>
      <c r="C2821">
        <v>8</v>
      </c>
      <c r="D2821" t="s">
        <v>294</v>
      </c>
      <c r="E2821" t="s">
        <v>564</v>
      </c>
      <c r="F2821">
        <v>6.8</v>
      </c>
      <c r="G2821">
        <v>2025</v>
      </c>
    </row>
    <row r="2822" spans="1:7" hidden="1" x14ac:dyDescent="0.2">
      <c r="A2822" t="s">
        <v>31</v>
      </c>
      <c r="B2822" t="s">
        <v>33</v>
      </c>
      <c r="C2822">
        <v>8</v>
      </c>
      <c r="D2822" t="s">
        <v>125</v>
      </c>
      <c r="E2822" t="s">
        <v>334</v>
      </c>
      <c r="F2822">
        <v>23.18</v>
      </c>
      <c r="G2822">
        <v>2025</v>
      </c>
    </row>
    <row r="2823" spans="1:7" hidden="1" x14ac:dyDescent="0.2">
      <c r="A2823" t="s">
        <v>31</v>
      </c>
      <c r="B2823" t="s">
        <v>33</v>
      </c>
      <c r="C2823">
        <v>8</v>
      </c>
      <c r="D2823" t="s">
        <v>128</v>
      </c>
      <c r="E2823" t="s">
        <v>219</v>
      </c>
      <c r="F2823">
        <v>14</v>
      </c>
      <c r="G2823">
        <v>2025</v>
      </c>
    </row>
    <row r="2824" spans="1:7" hidden="1" x14ac:dyDescent="0.2">
      <c r="A2824" t="s">
        <v>31</v>
      </c>
      <c r="B2824" t="s">
        <v>33</v>
      </c>
      <c r="C2824">
        <v>8</v>
      </c>
      <c r="D2824" t="s">
        <v>128</v>
      </c>
      <c r="E2824" t="s">
        <v>292</v>
      </c>
      <c r="F2824">
        <v>6.5</v>
      </c>
      <c r="G2824">
        <v>2025</v>
      </c>
    </row>
    <row r="2825" spans="1:7" hidden="1" x14ac:dyDescent="0.2">
      <c r="A2825" t="s">
        <v>31</v>
      </c>
      <c r="B2825" t="s">
        <v>33</v>
      </c>
      <c r="C2825">
        <v>8</v>
      </c>
      <c r="D2825" t="s">
        <v>128</v>
      </c>
      <c r="E2825" t="s">
        <v>537</v>
      </c>
      <c r="F2825">
        <v>0</v>
      </c>
      <c r="G2825">
        <v>2025</v>
      </c>
    </row>
    <row r="2826" spans="1:7" hidden="1" x14ac:dyDescent="0.2">
      <c r="A2826" t="s">
        <v>31</v>
      </c>
      <c r="B2826" t="s">
        <v>33</v>
      </c>
      <c r="C2826">
        <v>8</v>
      </c>
      <c r="D2826" t="s">
        <v>127</v>
      </c>
      <c r="E2826" t="s">
        <v>259</v>
      </c>
      <c r="F2826">
        <v>13.1</v>
      </c>
      <c r="G2826">
        <v>2025</v>
      </c>
    </row>
    <row r="2827" spans="1:7" hidden="1" x14ac:dyDescent="0.2">
      <c r="A2827" t="s">
        <v>31</v>
      </c>
      <c r="B2827" t="s">
        <v>33</v>
      </c>
      <c r="C2827">
        <v>8</v>
      </c>
      <c r="D2827" t="s">
        <v>127</v>
      </c>
      <c r="E2827" t="s">
        <v>175</v>
      </c>
      <c r="F2827">
        <v>8.3000000000000007</v>
      </c>
      <c r="G2827">
        <v>2025</v>
      </c>
    </row>
    <row r="2828" spans="1:7" hidden="1" x14ac:dyDescent="0.2">
      <c r="A2828" t="s">
        <v>31</v>
      </c>
      <c r="B2828" t="s">
        <v>33</v>
      </c>
      <c r="C2828">
        <v>8</v>
      </c>
      <c r="D2828" t="s">
        <v>129</v>
      </c>
      <c r="E2828" t="s">
        <v>530</v>
      </c>
      <c r="F2828">
        <v>7.3</v>
      </c>
      <c r="G2828">
        <v>2025</v>
      </c>
    </row>
    <row r="2829" spans="1:7" hidden="1" x14ac:dyDescent="0.2">
      <c r="A2829" t="s">
        <v>31</v>
      </c>
      <c r="B2829" t="s">
        <v>33</v>
      </c>
      <c r="C2829">
        <v>8</v>
      </c>
      <c r="D2829" t="s">
        <v>131</v>
      </c>
      <c r="E2829" t="s">
        <v>339</v>
      </c>
      <c r="F2829">
        <v>17</v>
      </c>
      <c r="G2829">
        <v>2025</v>
      </c>
    </row>
    <row r="2830" spans="1:7" hidden="1" x14ac:dyDescent="0.2">
      <c r="A2830" t="s">
        <v>31</v>
      </c>
      <c r="B2830" t="s">
        <v>33</v>
      </c>
      <c r="C2830">
        <v>8</v>
      </c>
      <c r="D2830" t="s">
        <v>130</v>
      </c>
      <c r="E2830" t="s">
        <v>157</v>
      </c>
      <c r="F2830">
        <v>18</v>
      </c>
      <c r="G2830">
        <v>2025</v>
      </c>
    </row>
    <row r="2831" spans="1:7" hidden="1" x14ac:dyDescent="0.2">
      <c r="A2831" t="s">
        <v>31</v>
      </c>
      <c r="B2831" t="s">
        <v>33</v>
      </c>
      <c r="C2831">
        <v>8</v>
      </c>
      <c r="D2831" t="s">
        <v>293</v>
      </c>
      <c r="E2831" t="s">
        <v>174</v>
      </c>
      <c r="F2831">
        <v>4.3</v>
      </c>
      <c r="G2831">
        <v>2025</v>
      </c>
    </row>
    <row r="2832" spans="1:7" hidden="1" x14ac:dyDescent="0.2">
      <c r="A2832" t="s">
        <v>526</v>
      </c>
      <c r="B2832" t="s">
        <v>32</v>
      </c>
      <c r="C2832">
        <v>8</v>
      </c>
      <c r="D2832" t="s">
        <v>125</v>
      </c>
      <c r="E2832" t="s">
        <v>185</v>
      </c>
      <c r="F2832">
        <v>11.8</v>
      </c>
      <c r="G2832">
        <v>2025</v>
      </c>
    </row>
    <row r="2833" spans="1:7" hidden="1" x14ac:dyDescent="0.2">
      <c r="A2833" t="s">
        <v>526</v>
      </c>
      <c r="B2833" t="s">
        <v>32</v>
      </c>
      <c r="C2833">
        <v>8</v>
      </c>
      <c r="D2833" t="s">
        <v>128</v>
      </c>
      <c r="E2833" t="s">
        <v>186</v>
      </c>
      <c r="F2833">
        <v>17.8</v>
      </c>
      <c r="G2833">
        <v>2025</v>
      </c>
    </row>
    <row r="2834" spans="1:7" hidden="1" x14ac:dyDescent="0.2">
      <c r="A2834" t="s">
        <v>526</v>
      </c>
      <c r="B2834" t="s">
        <v>32</v>
      </c>
      <c r="C2834">
        <v>8</v>
      </c>
      <c r="D2834" t="s">
        <v>128</v>
      </c>
      <c r="E2834" t="s">
        <v>321</v>
      </c>
      <c r="F2834">
        <v>4.5</v>
      </c>
      <c r="G2834">
        <v>2025</v>
      </c>
    </row>
    <row r="2835" spans="1:7" hidden="1" x14ac:dyDescent="0.2">
      <c r="A2835" t="s">
        <v>526</v>
      </c>
      <c r="B2835" t="s">
        <v>32</v>
      </c>
      <c r="C2835">
        <v>8</v>
      </c>
      <c r="D2835" t="s">
        <v>128</v>
      </c>
      <c r="E2835" t="s">
        <v>310</v>
      </c>
      <c r="F2835">
        <v>2.7</v>
      </c>
      <c r="G2835">
        <v>2025</v>
      </c>
    </row>
    <row r="2836" spans="1:7" hidden="1" x14ac:dyDescent="0.2">
      <c r="A2836" t="s">
        <v>526</v>
      </c>
      <c r="B2836" t="s">
        <v>32</v>
      </c>
      <c r="C2836">
        <v>8</v>
      </c>
      <c r="D2836" t="s">
        <v>127</v>
      </c>
      <c r="E2836" t="s">
        <v>226</v>
      </c>
      <c r="F2836">
        <v>31.86</v>
      </c>
      <c r="G2836">
        <v>2025</v>
      </c>
    </row>
    <row r="2837" spans="1:7" hidden="1" x14ac:dyDescent="0.2">
      <c r="A2837" t="s">
        <v>526</v>
      </c>
      <c r="B2837" t="s">
        <v>32</v>
      </c>
      <c r="C2837">
        <v>8</v>
      </c>
      <c r="D2837" t="s">
        <v>127</v>
      </c>
      <c r="E2837" t="s">
        <v>148</v>
      </c>
      <c r="F2837">
        <v>17.600000000000001</v>
      </c>
      <c r="G2837">
        <v>2025</v>
      </c>
    </row>
    <row r="2838" spans="1:7" hidden="1" x14ac:dyDescent="0.2">
      <c r="A2838" t="s">
        <v>526</v>
      </c>
      <c r="B2838" t="s">
        <v>32</v>
      </c>
      <c r="C2838">
        <v>8</v>
      </c>
      <c r="D2838" t="s">
        <v>129</v>
      </c>
      <c r="E2838" t="s">
        <v>572</v>
      </c>
      <c r="F2838">
        <v>3.5</v>
      </c>
      <c r="G2838">
        <v>2025</v>
      </c>
    </row>
    <row r="2839" spans="1:7" hidden="1" x14ac:dyDescent="0.2">
      <c r="A2839" t="s">
        <v>526</v>
      </c>
      <c r="B2839" t="s">
        <v>32</v>
      </c>
      <c r="C2839">
        <v>8</v>
      </c>
      <c r="D2839" t="s">
        <v>131</v>
      </c>
      <c r="E2839" t="s">
        <v>571</v>
      </c>
      <c r="F2839">
        <v>9</v>
      </c>
      <c r="G2839">
        <v>2025</v>
      </c>
    </row>
    <row r="2840" spans="1:7" hidden="1" x14ac:dyDescent="0.2">
      <c r="A2840" t="s">
        <v>526</v>
      </c>
      <c r="B2840" t="s">
        <v>32</v>
      </c>
      <c r="C2840">
        <v>8</v>
      </c>
      <c r="D2840" t="s">
        <v>130</v>
      </c>
      <c r="E2840" t="s">
        <v>238</v>
      </c>
      <c r="F2840">
        <v>-1</v>
      </c>
      <c r="G2840">
        <v>2025</v>
      </c>
    </row>
    <row r="2841" spans="1:7" hidden="1" x14ac:dyDescent="0.2">
      <c r="A2841" t="s">
        <v>526</v>
      </c>
      <c r="B2841" t="s">
        <v>32</v>
      </c>
      <c r="C2841">
        <v>8</v>
      </c>
      <c r="D2841" t="s">
        <v>294</v>
      </c>
      <c r="E2841" t="s">
        <v>283</v>
      </c>
      <c r="F2841">
        <v>0</v>
      </c>
      <c r="G2841">
        <v>2025</v>
      </c>
    </row>
    <row r="2842" spans="1:7" hidden="1" x14ac:dyDescent="0.2">
      <c r="A2842" t="s">
        <v>14</v>
      </c>
      <c r="B2842" t="s">
        <v>16</v>
      </c>
      <c r="C2842">
        <v>9</v>
      </c>
      <c r="D2842" t="s">
        <v>125</v>
      </c>
      <c r="E2842" t="s">
        <v>202</v>
      </c>
      <c r="F2842">
        <v>25.56</v>
      </c>
      <c r="G2842">
        <v>2025</v>
      </c>
    </row>
    <row r="2843" spans="1:7" hidden="1" x14ac:dyDescent="0.2">
      <c r="A2843" t="s">
        <v>14</v>
      </c>
      <c r="B2843" t="s">
        <v>16</v>
      </c>
      <c r="C2843">
        <v>9</v>
      </c>
      <c r="D2843" t="s">
        <v>128</v>
      </c>
      <c r="E2843" t="s">
        <v>254</v>
      </c>
      <c r="F2843">
        <v>16</v>
      </c>
      <c r="G2843">
        <v>2025</v>
      </c>
    </row>
    <row r="2844" spans="1:7" hidden="1" x14ac:dyDescent="0.2">
      <c r="A2844" t="s">
        <v>14</v>
      </c>
      <c r="B2844" t="s">
        <v>16</v>
      </c>
      <c r="C2844">
        <v>9</v>
      </c>
      <c r="D2844" t="s">
        <v>128</v>
      </c>
      <c r="E2844" t="s">
        <v>223</v>
      </c>
      <c r="F2844">
        <v>6.8</v>
      </c>
      <c r="G2844">
        <v>2025</v>
      </c>
    </row>
    <row r="2845" spans="1:7" hidden="1" x14ac:dyDescent="0.2">
      <c r="A2845" t="s">
        <v>14</v>
      </c>
      <c r="B2845" t="s">
        <v>16</v>
      </c>
      <c r="C2845">
        <v>9</v>
      </c>
      <c r="D2845" t="s">
        <v>128</v>
      </c>
      <c r="E2845" t="s">
        <v>351</v>
      </c>
      <c r="F2845">
        <v>5.3</v>
      </c>
      <c r="G2845">
        <v>2025</v>
      </c>
    </row>
    <row r="2846" spans="1:7" hidden="1" x14ac:dyDescent="0.2">
      <c r="A2846" t="s">
        <v>14</v>
      </c>
      <c r="B2846" t="s">
        <v>16</v>
      </c>
      <c r="C2846">
        <v>9</v>
      </c>
      <c r="D2846" t="s">
        <v>127</v>
      </c>
      <c r="E2846" t="s">
        <v>570</v>
      </c>
      <c r="F2846">
        <v>21.3</v>
      </c>
      <c r="G2846">
        <v>2025</v>
      </c>
    </row>
    <row r="2847" spans="1:7" hidden="1" x14ac:dyDescent="0.2">
      <c r="A2847" t="s">
        <v>14</v>
      </c>
      <c r="B2847" t="s">
        <v>16</v>
      </c>
      <c r="C2847">
        <v>9</v>
      </c>
      <c r="D2847" t="s">
        <v>127</v>
      </c>
      <c r="E2847" t="s">
        <v>314</v>
      </c>
      <c r="F2847">
        <v>15.2</v>
      </c>
      <c r="G2847">
        <v>2025</v>
      </c>
    </row>
    <row r="2848" spans="1:7" hidden="1" x14ac:dyDescent="0.2">
      <c r="A2848" t="s">
        <v>14</v>
      </c>
      <c r="B2848" t="s">
        <v>16</v>
      </c>
      <c r="C2848">
        <v>9</v>
      </c>
      <c r="D2848" t="s">
        <v>129</v>
      </c>
      <c r="E2848" t="s">
        <v>236</v>
      </c>
      <c r="F2848">
        <v>4.9000000000000004</v>
      </c>
      <c r="G2848">
        <v>2025</v>
      </c>
    </row>
    <row r="2849" spans="1:7" hidden="1" x14ac:dyDescent="0.2">
      <c r="A2849" t="s">
        <v>14</v>
      </c>
      <c r="B2849" t="s">
        <v>16</v>
      </c>
      <c r="C2849">
        <v>9</v>
      </c>
      <c r="D2849" t="s">
        <v>131</v>
      </c>
      <c r="E2849" t="s">
        <v>210</v>
      </c>
      <c r="F2849">
        <v>4</v>
      </c>
      <c r="G2849">
        <v>2025</v>
      </c>
    </row>
    <row r="2850" spans="1:7" hidden="1" x14ac:dyDescent="0.2">
      <c r="A2850" t="s">
        <v>14</v>
      </c>
      <c r="B2850" t="s">
        <v>16</v>
      </c>
      <c r="C2850">
        <v>9</v>
      </c>
      <c r="D2850" t="s">
        <v>130</v>
      </c>
      <c r="E2850" t="s">
        <v>239</v>
      </c>
      <c r="F2850">
        <v>2</v>
      </c>
      <c r="G2850">
        <v>2025</v>
      </c>
    </row>
    <row r="2851" spans="1:7" hidden="1" x14ac:dyDescent="0.2">
      <c r="A2851" t="s">
        <v>14</v>
      </c>
      <c r="B2851" t="s">
        <v>16</v>
      </c>
      <c r="C2851">
        <v>9</v>
      </c>
      <c r="D2851" t="s">
        <v>293</v>
      </c>
      <c r="E2851" t="s">
        <v>189</v>
      </c>
      <c r="F2851">
        <v>14</v>
      </c>
      <c r="G2851">
        <v>2025</v>
      </c>
    </row>
    <row r="2852" spans="1:7" hidden="1" x14ac:dyDescent="0.2">
      <c r="A2852" t="s">
        <v>521</v>
      </c>
      <c r="B2852" t="s">
        <v>29</v>
      </c>
      <c r="C2852">
        <v>9</v>
      </c>
      <c r="D2852" t="s">
        <v>125</v>
      </c>
      <c r="E2852" t="s">
        <v>150</v>
      </c>
      <c r="F2852">
        <v>10.5</v>
      </c>
      <c r="G2852">
        <v>2025</v>
      </c>
    </row>
    <row r="2853" spans="1:7" hidden="1" x14ac:dyDescent="0.2">
      <c r="A2853" t="s">
        <v>521</v>
      </c>
      <c r="B2853" t="s">
        <v>29</v>
      </c>
      <c r="C2853">
        <v>9</v>
      </c>
      <c r="D2853" t="s">
        <v>128</v>
      </c>
      <c r="E2853" t="s">
        <v>162</v>
      </c>
      <c r="F2853">
        <v>19.100000000000001</v>
      </c>
      <c r="G2853">
        <v>2025</v>
      </c>
    </row>
    <row r="2854" spans="1:7" hidden="1" x14ac:dyDescent="0.2">
      <c r="A2854" t="s">
        <v>521</v>
      </c>
      <c r="B2854" t="s">
        <v>29</v>
      </c>
      <c r="C2854">
        <v>9</v>
      </c>
      <c r="D2854" t="s">
        <v>128</v>
      </c>
      <c r="E2854" t="s">
        <v>171</v>
      </c>
      <c r="F2854">
        <v>13.7</v>
      </c>
      <c r="G2854">
        <v>2025</v>
      </c>
    </row>
    <row r="2855" spans="1:7" hidden="1" x14ac:dyDescent="0.2">
      <c r="A2855" t="s">
        <v>521</v>
      </c>
      <c r="B2855" t="s">
        <v>29</v>
      </c>
      <c r="C2855">
        <v>9</v>
      </c>
      <c r="D2855" t="s">
        <v>128</v>
      </c>
      <c r="E2855" t="s">
        <v>151</v>
      </c>
      <c r="F2855">
        <v>20.5</v>
      </c>
      <c r="G2855">
        <v>2025</v>
      </c>
    </row>
    <row r="2856" spans="1:7" hidden="1" x14ac:dyDescent="0.2">
      <c r="A2856" t="s">
        <v>521</v>
      </c>
      <c r="B2856" t="s">
        <v>29</v>
      </c>
      <c r="C2856">
        <v>9</v>
      </c>
      <c r="D2856" t="s">
        <v>127</v>
      </c>
      <c r="E2856" t="s">
        <v>175</v>
      </c>
      <c r="F2856">
        <v>15.9</v>
      </c>
      <c r="G2856">
        <v>2025</v>
      </c>
    </row>
    <row r="2857" spans="1:7" hidden="1" x14ac:dyDescent="0.2">
      <c r="A2857" t="s">
        <v>521</v>
      </c>
      <c r="B2857" t="s">
        <v>29</v>
      </c>
      <c r="C2857">
        <v>9</v>
      </c>
      <c r="D2857" t="s">
        <v>127</v>
      </c>
      <c r="E2857" t="s">
        <v>198</v>
      </c>
      <c r="F2857">
        <v>6.7</v>
      </c>
      <c r="G2857">
        <v>2025</v>
      </c>
    </row>
    <row r="2858" spans="1:7" hidden="1" x14ac:dyDescent="0.2">
      <c r="A2858" t="s">
        <v>521</v>
      </c>
      <c r="B2858" t="s">
        <v>29</v>
      </c>
      <c r="C2858">
        <v>9</v>
      </c>
      <c r="D2858" t="s">
        <v>129</v>
      </c>
      <c r="E2858" t="s">
        <v>209</v>
      </c>
      <c r="F2858">
        <v>19.100000000000001</v>
      </c>
      <c r="G2858">
        <v>2025</v>
      </c>
    </row>
    <row r="2859" spans="1:7" hidden="1" x14ac:dyDescent="0.2">
      <c r="A2859" t="s">
        <v>521</v>
      </c>
      <c r="B2859" t="s">
        <v>29</v>
      </c>
      <c r="C2859">
        <v>9</v>
      </c>
      <c r="D2859" t="s">
        <v>131</v>
      </c>
      <c r="E2859" t="s">
        <v>374</v>
      </c>
      <c r="F2859">
        <v>6</v>
      </c>
      <c r="G2859">
        <v>2025</v>
      </c>
    </row>
    <row r="2860" spans="1:7" hidden="1" x14ac:dyDescent="0.2">
      <c r="A2860" t="s">
        <v>521</v>
      </c>
      <c r="B2860" t="s">
        <v>29</v>
      </c>
      <c r="C2860">
        <v>9</v>
      </c>
      <c r="D2860" t="s">
        <v>130</v>
      </c>
      <c r="E2860" t="s">
        <v>238</v>
      </c>
      <c r="F2860">
        <v>9</v>
      </c>
      <c r="G2860">
        <v>2025</v>
      </c>
    </row>
    <row r="2861" spans="1:7" hidden="1" x14ac:dyDescent="0.2">
      <c r="A2861" t="s">
        <v>521</v>
      </c>
      <c r="B2861" t="s">
        <v>29</v>
      </c>
      <c r="C2861">
        <v>9</v>
      </c>
      <c r="D2861" t="s">
        <v>294</v>
      </c>
      <c r="E2861" t="s">
        <v>199</v>
      </c>
      <c r="F2861">
        <v>11.3</v>
      </c>
      <c r="G2861">
        <v>2025</v>
      </c>
    </row>
    <row r="2862" spans="1:7" hidden="1" x14ac:dyDescent="0.2">
      <c r="A2862" t="s">
        <v>42</v>
      </c>
      <c r="B2862" t="s">
        <v>17</v>
      </c>
      <c r="C2862">
        <v>9</v>
      </c>
      <c r="D2862" t="s">
        <v>125</v>
      </c>
      <c r="E2862" t="s">
        <v>141</v>
      </c>
      <c r="F2862">
        <v>15.4</v>
      </c>
      <c r="G2862">
        <v>2025</v>
      </c>
    </row>
    <row r="2863" spans="1:7" hidden="1" x14ac:dyDescent="0.2">
      <c r="A2863" t="s">
        <v>42</v>
      </c>
      <c r="B2863" t="s">
        <v>17</v>
      </c>
      <c r="C2863">
        <v>9</v>
      </c>
      <c r="D2863" t="s">
        <v>128</v>
      </c>
      <c r="E2863" t="s">
        <v>232</v>
      </c>
      <c r="F2863">
        <v>11</v>
      </c>
      <c r="G2863">
        <v>2025</v>
      </c>
    </row>
    <row r="2864" spans="1:7" hidden="1" x14ac:dyDescent="0.2">
      <c r="A2864" t="s">
        <v>42</v>
      </c>
      <c r="B2864" t="s">
        <v>17</v>
      </c>
      <c r="C2864">
        <v>9</v>
      </c>
      <c r="D2864" t="s">
        <v>128</v>
      </c>
      <c r="E2864" t="s">
        <v>146</v>
      </c>
      <c r="F2864">
        <v>6.9</v>
      </c>
      <c r="G2864">
        <v>2025</v>
      </c>
    </row>
    <row r="2865" spans="1:7" hidden="1" x14ac:dyDescent="0.2">
      <c r="A2865" t="s">
        <v>42</v>
      </c>
      <c r="B2865" t="s">
        <v>17</v>
      </c>
      <c r="C2865">
        <v>9</v>
      </c>
      <c r="D2865" t="s">
        <v>128</v>
      </c>
      <c r="E2865" t="s">
        <v>277</v>
      </c>
      <c r="F2865">
        <v>7</v>
      </c>
      <c r="G2865">
        <v>2025</v>
      </c>
    </row>
    <row r="2866" spans="1:7" hidden="1" x14ac:dyDescent="0.2">
      <c r="A2866" t="s">
        <v>42</v>
      </c>
      <c r="B2866" t="s">
        <v>17</v>
      </c>
      <c r="C2866">
        <v>9</v>
      </c>
      <c r="D2866" t="s">
        <v>127</v>
      </c>
      <c r="E2866" t="s">
        <v>180</v>
      </c>
      <c r="F2866">
        <v>18</v>
      </c>
      <c r="G2866">
        <v>2025</v>
      </c>
    </row>
    <row r="2867" spans="1:7" hidden="1" x14ac:dyDescent="0.2">
      <c r="A2867" t="s">
        <v>42</v>
      </c>
      <c r="B2867" t="s">
        <v>17</v>
      </c>
      <c r="C2867">
        <v>9</v>
      </c>
      <c r="D2867" t="s">
        <v>127</v>
      </c>
      <c r="E2867" t="s">
        <v>568</v>
      </c>
      <c r="F2867">
        <v>3</v>
      </c>
      <c r="G2867">
        <v>2025</v>
      </c>
    </row>
    <row r="2868" spans="1:7" hidden="1" x14ac:dyDescent="0.2">
      <c r="A2868" t="s">
        <v>42</v>
      </c>
      <c r="B2868" t="s">
        <v>17</v>
      </c>
      <c r="C2868">
        <v>9</v>
      </c>
      <c r="D2868" t="s">
        <v>129</v>
      </c>
      <c r="E2868" t="s">
        <v>245</v>
      </c>
      <c r="F2868">
        <v>10.7</v>
      </c>
      <c r="G2868">
        <v>2025</v>
      </c>
    </row>
    <row r="2869" spans="1:7" hidden="1" x14ac:dyDescent="0.2">
      <c r="A2869" t="s">
        <v>42</v>
      </c>
      <c r="B2869" t="s">
        <v>17</v>
      </c>
      <c r="C2869">
        <v>9</v>
      </c>
      <c r="D2869" t="s">
        <v>131</v>
      </c>
      <c r="E2869" t="s">
        <v>195</v>
      </c>
      <c r="F2869">
        <v>17</v>
      </c>
      <c r="G2869">
        <v>2025</v>
      </c>
    </row>
    <row r="2870" spans="1:7" hidden="1" x14ac:dyDescent="0.2">
      <c r="A2870" t="s">
        <v>42</v>
      </c>
      <c r="B2870" t="s">
        <v>17</v>
      </c>
      <c r="C2870">
        <v>9</v>
      </c>
      <c r="D2870" t="s">
        <v>130</v>
      </c>
      <c r="E2870" t="s">
        <v>260</v>
      </c>
      <c r="F2870">
        <v>14</v>
      </c>
      <c r="G2870">
        <v>2025</v>
      </c>
    </row>
    <row r="2871" spans="1:7" hidden="1" x14ac:dyDescent="0.2">
      <c r="A2871" t="s">
        <v>42</v>
      </c>
      <c r="B2871" t="s">
        <v>17</v>
      </c>
      <c r="C2871">
        <v>9</v>
      </c>
      <c r="D2871" t="s">
        <v>294</v>
      </c>
      <c r="E2871" t="s">
        <v>522</v>
      </c>
      <c r="F2871">
        <v>6.6</v>
      </c>
      <c r="G2871">
        <v>2025</v>
      </c>
    </row>
    <row r="2872" spans="1:7" hidden="1" x14ac:dyDescent="0.2">
      <c r="A2872" t="s">
        <v>526</v>
      </c>
      <c r="B2872" t="s">
        <v>32</v>
      </c>
      <c r="C2872">
        <v>9</v>
      </c>
      <c r="D2872" t="s">
        <v>125</v>
      </c>
      <c r="E2872" t="s">
        <v>185</v>
      </c>
      <c r="F2872">
        <v>37.700000000000003</v>
      </c>
      <c r="G2872">
        <v>2025</v>
      </c>
    </row>
    <row r="2873" spans="1:7" hidden="1" x14ac:dyDescent="0.2">
      <c r="A2873" t="s">
        <v>526</v>
      </c>
      <c r="B2873" t="s">
        <v>32</v>
      </c>
      <c r="C2873">
        <v>9</v>
      </c>
      <c r="D2873" t="s">
        <v>128</v>
      </c>
      <c r="E2873" t="s">
        <v>573</v>
      </c>
      <c r="F2873">
        <v>8.1</v>
      </c>
      <c r="G2873">
        <v>2025</v>
      </c>
    </row>
    <row r="2874" spans="1:7" hidden="1" x14ac:dyDescent="0.2">
      <c r="A2874" t="s">
        <v>526</v>
      </c>
      <c r="B2874" t="s">
        <v>32</v>
      </c>
      <c r="C2874">
        <v>9</v>
      </c>
      <c r="D2874" t="s">
        <v>128</v>
      </c>
      <c r="E2874" t="s">
        <v>186</v>
      </c>
      <c r="F2874">
        <v>7.6</v>
      </c>
      <c r="G2874">
        <v>2025</v>
      </c>
    </row>
    <row r="2875" spans="1:7" hidden="1" x14ac:dyDescent="0.2">
      <c r="A2875" t="s">
        <v>526</v>
      </c>
      <c r="B2875" t="s">
        <v>32</v>
      </c>
      <c r="C2875">
        <v>9</v>
      </c>
      <c r="D2875" t="s">
        <v>128</v>
      </c>
      <c r="E2875" t="s">
        <v>321</v>
      </c>
      <c r="F2875">
        <v>2.7</v>
      </c>
      <c r="G2875">
        <v>2025</v>
      </c>
    </row>
    <row r="2876" spans="1:7" hidden="1" x14ac:dyDescent="0.2">
      <c r="A2876" t="s">
        <v>526</v>
      </c>
      <c r="B2876" t="s">
        <v>32</v>
      </c>
      <c r="C2876">
        <v>9</v>
      </c>
      <c r="D2876" t="s">
        <v>127</v>
      </c>
      <c r="E2876" t="s">
        <v>148</v>
      </c>
      <c r="F2876">
        <v>13.6</v>
      </c>
      <c r="G2876">
        <v>2025</v>
      </c>
    </row>
    <row r="2877" spans="1:7" hidden="1" x14ac:dyDescent="0.2">
      <c r="A2877" t="s">
        <v>526</v>
      </c>
      <c r="B2877" t="s">
        <v>32</v>
      </c>
      <c r="C2877">
        <v>9</v>
      </c>
      <c r="D2877" t="s">
        <v>127</v>
      </c>
      <c r="E2877" t="s">
        <v>225</v>
      </c>
      <c r="F2877">
        <v>7.1</v>
      </c>
      <c r="G2877">
        <v>2025</v>
      </c>
    </row>
    <row r="2878" spans="1:7" hidden="1" x14ac:dyDescent="0.2">
      <c r="A2878" t="s">
        <v>526</v>
      </c>
      <c r="B2878" t="s">
        <v>32</v>
      </c>
      <c r="C2878">
        <v>9</v>
      </c>
      <c r="D2878" t="s">
        <v>129</v>
      </c>
      <c r="E2878" t="s">
        <v>572</v>
      </c>
      <c r="F2878">
        <v>10.199999999999999</v>
      </c>
      <c r="G2878">
        <v>2025</v>
      </c>
    </row>
    <row r="2879" spans="1:7" hidden="1" x14ac:dyDescent="0.2">
      <c r="A2879" t="s">
        <v>526</v>
      </c>
      <c r="B2879" t="s">
        <v>32</v>
      </c>
      <c r="C2879">
        <v>9</v>
      </c>
      <c r="D2879" t="s">
        <v>131</v>
      </c>
      <c r="E2879" t="s">
        <v>571</v>
      </c>
      <c r="F2879">
        <v>12</v>
      </c>
      <c r="G2879">
        <v>2025</v>
      </c>
    </row>
    <row r="2880" spans="1:7" hidden="1" x14ac:dyDescent="0.2">
      <c r="A2880" t="s">
        <v>526</v>
      </c>
      <c r="B2880" t="s">
        <v>32</v>
      </c>
      <c r="C2880">
        <v>9</v>
      </c>
      <c r="D2880" t="s">
        <v>130</v>
      </c>
      <c r="E2880" t="s">
        <v>358</v>
      </c>
      <c r="F2880">
        <v>8</v>
      </c>
      <c r="G2880">
        <v>2025</v>
      </c>
    </row>
    <row r="2881" spans="1:7" hidden="1" x14ac:dyDescent="0.2">
      <c r="A2881" t="s">
        <v>526</v>
      </c>
      <c r="B2881" t="s">
        <v>32</v>
      </c>
      <c r="C2881">
        <v>9</v>
      </c>
      <c r="D2881" t="s">
        <v>297</v>
      </c>
      <c r="E2881" t="s">
        <v>574</v>
      </c>
      <c r="F2881">
        <v>9.3000000000000007</v>
      </c>
      <c r="G2881">
        <v>2025</v>
      </c>
    </row>
    <row r="2882" spans="1:7" hidden="1" x14ac:dyDescent="0.2">
      <c r="A2882" t="s">
        <v>524</v>
      </c>
      <c r="B2882" t="s">
        <v>21</v>
      </c>
      <c r="C2882">
        <v>9</v>
      </c>
      <c r="D2882" t="s">
        <v>125</v>
      </c>
      <c r="E2882" t="s">
        <v>212</v>
      </c>
      <c r="F2882">
        <v>28.82</v>
      </c>
      <c r="G2882">
        <v>2025</v>
      </c>
    </row>
    <row r="2883" spans="1:7" hidden="1" x14ac:dyDescent="0.2">
      <c r="A2883" t="s">
        <v>524</v>
      </c>
      <c r="B2883" t="s">
        <v>21</v>
      </c>
      <c r="C2883">
        <v>9</v>
      </c>
      <c r="D2883" t="s">
        <v>128</v>
      </c>
      <c r="E2883" t="s">
        <v>370</v>
      </c>
      <c r="F2883">
        <v>13</v>
      </c>
      <c r="G2883">
        <v>2025</v>
      </c>
    </row>
    <row r="2884" spans="1:7" hidden="1" x14ac:dyDescent="0.2">
      <c r="A2884" t="s">
        <v>524</v>
      </c>
      <c r="B2884" t="s">
        <v>21</v>
      </c>
      <c r="C2884">
        <v>9</v>
      </c>
      <c r="D2884" t="s">
        <v>128</v>
      </c>
      <c r="E2884" t="s">
        <v>304</v>
      </c>
      <c r="F2884">
        <v>5.0999999999999996</v>
      </c>
      <c r="G2884">
        <v>2025</v>
      </c>
    </row>
    <row r="2885" spans="1:7" hidden="1" x14ac:dyDescent="0.2">
      <c r="A2885" t="s">
        <v>524</v>
      </c>
      <c r="B2885" t="s">
        <v>21</v>
      </c>
      <c r="C2885">
        <v>9</v>
      </c>
      <c r="D2885" t="s">
        <v>128</v>
      </c>
      <c r="E2885" t="s">
        <v>177</v>
      </c>
      <c r="F2885">
        <v>12</v>
      </c>
      <c r="G2885">
        <v>2025</v>
      </c>
    </row>
    <row r="2886" spans="1:7" hidden="1" x14ac:dyDescent="0.2">
      <c r="A2886" t="s">
        <v>524</v>
      </c>
      <c r="B2886" t="s">
        <v>21</v>
      </c>
      <c r="C2886">
        <v>9</v>
      </c>
      <c r="D2886" t="s">
        <v>127</v>
      </c>
      <c r="E2886" t="s">
        <v>181</v>
      </c>
      <c r="F2886">
        <v>10</v>
      </c>
      <c r="G2886">
        <v>2025</v>
      </c>
    </row>
    <row r="2887" spans="1:7" hidden="1" x14ac:dyDescent="0.2">
      <c r="A2887" t="s">
        <v>524</v>
      </c>
      <c r="B2887" t="s">
        <v>21</v>
      </c>
      <c r="C2887">
        <v>9</v>
      </c>
      <c r="D2887" t="s">
        <v>127</v>
      </c>
      <c r="E2887" t="s">
        <v>528</v>
      </c>
      <c r="F2887">
        <v>10.7</v>
      </c>
      <c r="G2887">
        <v>2025</v>
      </c>
    </row>
    <row r="2888" spans="1:7" hidden="1" x14ac:dyDescent="0.2">
      <c r="A2888" t="s">
        <v>524</v>
      </c>
      <c r="B2888" t="s">
        <v>21</v>
      </c>
      <c r="C2888">
        <v>9</v>
      </c>
      <c r="D2888" t="s">
        <v>129</v>
      </c>
      <c r="E2888" t="s">
        <v>249</v>
      </c>
      <c r="F2888">
        <v>10.6</v>
      </c>
      <c r="G2888">
        <v>2025</v>
      </c>
    </row>
    <row r="2889" spans="1:7" hidden="1" x14ac:dyDescent="0.2">
      <c r="A2889" t="s">
        <v>524</v>
      </c>
      <c r="B2889" t="s">
        <v>21</v>
      </c>
      <c r="C2889">
        <v>9</v>
      </c>
      <c r="D2889" t="s">
        <v>131</v>
      </c>
      <c r="E2889" t="s">
        <v>237</v>
      </c>
      <c r="F2889">
        <v>11</v>
      </c>
      <c r="G2889">
        <v>2025</v>
      </c>
    </row>
    <row r="2890" spans="1:7" hidden="1" x14ac:dyDescent="0.2">
      <c r="A2890" t="s">
        <v>524</v>
      </c>
      <c r="B2890" t="s">
        <v>21</v>
      </c>
      <c r="C2890">
        <v>9</v>
      </c>
      <c r="D2890" t="s">
        <v>130</v>
      </c>
      <c r="E2890" t="s">
        <v>326</v>
      </c>
      <c r="F2890">
        <v>5</v>
      </c>
      <c r="G2890">
        <v>2025</v>
      </c>
    </row>
    <row r="2891" spans="1:7" hidden="1" x14ac:dyDescent="0.2">
      <c r="A2891" t="s">
        <v>524</v>
      </c>
      <c r="B2891" t="s">
        <v>21</v>
      </c>
      <c r="C2891">
        <v>9</v>
      </c>
      <c r="D2891" t="s">
        <v>293</v>
      </c>
      <c r="E2891" t="s">
        <v>348</v>
      </c>
      <c r="F2891">
        <v>5.2</v>
      </c>
      <c r="G2891">
        <v>2025</v>
      </c>
    </row>
    <row r="2892" spans="1:7" hidden="1" x14ac:dyDescent="0.2">
      <c r="A2892" t="s">
        <v>31</v>
      </c>
      <c r="B2892" t="s">
        <v>33</v>
      </c>
      <c r="C2892">
        <v>9</v>
      </c>
      <c r="D2892" t="s">
        <v>125</v>
      </c>
      <c r="E2892" t="s">
        <v>334</v>
      </c>
      <c r="F2892">
        <v>14.08</v>
      </c>
      <c r="G2892">
        <v>2025</v>
      </c>
    </row>
    <row r="2893" spans="1:7" hidden="1" x14ac:dyDescent="0.2">
      <c r="A2893" t="s">
        <v>31</v>
      </c>
      <c r="B2893" t="s">
        <v>33</v>
      </c>
      <c r="C2893">
        <v>9</v>
      </c>
      <c r="D2893" t="s">
        <v>128</v>
      </c>
      <c r="E2893" t="s">
        <v>292</v>
      </c>
      <c r="F2893">
        <v>12.1</v>
      </c>
      <c r="G2893">
        <v>2025</v>
      </c>
    </row>
    <row r="2894" spans="1:7" hidden="1" x14ac:dyDescent="0.2">
      <c r="A2894" t="s">
        <v>31</v>
      </c>
      <c r="B2894" t="s">
        <v>33</v>
      </c>
      <c r="C2894">
        <v>9</v>
      </c>
      <c r="D2894" t="s">
        <v>128</v>
      </c>
      <c r="E2894" t="s">
        <v>280</v>
      </c>
      <c r="F2894">
        <v>0</v>
      </c>
      <c r="G2894">
        <v>2025</v>
      </c>
    </row>
    <row r="2895" spans="1:7" hidden="1" x14ac:dyDescent="0.2">
      <c r="A2895" t="s">
        <v>31</v>
      </c>
      <c r="B2895" t="s">
        <v>33</v>
      </c>
      <c r="C2895">
        <v>9</v>
      </c>
      <c r="D2895" t="s">
        <v>128</v>
      </c>
      <c r="E2895" t="s">
        <v>219</v>
      </c>
      <c r="F2895">
        <v>1.6</v>
      </c>
      <c r="G2895">
        <v>2025</v>
      </c>
    </row>
    <row r="2896" spans="1:7" hidden="1" x14ac:dyDescent="0.2">
      <c r="A2896" t="s">
        <v>31</v>
      </c>
      <c r="B2896" t="s">
        <v>33</v>
      </c>
      <c r="C2896">
        <v>9</v>
      </c>
      <c r="D2896" t="s">
        <v>127</v>
      </c>
      <c r="E2896" t="s">
        <v>318</v>
      </c>
      <c r="F2896">
        <v>27.1</v>
      </c>
      <c r="G2896">
        <v>2025</v>
      </c>
    </row>
    <row r="2897" spans="1:7" hidden="1" x14ac:dyDescent="0.2">
      <c r="A2897" t="s">
        <v>31</v>
      </c>
      <c r="B2897" t="s">
        <v>33</v>
      </c>
      <c r="C2897">
        <v>9</v>
      </c>
      <c r="D2897" t="s">
        <v>127</v>
      </c>
      <c r="E2897" t="s">
        <v>174</v>
      </c>
      <c r="F2897">
        <v>13.6</v>
      </c>
      <c r="G2897">
        <v>2025</v>
      </c>
    </row>
    <row r="2898" spans="1:7" hidden="1" x14ac:dyDescent="0.2">
      <c r="A2898" t="s">
        <v>31</v>
      </c>
      <c r="B2898" t="s">
        <v>33</v>
      </c>
      <c r="C2898">
        <v>9</v>
      </c>
      <c r="D2898" t="s">
        <v>129</v>
      </c>
      <c r="E2898" t="s">
        <v>530</v>
      </c>
      <c r="F2898">
        <v>5.0999999999999996</v>
      </c>
      <c r="G2898">
        <v>2025</v>
      </c>
    </row>
    <row r="2899" spans="1:7" hidden="1" x14ac:dyDescent="0.2">
      <c r="A2899" t="s">
        <v>31</v>
      </c>
      <c r="B2899" t="s">
        <v>33</v>
      </c>
      <c r="C2899">
        <v>9</v>
      </c>
      <c r="D2899" t="s">
        <v>131</v>
      </c>
      <c r="E2899" t="s">
        <v>553</v>
      </c>
      <c r="F2899">
        <v>2</v>
      </c>
      <c r="G2899">
        <v>2025</v>
      </c>
    </row>
    <row r="2900" spans="1:7" hidden="1" x14ac:dyDescent="0.2">
      <c r="A2900" t="s">
        <v>31</v>
      </c>
      <c r="B2900" t="s">
        <v>33</v>
      </c>
      <c r="C2900">
        <v>9</v>
      </c>
      <c r="D2900" t="s">
        <v>130</v>
      </c>
      <c r="E2900" t="s">
        <v>253</v>
      </c>
      <c r="F2900">
        <v>6</v>
      </c>
      <c r="G2900">
        <v>2025</v>
      </c>
    </row>
    <row r="2901" spans="1:7" hidden="1" x14ac:dyDescent="0.2">
      <c r="A2901" t="s">
        <v>31</v>
      </c>
      <c r="B2901" t="s">
        <v>33</v>
      </c>
      <c r="C2901">
        <v>9</v>
      </c>
      <c r="D2901" t="s">
        <v>293</v>
      </c>
      <c r="E2901" t="s">
        <v>259</v>
      </c>
      <c r="F2901">
        <v>6.4</v>
      </c>
      <c r="G2901">
        <v>2025</v>
      </c>
    </row>
    <row r="2902" spans="1:7" hidden="1" x14ac:dyDescent="0.2">
      <c r="A2902" t="s">
        <v>525</v>
      </c>
      <c r="B2902" t="s">
        <v>36</v>
      </c>
      <c r="C2902">
        <v>9</v>
      </c>
      <c r="D2902" t="s">
        <v>125</v>
      </c>
      <c r="E2902" t="s">
        <v>386</v>
      </c>
      <c r="F2902">
        <v>27.7</v>
      </c>
      <c r="G2902">
        <v>2025</v>
      </c>
    </row>
    <row r="2903" spans="1:7" hidden="1" x14ac:dyDescent="0.2">
      <c r="A2903" t="s">
        <v>525</v>
      </c>
      <c r="B2903" t="s">
        <v>36</v>
      </c>
      <c r="C2903">
        <v>9</v>
      </c>
      <c r="D2903" t="s">
        <v>128</v>
      </c>
      <c r="E2903" t="s">
        <v>298</v>
      </c>
      <c r="F2903">
        <v>13.3</v>
      </c>
      <c r="G2903">
        <v>2025</v>
      </c>
    </row>
    <row r="2904" spans="1:7" hidden="1" x14ac:dyDescent="0.2">
      <c r="A2904" t="s">
        <v>525</v>
      </c>
      <c r="B2904" t="s">
        <v>36</v>
      </c>
      <c r="C2904">
        <v>9</v>
      </c>
      <c r="D2904" t="s">
        <v>128</v>
      </c>
      <c r="E2904" t="s">
        <v>161</v>
      </c>
      <c r="F2904">
        <v>7.2</v>
      </c>
      <c r="G2904">
        <v>2025</v>
      </c>
    </row>
    <row r="2905" spans="1:7" hidden="1" x14ac:dyDescent="0.2">
      <c r="A2905" t="s">
        <v>525</v>
      </c>
      <c r="B2905" t="s">
        <v>36</v>
      </c>
      <c r="C2905">
        <v>9</v>
      </c>
      <c r="D2905" t="s">
        <v>128</v>
      </c>
      <c r="E2905" t="s">
        <v>575</v>
      </c>
      <c r="F2905">
        <v>7</v>
      </c>
      <c r="G2905">
        <v>2025</v>
      </c>
    </row>
    <row r="2906" spans="1:7" hidden="1" x14ac:dyDescent="0.2">
      <c r="A2906" t="s">
        <v>525</v>
      </c>
      <c r="B2906" t="s">
        <v>36</v>
      </c>
      <c r="C2906">
        <v>9</v>
      </c>
      <c r="D2906" t="s">
        <v>127</v>
      </c>
      <c r="E2906" t="s">
        <v>235</v>
      </c>
      <c r="F2906">
        <v>10.8</v>
      </c>
      <c r="G2906">
        <v>2025</v>
      </c>
    </row>
    <row r="2907" spans="1:7" hidden="1" x14ac:dyDescent="0.2">
      <c r="A2907" t="s">
        <v>525</v>
      </c>
      <c r="B2907" t="s">
        <v>36</v>
      </c>
      <c r="C2907">
        <v>9</v>
      </c>
      <c r="D2907" t="s">
        <v>127</v>
      </c>
      <c r="E2907" t="s">
        <v>207</v>
      </c>
      <c r="F2907">
        <v>4.3</v>
      </c>
      <c r="G2907">
        <v>2025</v>
      </c>
    </row>
    <row r="2908" spans="1:7" hidden="1" x14ac:dyDescent="0.2">
      <c r="A2908" t="s">
        <v>525</v>
      </c>
      <c r="B2908" t="s">
        <v>36</v>
      </c>
      <c r="C2908">
        <v>9</v>
      </c>
      <c r="D2908" t="s">
        <v>129</v>
      </c>
      <c r="E2908" t="s">
        <v>156</v>
      </c>
      <c r="F2908">
        <v>18.7</v>
      </c>
      <c r="G2908">
        <v>2025</v>
      </c>
    </row>
    <row r="2909" spans="1:7" hidden="1" x14ac:dyDescent="0.2">
      <c r="A2909" t="s">
        <v>525</v>
      </c>
      <c r="B2909" t="s">
        <v>36</v>
      </c>
      <c r="C2909">
        <v>9</v>
      </c>
      <c r="D2909" t="s">
        <v>131</v>
      </c>
      <c r="E2909" t="s">
        <v>192</v>
      </c>
      <c r="F2909">
        <v>9</v>
      </c>
      <c r="G2909">
        <v>2025</v>
      </c>
    </row>
    <row r="2910" spans="1:7" hidden="1" x14ac:dyDescent="0.2">
      <c r="A2910" t="s">
        <v>525</v>
      </c>
      <c r="B2910" t="s">
        <v>36</v>
      </c>
      <c r="C2910">
        <v>9</v>
      </c>
      <c r="D2910" t="s">
        <v>130</v>
      </c>
      <c r="E2910" t="s">
        <v>142</v>
      </c>
      <c r="F2910">
        <v>10</v>
      </c>
      <c r="G2910">
        <v>2025</v>
      </c>
    </row>
    <row r="2911" spans="1:7" hidden="1" x14ac:dyDescent="0.2">
      <c r="A2911" t="s">
        <v>525</v>
      </c>
      <c r="B2911" t="s">
        <v>36</v>
      </c>
      <c r="C2911">
        <v>9</v>
      </c>
      <c r="D2911" t="s">
        <v>297</v>
      </c>
      <c r="E2911" t="s">
        <v>191</v>
      </c>
      <c r="F2911">
        <v>5.8</v>
      </c>
      <c r="G2911">
        <v>2025</v>
      </c>
    </row>
    <row r="2912" spans="1:7" hidden="1" x14ac:dyDescent="0.2">
      <c r="A2912" t="s">
        <v>35</v>
      </c>
      <c r="B2912" t="s">
        <v>49</v>
      </c>
      <c r="C2912">
        <v>9</v>
      </c>
      <c r="D2912" t="s">
        <v>125</v>
      </c>
      <c r="E2912" t="s">
        <v>576</v>
      </c>
      <c r="F2912">
        <v>24.84</v>
      </c>
      <c r="G2912">
        <v>2025</v>
      </c>
    </row>
    <row r="2913" spans="1:7" hidden="1" x14ac:dyDescent="0.2">
      <c r="A2913" t="s">
        <v>35</v>
      </c>
      <c r="B2913" t="s">
        <v>49</v>
      </c>
      <c r="C2913">
        <v>9</v>
      </c>
      <c r="D2913" t="s">
        <v>128</v>
      </c>
      <c r="E2913" t="s">
        <v>188</v>
      </c>
      <c r="F2913">
        <v>34.299999999999997</v>
      </c>
      <c r="G2913">
        <v>2025</v>
      </c>
    </row>
    <row r="2914" spans="1:7" hidden="1" x14ac:dyDescent="0.2">
      <c r="A2914" t="s">
        <v>35</v>
      </c>
      <c r="B2914" t="s">
        <v>49</v>
      </c>
      <c r="C2914">
        <v>9</v>
      </c>
      <c r="D2914" t="s">
        <v>128</v>
      </c>
      <c r="E2914" t="s">
        <v>147</v>
      </c>
      <c r="F2914">
        <v>16.600000000000001</v>
      </c>
      <c r="G2914">
        <v>2025</v>
      </c>
    </row>
    <row r="2915" spans="1:7" hidden="1" x14ac:dyDescent="0.2">
      <c r="A2915" t="s">
        <v>35</v>
      </c>
      <c r="B2915" t="s">
        <v>49</v>
      </c>
      <c r="C2915">
        <v>9</v>
      </c>
      <c r="D2915" t="s">
        <v>128</v>
      </c>
      <c r="E2915" t="s">
        <v>160</v>
      </c>
      <c r="F2915">
        <v>10.9</v>
      </c>
      <c r="G2915">
        <v>2025</v>
      </c>
    </row>
    <row r="2916" spans="1:7" hidden="1" x14ac:dyDescent="0.2">
      <c r="A2916" t="s">
        <v>35</v>
      </c>
      <c r="B2916" t="s">
        <v>49</v>
      </c>
      <c r="C2916">
        <v>9</v>
      </c>
      <c r="D2916" t="s">
        <v>127</v>
      </c>
      <c r="E2916" t="s">
        <v>256</v>
      </c>
      <c r="F2916">
        <v>17.399999999999999</v>
      </c>
      <c r="G2916">
        <v>2025</v>
      </c>
    </row>
    <row r="2917" spans="1:7" hidden="1" x14ac:dyDescent="0.2">
      <c r="A2917" t="s">
        <v>35</v>
      </c>
      <c r="B2917" t="s">
        <v>49</v>
      </c>
      <c r="C2917">
        <v>9</v>
      </c>
      <c r="D2917" t="s">
        <v>127</v>
      </c>
      <c r="E2917" t="s">
        <v>556</v>
      </c>
      <c r="F2917">
        <v>2.7</v>
      </c>
      <c r="G2917">
        <v>2025</v>
      </c>
    </row>
    <row r="2918" spans="1:7" hidden="1" x14ac:dyDescent="0.2">
      <c r="A2918" t="s">
        <v>35</v>
      </c>
      <c r="B2918" t="s">
        <v>49</v>
      </c>
      <c r="C2918">
        <v>9</v>
      </c>
      <c r="D2918" t="s">
        <v>129</v>
      </c>
      <c r="E2918" t="s">
        <v>137</v>
      </c>
      <c r="F2918">
        <v>14</v>
      </c>
      <c r="G2918">
        <v>2025</v>
      </c>
    </row>
    <row r="2919" spans="1:7" hidden="1" x14ac:dyDescent="0.2">
      <c r="A2919" t="s">
        <v>35</v>
      </c>
      <c r="B2919" t="s">
        <v>49</v>
      </c>
      <c r="C2919">
        <v>9</v>
      </c>
      <c r="D2919" t="s">
        <v>131</v>
      </c>
      <c r="E2919" t="s">
        <v>559</v>
      </c>
      <c r="F2919">
        <v>12</v>
      </c>
      <c r="G2919">
        <v>2025</v>
      </c>
    </row>
    <row r="2920" spans="1:7" hidden="1" x14ac:dyDescent="0.2">
      <c r="A2920" t="s">
        <v>35</v>
      </c>
      <c r="B2920" t="s">
        <v>49</v>
      </c>
      <c r="C2920">
        <v>9</v>
      </c>
      <c r="D2920" t="s">
        <v>130</v>
      </c>
      <c r="E2920" t="s">
        <v>323</v>
      </c>
      <c r="F2920">
        <v>6</v>
      </c>
      <c r="G2920">
        <v>2025</v>
      </c>
    </row>
    <row r="2921" spans="1:7" hidden="1" x14ac:dyDescent="0.2">
      <c r="A2921" t="s">
        <v>35</v>
      </c>
      <c r="B2921" t="s">
        <v>49</v>
      </c>
      <c r="C2921">
        <v>9</v>
      </c>
      <c r="D2921" t="s">
        <v>294</v>
      </c>
      <c r="E2921" t="s">
        <v>262</v>
      </c>
      <c r="F2921">
        <v>9.3000000000000007</v>
      </c>
      <c r="G2921">
        <v>2025</v>
      </c>
    </row>
    <row r="2922" spans="1:7" hidden="1" x14ac:dyDescent="0.2">
      <c r="A2922" t="s">
        <v>18</v>
      </c>
      <c r="B2922" t="s">
        <v>20</v>
      </c>
      <c r="C2922">
        <v>9</v>
      </c>
      <c r="D2922" t="s">
        <v>125</v>
      </c>
      <c r="E2922" t="s">
        <v>325</v>
      </c>
      <c r="F2922">
        <v>27.2</v>
      </c>
      <c r="G2922">
        <v>2025</v>
      </c>
    </row>
    <row r="2923" spans="1:7" hidden="1" x14ac:dyDescent="0.2">
      <c r="A2923" t="s">
        <v>18</v>
      </c>
      <c r="B2923" t="s">
        <v>20</v>
      </c>
      <c r="C2923">
        <v>9</v>
      </c>
      <c r="D2923" t="s">
        <v>128</v>
      </c>
      <c r="E2923" t="s">
        <v>276</v>
      </c>
      <c r="F2923">
        <v>29.6</v>
      </c>
      <c r="G2923">
        <v>2025</v>
      </c>
    </row>
    <row r="2924" spans="1:7" hidden="1" x14ac:dyDescent="0.2">
      <c r="A2924" t="s">
        <v>18</v>
      </c>
      <c r="B2924" t="s">
        <v>20</v>
      </c>
      <c r="C2924">
        <v>9</v>
      </c>
      <c r="D2924" t="s">
        <v>128</v>
      </c>
      <c r="E2924" t="s">
        <v>248</v>
      </c>
      <c r="F2924">
        <v>18</v>
      </c>
      <c r="G2924">
        <v>2025</v>
      </c>
    </row>
    <row r="2925" spans="1:7" hidden="1" x14ac:dyDescent="0.2">
      <c r="A2925" t="s">
        <v>18</v>
      </c>
      <c r="B2925" t="s">
        <v>20</v>
      </c>
      <c r="C2925">
        <v>9</v>
      </c>
      <c r="D2925" t="s">
        <v>128</v>
      </c>
      <c r="E2925" t="s">
        <v>134</v>
      </c>
      <c r="F2925">
        <v>8.9</v>
      </c>
      <c r="G2925">
        <v>2025</v>
      </c>
    </row>
    <row r="2926" spans="1:7" hidden="1" x14ac:dyDescent="0.2">
      <c r="A2926" t="s">
        <v>18</v>
      </c>
      <c r="B2926" t="s">
        <v>20</v>
      </c>
      <c r="C2926">
        <v>9</v>
      </c>
      <c r="D2926" t="s">
        <v>127</v>
      </c>
      <c r="E2926" t="s">
        <v>208</v>
      </c>
      <c r="F2926">
        <v>13</v>
      </c>
      <c r="G2926">
        <v>2025</v>
      </c>
    </row>
    <row r="2927" spans="1:7" hidden="1" x14ac:dyDescent="0.2">
      <c r="A2927" t="s">
        <v>18</v>
      </c>
      <c r="B2927" t="s">
        <v>20</v>
      </c>
      <c r="C2927">
        <v>9</v>
      </c>
      <c r="D2927" t="s">
        <v>127</v>
      </c>
      <c r="E2927" t="s">
        <v>154</v>
      </c>
      <c r="F2927">
        <v>12.6</v>
      </c>
      <c r="G2927">
        <v>2025</v>
      </c>
    </row>
    <row r="2928" spans="1:7" hidden="1" x14ac:dyDescent="0.2">
      <c r="A2928" t="s">
        <v>18</v>
      </c>
      <c r="B2928" t="s">
        <v>20</v>
      </c>
      <c r="C2928">
        <v>9</v>
      </c>
      <c r="D2928" t="s">
        <v>129</v>
      </c>
      <c r="E2928" t="s">
        <v>327</v>
      </c>
      <c r="F2928">
        <v>3</v>
      </c>
      <c r="G2928">
        <v>2025</v>
      </c>
    </row>
    <row r="2929" spans="1:7" hidden="1" x14ac:dyDescent="0.2">
      <c r="A2929" t="s">
        <v>18</v>
      </c>
      <c r="B2929" t="s">
        <v>20</v>
      </c>
      <c r="C2929">
        <v>9</v>
      </c>
      <c r="D2929" t="s">
        <v>131</v>
      </c>
      <c r="E2929" t="s">
        <v>350</v>
      </c>
      <c r="F2929">
        <v>10</v>
      </c>
      <c r="G2929">
        <v>2025</v>
      </c>
    </row>
    <row r="2930" spans="1:7" hidden="1" x14ac:dyDescent="0.2">
      <c r="A2930" t="s">
        <v>18</v>
      </c>
      <c r="B2930" t="s">
        <v>20</v>
      </c>
      <c r="C2930">
        <v>9</v>
      </c>
      <c r="D2930" t="s">
        <v>130</v>
      </c>
      <c r="E2930" t="s">
        <v>194</v>
      </c>
      <c r="F2930">
        <v>6</v>
      </c>
      <c r="G2930">
        <v>2025</v>
      </c>
    </row>
    <row r="2931" spans="1:7" hidden="1" x14ac:dyDescent="0.2">
      <c r="A2931" t="s">
        <v>18</v>
      </c>
      <c r="B2931" t="s">
        <v>20</v>
      </c>
      <c r="C2931">
        <v>9</v>
      </c>
      <c r="D2931" t="s">
        <v>294</v>
      </c>
      <c r="E2931" t="s">
        <v>305</v>
      </c>
      <c r="F2931">
        <v>7.4</v>
      </c>
      <c r="G2931">
        <v>2025</v>
      </c>
    </row>
    <row r="2932" spans="1:7" hidden="1" x14ac:dyDescent="0.2">
      <c r="A2932" t="s">
        <v>77</v>
      </c>
      <c r="B2932" t="s">
        <v>45</v>
      </c>
      <c r="C2932">
        <v>9</v>
      </c>
      <c r="D2932" t="s">
        <v>125</v>
      </c>
      <c r="E2932" t="s">
        <v>577</v>
      </c>
      <c r="F2932">
        <v>18.920000000000002</v>
      </c>
      <c r="G2932">
        <v>2025</v>
      </c>
    </row>
    <row r="2933" spans="1:7" hidden="1" x14ac:dyDescent="0.2">
      <c r="A2933" t="s">
        <v>77</v>
      </c>
      <c r="B2933" t="s">
        <v>45</v>
      </c>
      <c r="C2933">
        <v>9</v>
      </c>
      <c r="D2933" t="s">
        <v>128</v>
      </c>
      <c r="E2933" t="s">
        <v>231</v>
      </c>
      <c r="F2933">
        <v>14.1</v>
      </c>
      <c r="G2933">
        <v>2025</v>
      </c>
    </row>
    <row r="2934" spans="1:7" hidden="1" x14ac:dyDescent="0.2">
      <c r="A2934" t="s">
        <v>77</v>
      </c>
      <c r="B2934" t="s">
        <v>45</v>
      </c>
      <c r="C2934">
        <v>9</v>
      </c>
      <c r="D2934" t="s">
        <v>128</v>
      </c>
      <c r="E2934" t="s">
        <v>187</v>
      </c>
      <c r="F2934">
        <v>14.2</v>
      </c>
      <c r="G2934">
        <v>2025</v>
      </c>
    </row>
    <row r="2935" spans="1:7" hidden="1" x14ac:dyDescent="0.2">
      <c r="A2935" t="s">
        <v>77</v>
      </c>
      <c r="B2935" t="s">
        <v>45</v>
      </c>
      <c r="C2935">
        <v>9</v>
      </c>
      <c r="D2935" t="s">
        <v>128</v>
      </c>
      <c r="E2935" t="s">
        <v>220</v>
      </c>
      <c r="F2935">
        <v>12.6</v>
      </c>
      <c r="G2935">
        <v>2025</v>
      </c>
    </row>
    <row r="2936" spans="1:7" hidden="1" x14ac:dyDescent="0.2">
      <c r="A2936" t="s">
        <v>77</v>
      </c>
      <c r="B2936" t="s">
        <v>45</v>
      </c>
      <c r="C2936">
        <v>9</v>
      </c>
      <c r="D2936" t="s">
        <v>127</v>
      </c>
      <c r="E2936" t="s">
        <v>136</v>
      </c>
      <c r="F2936">
        <v>6.8</v>
      </c>
      <c r="G2936">
        <v>2025</v>
      </c>
    </row>
    <row r="2937" spans="1:7" hidden="1" x14ac:dyDescent="0.2">
      <c r="A2937" t="s">
        <v>77</v>
      </c>
      <c r="B2937" t="s">
        <v>45</v>
      </c>
      <c r="C2937">
        <v>9</v>
      </c>
      <c r="D2937" t="s">
        <v>127</v>
      </c>
      <c r="E2937" t="s">
        <v>313</v>
      </c>
      <c r="F2937">
        <v>12</v>
      </c>
      <c r="G2937">
        <v>2025</v>
      </c>
    </row>
    <row r="2938" spans="1:7" hidden="1" x14ac:dyDescent="0.2">
      <c r="A2938" t="s">
        <v>77</v>
      </c>
      <c r="B2938" t="s">
        <v>45</v>
      </c>
      <c r="C2938">
        <v>9</v>
      </c>
      <c r="D2938" t="s">
        <v>129</v>
      </c>
      <c r="E2938" t="s">
        <v>165</v>
      </c>
      <c r="F2938">
        <v>7.1</v>
      </c>
      <c r="G2938">
        <v>2025</v>
      </c>
    </row>
    <row r="2939" spans="1:7" hidden="1" x14ac:dyDescent="0.2">
      <c r="A2939" t="s">
        <v>77</v>
      </c>
      <c r="B2939" t="s">
        <v>45</v>
      </c>
      <c r="C2939">
        <v>9</v>
      </c>
      <c r="D2939" t="s">
        <v>131</v>
      </c>
      <c r="E2939" t="s">
        <v>214</v>
      </c>
      <c r="F2939">
        <v>6</v>
      </c>
      <c r="G2939">
        <v>2025</v>
      </c>
    </row>
    <row r="2940" spans="1:7" hidden="1" x14ac:dyDescent="0.2">
      <c r="A2940" t="s">
        <v>77</v>
      </c>
      <c r="B2940" t="s">
        <v>45</v>
      </c>
      <c r="C2940">
        <v>9</v>
      </c>
      <c r="D2940" t="s">
        <v>130</v>
      </c>
      <c r="E2940" t="s">
        <v>211</v>
      </c>
      <c r="F2940">
        <v>12</v>
      </c>
      <c r="G2940">
        <v>2025</v>
      </c>
    </row>
    <row r="2941" spans="1:7" hidden="1" x14ac:dyDescent="0.2">
      <c r="A2941" t="s">
        <v>77</v>
      </c>
      <c r="B2941" t="s">
        <v>45</v>
      </c>
      <c r="C2941">
        <v>9</v>
      </c>
      <c r="D2941" t="s">
        <v>297</v>
      </c>
      <c r="E2941" t="s">
        <v>317</v>
      </c>
      <c r="F2941">
        <v>6.6</v>
      </c>
      <c r="G2941">
        <v>2025</v>
      </c>
    </row>
    <row r="2942" spans="1:7" hidden="1" x14ac:dyDescent="0.2">
      <c r="A2942" t="s">
        <v>26</v>
      </c>
      <c r="B2942" t="s">
        <v>28</v>
      </c>
      <c r="C2942">
        <v>9</v>
      </c>
      <c r="D2942" t="s">
        <v>125</v>
      </c>
      <c r="E2942" t="s">
        <v>544</v>
      </c>
      <c r="F2942">
        <v>27.24</v>
      </c>
      <c r="G2942">
        <v>2025</v>
      </c>
    </row>
    <row r="2943" spans="1:7" hidden="1" x14ac:dyDescent="0.2">
      <c r="A2943" t="s">
        <v>26</v>
      </c>
      <c r="B2943" t="s">
        <v>28</v>
      </c>
      <c r="C2943">
        <v>9</v>
      </c>
      <c r="D2943" t="s">
        <v>128</v>
      </c>
      <c r="E2943" t="s">
        <v>179</v>
      </c>
      <c r="F2943">
        <v>19.3</v>
      </c>
      <c r="G2943">
        <v>2025</v>
      </c>
    </row>
    <row r="2944" spans="1:7" hidden="1" x14ac:dyDescent="0.2">
      <c r="A2944" t="s">
        <v>26</v>
      </c>
      <c r="B2944" t="s">
        <v>28</v>
      </c>
      <c r="C2944">
        <v>9</v>
      </c>
      <c r="D2944" t="s">
        <v>128</v>
      </c>
      <c r="E2944" t="s">
        <v>288</v>
      </c>
      <c r="F2944">
        <v>9.5</v>
      </c>
      <c r="G2944">
        <v>2025</v>
      </c>
    </row>
    <row r="2945" spans="1:7" hidden="1" x14ac:dyDescent="0.2">
      <c r="A2945" t="s">
        <v>26</v>
      </c>
      <c r="B2945" t="s">
        <v>28</v>
      </c>
      <c r="C2945">
        <v>9</v>
      </c>
      <c r="D2945" t="s">
        <v>128</v>
      </c>
      <c r="E2945" t="s">
        <v>153</v>
      </c>
      <c r="F2945">
        <v>7.8</v>
      </c>
      <c r="G2945">
        <v>2025</v>
      </c>
    </row>
    <row r="2946" spans="1:7" hidden="1" x14ac:dyDescent="0.2">
      <c r="A2946" t="s">
        <v>26</v>
      </c>
      <c r="B2946" t="s">
        <v>28</v>
      </c>
      <c r="C2946">
        <v>9</v>
      </c>
      <c r="D2946" t="s">
        <v>127</v>
      </c>
      <c r="E2946" t="s">
        <v>519</v>
      </c>
      <c r="F2946">
        <v>17.399999999999999</v>
      </c>
      <c r="G2946">
        <v>2025</v>
      </c>
    </row>
    <row r="2947" spans="1:7" hidden="1" x14ac:dyDescent="0.2">
      <c r="A2947" t="s">
        <v>26</v>
      </c>
      <c r="B2947" t="s">
        <v>28</v>
      </c>
      <c r="C2947">
        <v>9</v>
      </c>
      <c r="D2947" t="s">
        <v>127</v>
      </c>
      <c r="E2947" t="s">
        <v>578</v>
      </c>
      <c r="F2947">
        <v>5.7</v>
      </c>
      <c r="G2947">
        <v>2025</v>
      </c>
    </row>
    <row r="2948" spans="1:7" hidden="1" x14ac:dyDescent="0.2">
      <c r="A2948" t="s">
        <v>26</v>
      </c>
      <c r="B2948" t="s">
        <v>28</v>
      </c>
      <c r="C2948">
        <v>9</v>
      </c>
      <c r="D2948" t="s">
        <v>129</v>
      </c>
      <c r="E2948" t="s">
        <v>376</v>
      </c>
      <c r="F2948">
        <v>8.1</v>
      </c>
      <c r="G2948">
        <v>2025</v>
      </c>
    </row>
    <row r="2949" spans="1:7" hidden="1" x14ac:dyDescent="0.2">
      <c r="A2949" t="s">
        <v>26</v>
      </c>
      <c r="B2949" t="s">
        <v>28</v>
      </c>
      <c r="C2949">
        <v>9</v>
      </c>
      <c r="D2949" t="s">
        <v>131</v>
      </c>
      <c r="E2949" t="s">
        <v>520</v>
      </c>
      <c r="F2949">
        <v>4</v>
      </c>
      <c r="G2949">
        <v>2025</v>
      </c>
    </row>
    <row r="2950" spans="1:7" x14ac:dyDescent="0.2">
      <c r="A2950" t="s">
        <v>26</v>
      </c>
      <c r="B2950" t="s">
        <v>28</v>
      </c>
      <c r="C2950">
        <v>9</v>
      </c>
      <c r="D2950" t="s">
        <v>130</v>
      </c>
      <c r="E2950" t="s">
        <v>281</v>
      </c>
      <c r="F2950">
        <v>1</v>
      </c>
      <c r="G2950">
        <v>2025</v>
      </c>
    </row>
    <row r="2951" spans="1:7" hidden="1" x14ac:dyDescent="0.2">
      <c r="A2951" t="s">
        <v>26</v>
      </c>
      <c r="B2951" t="s">
        <v>28</v>
      </c>
      <c r="C2951">
        <v>9</v>
      </c>
      <c r="D2951" t="s">
        <v>293</v>
      </c>
      <c r="E2951" t="s">
        <v>403</v>
      </c>
      <c r="F2951">
        <v>5.0999999999999996</v>
      </c>
      <c r="G2951">
        <v>2025</v>
      </c>
    </row>
    <row r="2952" spans="1:7" hidden="1" x14ac:dyDescent="0.2">
      <c r="A2952" t="s">
        <v>46</v>
      </c>
      <c r="B2952" t="s">
        <v>47</v>
      </c>
      <c r="C2952">
        <v>9</v>
      </c>
      <c r="D2952" t="s">
        <v>125</v>
      </c>
      <c r="E2952" t="s">
        <v>126</v>
      </c>
      <c r="F2952">
        <v>21.2</v>
      </c>
      <c r="G2952">
        <v>2025</v>
      </c>
    </row>
    <row r="2953" spans="1:7" hidden="1" x14ac:dyDescent="0.2">
      <c r="A2953" t="s">
        <v>46</v>
      </c>
      <c r="B2953" t="s">
        <v>47</v>
      </c>
      <c r="C2953">
        <v>9</v>
      </c>
      <c r="D2953" t="s">
        <v>128</v>
      </c>
      <c r="E2953" t="s">
        <v>178</v>
      </c>
      <c r="F2953">
        <v>11.2</v>
      </c>
      <c r="G2953">
        <v>2025</v>
      </c>
    </row>
    <row r="2954" spans="1:7" hidden="1" x14ac:dyDescent="0.2">
      <c r="A2954" t="s">
        <v>46</v>
      </c>
      <c r="B2954" t="s">
        <v>47</v>
      </c>
      <c r="C2954">
        <v>9</v>
      </c>
      <c r="D2954" t="s">
        <v>128</v>
      </c>
      <c r="E2954" t="s">
        <v>347</v>
      </c>
      <c r="F2954">
        <v>14.5</v>
      </c>
      <c r="G2954">
        <v>2025</v>
      </c>
    </row>
    <row r="2955" spans="1:7" hidden="1" x14ac:dyDescent="0.2">
      <c r="A2955" t="s">
        <v>46</v>
      </c>
      <c r="B2955" t="s">
        <v>47</v>
      </c>
      <c r="C2955">
        <v>9</v>
      </c>
      <c r="D2955" t="s">
        <v>128</v>
      </c>
      <c r="E2955" t="s">
        <v>172</v>
      </c>
      <c r="F2955">
        <v>20.98</v>
      </c>
      <c r="G2955">
        <v>2025</v>
      </c>
    </row>
    <row r="2956" spans="1:7" hidden="1" x14ac:dyDescent="0.2">
      <c r="A2956" t="s">
        <v>46</v>
      </c>
      <c r="B2956" t="s">
        <v>47</v>
      </c>
      <c r="C2956">
        <v>9</v>
      </c>
      <c r="D2956" t="s">
        <v>127</v>
      </c>
      <c r="E2956" t="s">
        <v>372</v>
      </c>
      <c r="F2956">
        <v>31.8</v>
      </c>
      <c r="G2956">
        <v>2025</v>
      </c>
    </row>
    <row r="2957" spans="1:7" hidden="1" x14ac:dyDescent="0.2">
      <c r="A2957" t="s">
        <v>46</v>
      </c>
      <c r="B2957" t="s">
        <v>47</v>
      </c>
      <c r="C2957">
        <v>9</v>
      </c>
      <c r="D2957" t="s">
        <v>127</v>
      </c>
      <c r="E2957" t="s">
        <v>579</v>
      </c>
      <c r="F2957">
        <v>0.5</v>
      </c>
      <c r="G2957">
        <v>2025</v>
      </c>
    </row>
    <row r="2958" spans="1:7" hidden="1" x14ac:dyDescent="0.2">
      <c r="A2958" t="s">
        <v>46</v>
      </c>
      <c r="B2958" t="s">
        <v>47</v>
      </c>
      <c r="C2958">
        <v>9</v>
      </c>
      <c r="D2958" t="s">
        <v>129</v>
      </c>
      <c r="E2958" t="s">
        <v>182</v>
      </c>
      <c r="F2958">
        <v>37.299999999999997</v>
      </c>
      <c r="G2958">
        <v>2025</v>
      </c>
    </row>
    <row r="2959" spans="1:7" hidden="1" x14ac:dyDescent="0.2">
      <c r="A2959" t="s">
        <v>46</v>
      </c>
      <c r="B2959" t="s">
        <v>47</v>
      </c>
      <c r="C2959">
        <v>9</v>
      </c>
      <c r="D2959" t="s">
        <v>131</v>
      </c>
      <c r="E2959" t="s">
        <v>242</v>
      </c>
      <c r="F2959">
        <v>9</v>
      </c>
      <c r="G2959">
        <v>2025</v>
      </c>
    </row>
    <row r="2960" spans="1:7" hidden="1" x14ac:dyDescent="0.2">
      <c r="A2960" t="s">
        <v>46</v>
      </c>
      <c r="B2960" t="s">
        <v>47</v>
      </c>
      <c r="C2960">
        <v>9</v>
      </c>
      <c r="D2960" t="s">
        <v>130</v>
      </c>
      <c r="E2960" t="s">
        <v>352</v>
      </c>
      <c r="F2960">
        <v>10</v>
      </c>
      <c r="G2960">
        <v>2025</v>
      </c>
    </row>
    <row r="2961" spans="1:7" hidden="1" x14ac:dyDescent="0.2">
      <c r="A2961" t="s">
        <v>46</v>
      </c>
      <c r="B2961" t="s">
        <v>47</v>
      </c>
      <c r="C2961">
        <v>9</v>
      </c>
      <c r="D2961" t="s">
        <v>294</v>
      </c>
      <c r="E2961" t="s">
        <v>549</v>
      </c>
      <c r="F2961">
        <v>0.9</v>
      </c>
      <c r="G2961">
        <v>2025</v>
      </c>
    </row>
    <row r="2962" spans="1:7" hidden="1" x14ac:dyDescent="0.2">
      <c r="A2962" t="s">
        <v>14</v>
      </c>
      <c r="B2962" t="s">
        <v>16</v>
      </c>
      <c r="C2962">
        <v>10</v>
      </c>
      <c r="D2962" t="s">
        <v>125</v>
      </c>
      <c r="E2962" t="s">
        <v>202</v>
      </c>
      <c r="F2962">
        <v>16.64</v>
      </c>
      <c r="G2962">
        <v>2025</v>
      </c>
    </row>
    <row r="2963" spans="1:7" hidden="1" x14ac:dyDescent="0.2">
      <c r="A2963" t="s">
        <v>14</v>
      </c>
      <c r="B2963" t="s">
        <v>16</v>
      </c>
      <c r="C2963">
        <v>10</v>
      </c>
      <c r="D2963" t="s">
        <v>128</v>
      </c>
      <c r="E2963" t="s">
        <v>223</v>
      </c>
      <c r="F2963">
        <v>5.5</v>
      </c>
      <c r="G2963">
        <v>2025</v>
      </c>
    </row>
    <row r="2964" spans="1:7" hidden="1" x14ac:dyDescent="0.2">
      <c r="A2964" t="s">
        <v>14</v>
      </c>
      <c r="B2964" t="s">
        <v>16</v>
      </c>
      <c r="C2964">
        <v>10</v>
      </c>
      <c r="D2964" t="s">
        <v>128</v>
      </c>
      <c r="E2964" t="s">
        <v>351</v>
      </c>
      <c r="F2964">
        <v>4.5</v>
      </c>
      <c r="G2964">
        <v>2025</v>
      </c>
    </row>
    <row r="2965" spans="1:7" hidden="1" x14ac:dyDescent="0.2">
      <c r="A2965" t="s">
        <v>14</v>
      </c>
      <c r="B2965" t="s">
        <v>16</v>
      </c>
      <c r="C2965">
        <v>10</v>
      </c>
      <c r="D2965" t="s">
        <v>128</v>
      </c>
      <c r="E2965" t="s">
        <v>254</v>
      </c>
      <c r="F2965">
        <v>2.9</v>
      </c>
      <c r="G2965">
        <v>2025</v>
      </c>
    </row>
    <row r="2966" spans="1:7" hidden="1" x14ac:dyDescent="0.2">
      <c r="A2966" t="s">
        <v>14</v>
      </c>
      <c r="B2966" t="s">
        <v>16</v>
      </c>
      <c r="C2966">
        <v>10</v>
      </c>
      <c r="D2966" t="s">
        <v>127</v>
      </c>
      <c r="E2966" t="s">
        <v>189</v>
      </c>
      <c r="F2966">
        <v>14.7</v>
      </c>
      <c r="G2966">
        <v>2025</v>
      </c>
    </row>
    <row r="2967" spans="1:7" hidden="1" x14ac:dyDescent="0.2">
      <c r="A2967" t="s">
        <v>14</v>
      </c>
      <c r="B2967" t="s">
        <v>16</v>
      </c>
      <c r="C2967">
        <v>10</v>
      </c>
      <c r="D2967" t="s">
        <v>127</v>
      </c>
      <c r="E2967" t="s">
        <v>555</v>
      </c>
      <c r="F2967">
        <v>11.9</v>
      </c>
      <c r="G2967">
        <v>2025</v>
      </c>
    </row>
    <row r="2968" spans="1:7" hidden="1" x14ac:dyDescent="0.2">
      <c r="A2968" t="s">
        <v>14</v>
      </c>
      <c r="B2968" t="s">
        <v>16</v>
      </c>
      <c r="C2968">
        <v>10</v>
      </c>
      <c r="D2968" t="s">
        <v>129</v>
      </c>
      <c r="E2968" t="s">
        <v>236</v>
      </c>
      <c r="F2968">
        <v>18.899999999999999</v>
      </c>
      <c r="G2968">
        <v>2025</v>
      </c>
    </row>
    <row r="2969" spans="1:7" hidden="1" x14ac:dyDescent="0.2">
      <c r="A2969" t="s">
        <v>14</v>
      </c>
      <c r="B2969" t="s">
        <v>16</v>
      </c>
      <c r="C2969">
        <v>10</v>
      </c>
      <c r="D2969" t="s">
        <v>131</v>
      </c>
      <c r="E2969" t="s">
        <v>580</v>
      </c>
      <c r="F2969">
        <v>0</v>
      </c>
      <c r="G2969">
        <v>2025</v>
      </c>
    </row>
    <row r="2970" spans="1:7" hidden="1" x14ac:dyDescent="0.2">
      <c r="A2970" t="s">
        <v>14</v>
      </c>
      <c r="B2970" t="s">
        <v>16</v>
      </c>
      <c r="C2970">
        <v>10</v>
      </c>
      <c r="D2970" t="s">
        <v>130</v>
      </c>
      <c r="E2970" t="s">
        <v>157</v>
      </c>
      <c r="F2970">
        <v>2</v>
      </c>
      <c r="G2970">
        <v>2025</v>
      </c>
    </row>
    <row r="2971" spans="1:7" hidden="1" x14ac:dyDescent="0.2">
      <c r="A2971" t="s">
        <v>14</v>
      </c>
      <c r="B2971" t="s">
        <v>16</v>
      </c>
      <c r="C2971">
        <v>10</v>
      </c>
      <c r="D2971" t="s">
        <v>293</v>
      </c>
      <c r="E2971" t="s">
        <v>570</v>
      </c>
      <c r="F2971">
        <v>8.8000000000000007</v>
      </c>
      <c r="G2971">
        <v>2025</v>
      </c>
    </row>
    <row r="2972" spans="1:7" hidden="1" x14ac:dyDescent="0.2">
      <c r="A2972" t="s">
        <v>31</v>
      </c>
      <c r="B2972" t="s">
        <v>33</v>
      </c>
      <c r="C2972">
        <v>10</v>
      </c>
      <c r="D2972" t="s">
        <v>125</v>
      </c>
      <c r="E2972" t="s">
        <v>334</v>
      </c>
      <c r="F2972">
        <v>15.5</v>
      </c>
      <c r="G2972">
        <v>2025</v>
      </c>
    </row>
    <row r="2973" spans="1:7" hidden="1" x14ac:dyDescent="0.2">
      <c r="A2973" t="s">
        <v>31</v>
      </c>
      <c r="B2973" t="s">
        <v>33</v>
      </c>
      <c r="C2973">
        <v>10</v>
      </c>
      <c r="D2973" t="s">
        <v>128</v>
      </c>
      <c r="E2973" t="s">
        <v>280</v>
      </c>
      <c r="F2973">
        <v>17.600000000000001</v>
      </c>
      <c r="G2973">
        <v>2025</v>
      </c>
    </row>
    <row r="2974" spans="1:7" hidden="1" x14ac:dyDescent="0.2">
      <c r="A2974" t="s">
        <v>31</v>
      </c>
      <c r="B2974" t="s">
        <v>33</v>
      </c>
      <c r="C2974">
        <v>10</v>
      </c>
      <c r="D2974" t="s">
        <v>128</v>
      </c>
      <c r="E2974" t="s">
        <v>292</v>
      </c>
      <c r="F2974">
        <v>14.1</v>
      </c>
      <c r="G2974">
        <v>2025</v>
      </c>
    </row>
    <row r="2975" spans="1:7" hidden="1" x14ac:dyDescent="0.2">
      <c r="A2975" t="s">
        <v>31</v>
      </c>
      <c r="B2975" t="s">
        <v>33</v>
      </c>
      <c r="C2975">
        <v>10</v>
      </c>
      <c r="D2975" t="s">
        <v>128</v>
      </c>
      <c r="E2975" t="s">
        <v>219</v>
      </c>
      <c r="F2975">
        <v>5</v>
      </c>
      <c r="G2975">
        <v>2025</v>
      </c>
    </row>
    <row r="2976" spans="1:7" hidden="1" x14ac:dyDescent="0.2">
      <c r="A2976" t="s">
        <v>31</v>
      </c>
      <c r="B2976" t="s">
        <v>33</v>
      </c>
      <c r="C2976">
        <v>10</v>
      </c>
      <c r="D2976" t="s">
        <v>127</v>
      </c>
      <c r="E2976" t="s">
        <v>318</v>
      </c>
      <c r="F2976">
        <v>13.8</v>
      </c>
      <c r="G2976">
        <v>2025</v>
      </c>
    </row>
    <row r="2977" spans="1:7" hidden="1" x14ac:dyDescent="0.2">
      <c r="A2977" t="s">
        <v>31</v>
      </c>
      <c r="B2977" t="s">
        <v>33</v>
      </c>
      <c r="C2977">
        <v>10</v>
      </c>
      <c r="D2977" t="s">
        <v>127</v>
      </c>
      <c r="E2977" t="s">
        <v>174</v>
      </c>
      <c r="F2977">
        <v>9.8000000000000007</v>
      </c>
      <c r="G2977">
        <v>2025</v>
      </c>
    </row>
    <row r="2978" spans="1:7" hidden="1" x14ac:dyDescent="0.2">
      <c r="A2978" t="s">
        <v>31</v>
      </c>
      <c r="B2978" t="s">
        <v>33</v>
      </c>
      <c r="C2978">
        <v>10</v>
      </c>
      <c r="D2978" t="s">
        <v>129</v>
      </c>
      <c r="E2978" t="s">
        <v>530</v>
      </c>
      <c r="F2978">
        <v>13.9</v>
      </c>
      <c r="G2978">
        <v>2025</v>
      </c>
    </row>
    <row r="2979" spans="1:7" hidden="1" x14ac:dyDescent="0.2">
      <c r="A2979" t="s">
        <v>31</v>
      </c>
      <c r="B2979" t="s">
        <v>33</v>
      </c>
      <c r="C2979">
        <v>10</v>
      </c>
      <c r="D2979" t="s">
        <v>131</v>
      </c>
      <c r="E2979" t="s">
        <v>183</v>
      </c>
      <c r="F2979">
        <v>4</v>
      </c>
      <c r="G2979">
        <v>2025</v>
      </c>
    </row>
    <row r="2980" spans="1:7" hidden="1" x14ac:dyDescent="0.2">
      <c r="A2980" t="s">
        <v>31</v>
      </c>
      <c r="B2980" t="s">
        <v>33</v>
      </c>
      <c r="C2980">
        <v>10</v>
      </c>
      <c r="D2980" t="s">
        <v>130</v>
      </c>
      <c r="E2980" t="s">
        <v>184</v>
      </c>
      <c r="F2980">
        <v>4</v>
      </c>
      <c r="G2980">
        <v>2025</v>
      </c>
    </row>
    <row r="2981" spans="1:7" hidden="1" x14ac:dyDescent="0.2">
      <c r="A2981" t="s">
        <v>31</v>
      </c>
      <c r="B2981" t="s">
        <v>33</v>
      </c>
      <c r="C2981">
        <v>10</v>
      </c>
      <c r="D2981" t="s">
        <v>293</v>
      </c>
      <c r="E2981" t="s">
        <v>259</v>
      </c>
      <c r="F2981">
        <v>8.9</v>
      </c>
      <c r="G2981">
        <v>2025</v>
      </c>
    </row>
    <row r="2982" spans="1:7" hidden="1" x14ac:dyDescent="0.2">
      <c r="A2982" t="s">
        <v>42</v>
      </c>
      <c r="B2982" t="s">
        <v>17</v>
      </c>
      <c r="C2982">
        <v>10</v>
      </c>
      <c r="D2982" t="s">
        <v>125</v>
      </c>
      <c r="E2982" t="s">
        <v>581</v>
      </c>
      <c r="F2982">
        <v>10.98</v>
      </c>
      <c r="G2982">
        <v>2025</v>
      </c>
    </row>
    <row r="2983" spans="1:7" hidden="1" x14ac:dyDescent="0.2">
      <c r="A2983" t="s">
        <v>42</v>
      </c>
      <c r="B2983" t="s">
        <v>17</v>
      </c>
      <c r="C2983">
        <v>10</v>
      </c>
      <c r="D2983" t="s">
        <v>128</v>
      </c>
      <c r="E2983" t="s">
        <v>232</v>
      </c>
      <c r="F2983">
        <v>19.100000000000001</v>
      </c>
      <c r="G2983">
        <v>2025</v>
      </c>
    </row>
    <row r="2984" spans="1:7" hidden="1" x14ac:dyDescent="0.2">
      <c r="A2984" t="s">
        <v>42</v>
      </c>
      <c r="B2984" t="s">
        <v>17</v>
      </c>
      <c r="C2984">
        <v>10</v>
      </c>
      <c r="D2984" t="s">
        <v>128</v>
      </c>
      <c r="E2984" t="s">
        <v>146</v>
      </c>
      <c r="F2984">
        <v>10.9</v>
      </c>
      <c r="G2984">
        <v>2025</v>
      </c>
    </row>
    <row r="2985" spans="1:7" hidden="1" x14ac:dyDescent="0.2">
      <c r="A2985" t="s">
        <v>42</v>
      </c>
      <c r="B2985" t="s">
        <v>17</v>
      </c>
      <c r="C2985">
        <v>10</v>
      </c>
      <c r="D2985" t="s">
        <v>128</v>
      </c>
      <c r="E2985" t="s">
        <v>315</v>
      </c>
      <c r="F2985">
        <v>9.1999999999999993</v>
      </c>
      <c r="G2985">
        <v>2025</v>
      </c>
    </row>
    <row r="2986" spans="1:7" hidden="1" x14ac:dyDescent="0.2">
      <c r="A2986" t="s">
        <v>42</v>
      </c>
      <c r="B2986" t="s">
        <v>17</v>
      </c>
      <c r="C2986">
        <v>10</v>
      </c>
      <c r="D2986" t="s">
        <v>127</v>
      </c>
      <c r="E2986" t="s">
        <v>180</v>
      </c>
      <c r="F2986">
        <v>17.2</v>
      </c>
      <c r="G2986">
        <v>2025</v>
      </c>
    </row>
    <row r="2987" spans="1:7" hidden="1" x14ac:dyDescent="0.2">
      <c r="A2987" t="s">
        <v>42</v>
      </c>
      <c r="B2987" t="s">
        <v>17</v>
      </c>
      <c r="C2987">
        <v>10</v>
      </c>
      <c r="D2987" t="s">
        <v>127</v>
      </c>
      <c r="E2987" t="s">
        <v>568</v>
      </c>
      <c r="F2987">
        <v>17.3</v>
      </c>
      <c r="G2987">
        <v>2025</v>
      </c>
    </row>
    <row r="2988" spans="1:7" hidden="1" x14ac:dyDescent="0.2">
      <c r="A2988" t="s">
        <v>42</v>
      </c>
      <c r="B2988" t="s">
        <v>17</v>
      </c>
      <c r="C2988">
        <v>10</v>
      </c>
      <c r="D2988" t="s">
        <v>129</v>
      </c>
      <c r="E2988" t="s">
        <v>245</v>
      </c>
      <c r="F2988">
        <v>14.8</v>
      </c>
      <c r="G2988">
        <v>2025</v>
      </c>
    </row>
    <row r="2989" spans="1:7" hidden="1" x14ac:dyDescent="0.2">
      <c r="A2989" t="s">
        <v>42</v>
      </c>
      <c r="B2989" t="s">
        <v>17</v>
      </c>
      <c r="C2989">
        <v>10</v>
      </c>
      <c r="D2989" t="s">
        <v>131</v>
      </c>
      <c r="E2989" t="s">
        <v>339</v>
      </c>
      <c r="F2989">
        <v>5</v>
      </c>
      <c r="G2989">
        <v>2025</v>
      </c>
    </row>
    <row r="2990" spans="1:7" hidden="1" x14ac:dyDescent="0.2">
      <c r="A2990" t="s">
        <v>42</v>
      </c>
      <c r="B2990" t="s">
        <v>17</v>
      </c>
      <c r="C2990">
        <v>10</v>
      </c>
      <c r="D2990" t="s">
        <v>130</v>
      </c>
      <c r="E2990" t="s">
        <v>260</v>
      </c>
      <c r="F2990">
        <v>7</v>
      </c>
      <c r="G2990">
        <v>2025</v>
      </c>
    </row>
    <row r="2991" spans="1:7" hidden="1" x14ac:dyDescent="0.2">
      <c r="A2991" t="s">
        <v>42</v>
      </c>
      <c r="B2991" t="s">
        <v>17</v>
      </c>
      <c r="C2991">
        <v>10</v>
      </c>
      <c r="D2991" t="s">
        <v>294</v>
      </c>
      <c r="E2991" t="s">
        <v>522</v>
      </c>
      <c r="F2991">
        <v>8.5</v>
      </c>
      <c r="G2991">
        <v>2025</v>
      </c>
    </row>
    <row r="2992" spans="1:7" hidden="1" x14ac:dyDescent="0.2">
      <c r="A2992" t="s">
        <v>524</v>
      </c>
      <c r="B2992" t="s">
        <v>21</v>
      </c>
      <c r="C2992">
        <v>10</v>
      </c>
      <c r="D2992" t="s">
        <v>125</v>
      </c>
      <c r="E2992" t="s">
        <v>212</v>
      </c>
      <c r="F2992">
        <v>19.34</v>
      </c>
      <c r="G2992">
        <v>2025</v>
      </c>
    </row>
    <row r="2993" spans="1:7" hidden="1" x14ac:dyDescent="0.2">
      <c r="A2993" t="s">
        <v>524</v>
      </c>
      <c r="B2993" t="s">
        <v>21</v>
      </c>
      <c r="C2993">
        <v>10</v>
      </c>
      <c r="D2993" t="s">
        <v>128</v>
      </c>
      <c r="E2993" t="s">
        <v>304</v>
      </c>
      <c r="F2993">
        <v>2.9</v>
      </c>
      <c r="G2993">
        <v>2025</v>
      </c>
    </row>
    <row r="2994" spans="1:7" hidden="1" x14ac:dyDescent="0.2">
      <c r="A2994" t="s">
        <v>524</v>
      </c>
      <c r="B2994" t="s">
        <v>21</v>
      </c>
      <c r="C2994">
        <v>10</v>
      </c>
      <c r="D2994" t="s">
        <v>128</v>
      </c>
      <c r="E2994" t="s">
        <v>370</v>
      </c>
      <c r="F2994">
        <v>16.399999999999999</v>
      </c>
      <c r="G2994">
        <v>2025</v>
      </c>
    </row>
    <row r="2995" spans="1:7" hidden="1" x14ac:dyDescent="0.2">
      <c r="A2995" t="s">
        <v>524</v>
      </c>
      <c r="B2995" t="s">
        <v>21</v>
      </c>
      <c r="C2995">
        <v>10</v>
      </c>
      <c r="D2995" t="s">
        <v>128</v>
      </c>
      <c r="E2995" t="s">
        <v>552</v>
      </c>
      <c r="F2995">
        <v>12.5</v>
      </c>
      <c r="G2995">
        <v>2025</v>
      </c>
    </row>
    <row r="2996" spans="1:7" hidden="1" x14ac:dyDescent="0.2">
      <c r="A2996" t="s">
        <v>524</v>
      </c>
      <c r="B2996" t="s">
        <v>21</v>
      </c>
      <c r="C2996">
        <v>10</v>
      </c>
      <c r="D2996" t="s">
        <v>127</v>
      </c>
      <c r="E2996" t="s">
        <v>528</v>
      </c>
      <c r="F2996">
        <v>27.5</v>
      </c>
      <c r="G2996">
        <v>2025</v>
      </c>
    </row>
    <row r="2997" spans="1:7" hidden="1" x14ac:dyDescent="0.2">
      <c r="A2997" t="s">
        <v>524</v>
      </c>
      <c r="B2997" t="s">
        <v>21</v>
      </c>
      <c r="C2997">
        <v>10</v>
      </c>
      <c r="D2997" t="s">
        <v>127</v>
      </c>
      <c r="E2997" t="s">
        <v>216</v>
      </c>
      <c r="F2997">
        <v>11.6</v>
      </c>
      <c r="G2997">
        <v>2025</v>
      </c>
    </row>
    <row r="2998" spans="1:7" hidden="1" x14ac:dyDescent="0.2">
      <c r="A2998" t="s">
        <v>524</v>
      </c>
      <c r="B2998" t="s">
        <v>21</v>
      </c>
      <c r="C2998">
        <v>10</v>
      </c>
      <c r="D2998" t="s">
        <v>129</v>
      </c>
      <c r="E2998" t="s">
        <v>331</v>
      </c>
      <c r="F2998">
        <v>12.7</v>
      </c>
      <c r="G2998">
        <v>2025</v>
      </c>
    </row>
    <row r="2999" spans="1:7" hidden="1" x14ac:dyDescent="0.2">
      <c r="A2999" t="s">
        <v>524</v>
      </c>
      <c r="B2999" t="s">
        <v>21</v>
      </c>
      <c r="C2999">
        <v>10</v>
      </c>
      <c r="D2999" t="s">
        <v>131</v>
      </c>
      <c r="E2999" t="s">
        <v>357</v>
      </c>
      <c r="F2999">
        <v>9</v>
      </c>
      <c r="G2999">
        <v>2025</v>
      </c>
    </row>
    <row r="3000" spans="1:7" hidden="1" x14ac:dyDescent="0.2">
      <c r="A3000" t="s">
        <v>524</v>
      </c>
      <c r="B3000" t="s">
        <v>21</v>
      </c>
      <c r="C3000">
        <v>10</v>
      </c>
      <c r="D3000" t="s">
        <v>130</v>
      </c>
      <c r="E3000" t="s">
        <v>326</v>
      </c>
      <c r="F3000">
        <v>7</v>
      </c>
      <c r="G3000">
        <v>2025</v>
      </c>
    </row>
    <row r="3001" spans="1:7" hidden="1" x14ac:dyDescent="0.2">
      <c r="A3001" t="s">
        <v>524</v>
      </c>
      <c r="B3001" t="s">
        <v>21</v>
      </c>
      <c r="C3001">
        <v>10</v>
      </c>
      <c r="D3001" t="s">
        <v>293</v>
      </c>
      <c r="E3001" t="s">
        <v>181</v>
      </c>
      <c r="F3001">
        <v>9.6</v>
      </c>
      <c r="G3001">
        <v>2025</v>
      </c>
    </row>
    <row r="3002" spans="1:7" hidden="1" x14ac:dyDescent="0.2">
      <c r="A3002" t="s">
        <v>521</v>
      </c>
      <c r="B3002" t="s">
        <v>29</v>
      </c>
      <c r="C3002">
        <v>10</v>
      </c>
      <c r="D3002" t="s">
        <v>125</v>
      </c>
      <c r="E3002" t="s">
        <v>582</v>
      </c>
      <c r="F3002">
        <v>18.100000000000001</v>
      </c>
      <c r="G3002">
        <v>2025</v>
      </c>
    </row>
    <row r="3003" spans="1:7" hidden="1" x14ac:dyDescent="0.2">
      <c r="A3003" t="s">
        <v>521</v>
      </c>
      <c r="B3003" t="s">
        <v>29</v>
      </c>
      <c r="C3003">
        <v>10</v>
      </c>
      <c r="D3003" t="s">
        <v>128</v>
      </c>
      <c r="E3003" t="s">
        <v>199</v>
      </c>
      <c r="F3003">
        <v>13.1</v>
      </c>
      <c r="G3003">
        <v>2025</v>
      </c>
    </row>
    <row r="3004" spans="1:7" hidden="1" x14ac:dyDescent="0.2">
      <c r="A3004" t="s">
        <v>521</v>
      </c>
      <c r="B3004" t="s">
        <v>29</v>
      </c>
      <c r="C3004">
        <v>10</v>
      </c>
      <c r="D3004" t="s">
        <v>128</v>
      </c>
      <c r="E3004" t="s">
        <v>162</v>
      </c>
      <c r="F3004">
        <v>12.8</v>
      </c>
      <c r="G3004">
        <v>2025</v>
      </c>
    </row>
    <row r="3005" spans="1:7" hidden="1" x14ac:dyDescent="0.2">
      <c r="A3005" t="s">
        <v>521</v>
      </c>
      <c r="B3005" t="s">
        <v>29</v>
      </c>
      <c r="C3005">
        <v>10</v>
      </c>
      <c r="D3005" t="s">
        <v>128</v>
      </c>
      <c r="E3005" t="s">
        <v>151</v>
      </c>
      <c r="F3005">
        <v>16.7</v>
      </c>
      <c r="G3005">
        <v>2025</v>
      </c>
    </row>
    <row r="3006" spans="1:7" hidden="1" x14ac:dyDescent="0.2">
      <c r="A3006" t="s">
        <v>521</v>
      </c>
      <c r="B3006" t="s">
        <v>29</v>
      </c>
      <c r="C3006">
        <v>10</v>
      </c>
      <c r="D3006" t="s">
        <v>127</v>
      </c>
      <c r="E3006" t="s">
        <v>198</v>
      </c>
      <c r="F3006">
        <v>48.1</v>
      </c>
      <c r="G3006">
        <v>2025</v>
      </c>
    </row>
    <row r="3007" spans="1:7" hidden="1" x14ac:dyDescent="0.2">
      <c r="A3007" t="s">
        <v>521</v>
      </c>
      <c r="B3007" t="s">
        <v>29</v>
      </c>
      <c r="C3007">
        <v>10</v>
      </c>
      <c r="D3007" t="s">
        <v>127</v>
      </c>
      <c r="E3007" t="s">
        <v>175</v>
      </c>
      <c r="F3007">
        <v>10.1</v>
      </c>
      <c r="G3007">
        <v>2025</v>
      </c>
    </row>
    <row r="3008" spans="1:7" hidden="1" x14ac:dyDescent="0.2">
      <c r="A3008" t="s">
        <v>521</v>
      </c>
      <c r="B3008" t="s">
        <v>29</v>
      </c>
      <c r="C3008">
        <v>10</v>
      </c>
      <c r="D3008" t="s">
        <v>129</v>
      </c>
      <c r="E3008" t="s">
        <v>209</v>
      </c>
      <c r="F3008">
        <v>4.7</v>
      </c>
      <c r="G3008">
        <v>2025</v>
      </c>
    </row>
    <row r="3009" spans="1:7" hidden="1" x14ac:dyDescent="0.2">
      <c r="A3009" t="s">
        <v>521</v>
      </c>
      <c r="B3009" t="s">
        <v>29</v>
      </c>
      <c r="C3009">
        <v>10</v>
      </c>
      <c r="D3009" t="s">
        <v>131</v>
      </c>
      <c r="E3009" t="s">
        <v>374</v>
      </c>
      <c r="F3009">
        <v>10</v>
      </c>
      <c r="G3009">
        <v>2025</v>
      </c>
    </row>
    <row r="3010" spans="1:7" hidden="1" x14ac:dyDescent="0.2">
      <c r="A3010" t="s">
        <v>521</v>
      </c>
      <c r="B3010" t="s">
        <v>29</v>
      </c>
      <c r="C3010">
        <v>10</v>
      </c>
      <c r="D3010" t="s">
        <v>130</v>
      </c>
      <c r="E3010" t="s">
        <v>251</v>
      </c>
      <c r="F3010">
        <v>8</v>
      </c>
      <c r="G3010">
        <v>2025</v>
      </c>
    </row>
    <row r="3011" spans="1:7" hidden="1" x14ac:dyDescent="0.2">
      <c r="A3011" t="s">
        <v>521</v>
      </c>
      <c r="B3011" t="s">
        <v>29</v>
      </c>
      <c r="C3011">
        <v>10</v>
      </c>
      <c r="D3011" t="s">
        <v>294</v>
      </c>
      <c r="E3011" t="s">
        <v>171</v>
      </c>
      <c r="F3011">
        <v>5.7</v>
      </c>
      <c r="G3011">
        <v>2025</v>
      </c>
    </row>
    <row r="3012" spans="1:7" hidden="1" x14ac:dyDescent="0.2">
      <c r="A3012" t="s">
        <v>35</v>
      </c>
      <c r="B3012" t="s">
        <v>49</v>
      </c>
      <c r="C3012">
        <v>10</v>
      </c>
      <c r="D3012" t="s">
        <v>125</v>
      </c>
      <c r="E3012" t="s">
        <v>168</v>
      </c>
      <c r="F3012">
        <v>12.02</v>
      </c>
      <c r="G3012">
        <v>2025</v>
      </c>
    </row>
    <row r="3013" spans="1:7" hidden="1" x14ac:dyDescent="0.2">
      <c r="A3013" t="s">
        <v>35</v>
      </c>
      <c r="B3013" t="s">
        <v>49</v>
      </c>
      <c r="C3013">
        <v>10</v>
      </c>
      <c r="D3013" t="s">
        <v>128</v>
      </c>
      <c r="E3013" t="s">
        <v>188</v>
      </c>
      <c r="F3013">
        <v>21.4</v>
      </c>
      <c r="G3013">
        <v>2025</v>
      </c>
    </row>
    <row r="3014" spans="1:7" hidden="1" x14ac:dyDescent="0.2">
      <c r="A3014" t="s">
        <v>35</v>
      </c>
      <c r="B3014" t="s">
        <v>49</v>
      </c>
      <c r="C3014">
        <v>10</v>
      </c>
      <c r="D3014" t="s">
        <v>128</v>
      </c>
      <c r="E3014" t="s">
        <v>205</v>
      </c>
      <c r="F3014">
        <v>14.9</v>
      </c>
      <c r="G3014">
        <v>2025</v>
      </c>
    </row>
    <row r="3015" spans="1:7" hidden="1" x14ac:dyDescent="0.2">
      <c r="A3015" t="s">
        <v>35</v>
      </c>
      <c r="B3015" t="s">
        <v>49</v>
      </c>
      <c r="C3015">
        <v>10</v>
      </c>
      <c r="D3015" t="s">
        <v>128</v>
      </c>
      <c r="E3015" t="s">
        <v>262</v>
      </c>
      <c r="F3015">
        <v>2.8</v>
      </c>
      <c r="G3015">
        <v>2025</v>
      </c>
    </row>
    <row r="3016" spans="1:7" hidden="1" x14ac:dyDescent="0.2">
      <c r="A3016" t="s">
        <v>35</v>
      </c>
      <c r="B3016" t="s">
        <v>49</v>
      </c>
      <c r="C3016">
        <v>10</v>
      </c>
      <c r="D3016" t="s">
        <v>127</v>
      </c>
      <c r="E3016" t="s">
        <v>256</v>
      </c>
      <c r="F3016">
        <v>21.4</v>
      </c>
      <c r="G3016">
        <v>2025</v>
      </c>
    </row>
    <row r="3017" spans="1:7" hidden="1" x14ac:dyDescent="0.2">
      <c r="A3017" t="s">
        <v>35</v>
      </c>
      <c r="B3017" t="s">
        <v>49</v>
      </c>
      <c r="C3017">
        <v>10</v>
      </c>
      <c r="D3017" t="s">
        <v>127</v>
      </c>
      <c r="E3017" t="s">
        <v>556</v>
      </c>
      <c r="F3017">
        <v>15.1</v>
      </c>
      <c r="G3017">
        <v>2025</v>
      </c>
    </row>
    <row r="3018" spans="1:7" hidden="1" x14ac:dyDescent="0.2">
      <c r="A3018" t="s">
        <v>35</v>
      </c>
      <c r="B3018" t="s">
        <v>49</v>
      </c>
      <c r="C3018">
        <v>10</v>
      </c>
      <c r="D3018" t="s">
        <v>129</v>
      </c>
      <c r="E3018" t="s">
        <v>137</v>
      </c>
      <c r="F3018">
        <v>23.2</v>
      </c>
      <c r="G3018">
        <v>2025</v>
      </c>
    </row>
    <row r="3019" spans="1:7" hidden="1" x14ac:dyDescent="0.2">
      <c r="A3019" t="s">
        <v>35</v>
      </c>
      <c r="B3019" t="s">
        <v>49</v>
      </c>
      <c r="C3019">
        <v>10</v>
      </c>
      <c r="D3019" t="s">
        <v>131</v>
      </c>
      <c r="E3019" t="s">
        <v>559</v>
      </c>
      <c r="F3019">
        <v>1</v>
      </c>
      <c r="G3019">
        <v>2025</v>
      </c>
    </row>
    <row r="3020" spans="1:7" hidden="1" x14ac:dyDescent="0.2">
      <c r="A3020" t="s">
        <v>35</v>
      </c>
      <c r="B3020" t="s">
        <v>49</v>
      </c>
      <c r="C3020">
        <v>10</v>
      </c>
      <c r="D3020" t="s">
        <v>130</v>
      </c>
      <c r="E3020" t="s">
        <v>323</v>
      </c>
      <c r="F3020">
        <v>17</v>
      </c>
      <c r="G3020">
        <v>2025</v>
      </c>
    </row>
    <row r="3021" spans="1:7" hidden="1" x14ac:dyDescent="0.2">
      <c r="A3021" t="s">
        <v>35</v>
      </c>
      <c r="B3021" t="s">
        <v>49</v>
      </c>
      <c r="C3021">
        <v>10</v>
      </c>
      <c r="D3021" t="s">
        <v>293</v>
      </c>
      <c r="E3021" t="s">
        <v>534</v>
      </c>
      <c r="F3021">
        <v>2.8</v>
      </c>
      <c r="G3021">
        <v>2025</v>
      </c>
    </row>
    <row r="3022" spans="1:7" hidden="1" x14ac:dyDescent="0.2">
      <c r="A3022" t="s">
        <v>525</v>
      </c>
      <c r="B3022" t="s">
        <v>36</v>
      </c>
      <c r="C3022">
        <v>10</v>
      </c>
      <c r="D3022" t="s">
        <v>125</v>
      </c>
      <c r="E3022" t="s">
        <v>386</v>
      </c>
      <c r="F3022">
        <v>14.7</v>
      </c>
      <c r="G3022">
        <v>2025</v>
      </c>
    </row>
    <row r="3023" spans="1:7" hidden="1" x14ac:dyDescent="0.2">
      <c r="A3023" t="s">
        <v>525</v>
      </c>
      <c r="B3023" t="s">
        <v>36</v>
      </c>
      <c r="C3023">
        <v>10</v>
      </c>
      <c r="D3023" t="s">
        <v>128</v>
      </c>
      <c r="E3023" t="s">
        <v>527</v>
      </c>
      <c r="F3023">
        <v>20.5</v>
      </c>
      <c r="G3023">
        <v>2025</v>
      </c>
    </row>
    <row r="3024" spans="1:7" hidden="1" x14ac:dyDescent="0.2">
      <c r="A3024" t="s">
        <v>525</v>
      </c>
      <c r="B3024" t="s">
        <v>36</v>
      </c>
      <c r="C3024">
        <v>10</v>
      </c>
      <c r="D3024" t="s">
        <v>128</v>
      </c>
      <c r="E3024" t="s">
        <v>161</v>
      </c>
      <c r="F3024">
        <v>18.899999999999999</v>
      </c>
      <c r="G3024">
        <v>2025</v>
      </c>
    </row>
    <row r="3025" spans="1:7" hidden="1" x14ac:dyDescent="0.2">
      <c r="A3025" t="s">
        <v>525</v>
      </c>
      <c r="B3025" t="s">
        <v>36</v>
      </c>
      <c r="C3025">
        <v>10</v>
      </c>
      <c r="D3025" t="s">
        <v>128</v>
      </c>
      <c r="E3025" t="s">
        <v>298</v>
      </c>
      <c r="F3025">
        <v>6.7</v>
      </c>
      <c r="G3025">
        <v>2025</v>
      </c>
    </row>
    <row r="3026" spans="1:7" hidden="1" x14ac:dyDescent="0.2">
      <c r="A3026" t="s">
        <v>525</v>
      </c>
      <c r="B3026" t="s">
        <v>36</v>
      </c>
      <c r="C3026">
        <v>10</v>
      </c>
      <c r="D3026" t="s">
        <v>127</v>
      </c>
      <c r="E3026" t="s">
        <v>207</v>
      </c>
      <c r="F3026">
        <v>36.700000000000003</v>
      </c>
      <c r="G3026">
        <v>2025</v>
      </c>
    </row>
    <row r="3027" spans="1:7" hidden="1" x14ac:dyDescent="0.2">
      <c r="A3027" t="s">
        <v>525</v>
      </c>
      <c r="B3027" t="s">
        <v>36</v>
      </c>
      <c r="C3027">
        <v>10</v>
      </c>
      <c r="D3027" t="s">
        <v>127</v>
      </c>
      <c r="E3027" t="s">
        <v>217</v>
      </c>
      <c r="F3027">
        <v>7.9</v>
      </c>
      <c r="G3027">
        <v>2025</v>
      </c>
    </row>
    <row r="3028" spans="1:7" hidden="1" x14ac:dyDescent="0.2">
      <c r="A3028" t="s">
        <v>525</v>
      </c>
      <c r="B3028" t="s">
        <v>36</v>
      </c>
      <c r="C3028">
        <v>10</v>
      </c>
      <c r="D3028" t="s">
        <v>129</v>
      </c>
      <c r="E3028" t="s">
        <v>156</v>
      </c>
      <c r="F3028">
        <v>7.8</v>
      </c>
      <c r="G3028">
        <v>2025</v>
      </c>
    </row>
    <row r="3029" spans="1:7" hidden="1" x14ac:dyDescent="0.2">
      <c r="A3029" t="s">
        <v>525</v>
      </c>
      <c r="B3029" t="s">
        <v>36</v>
      </c>
      <c r="C3029">
        <v>10</v>
      </c>
      <c r="D3029" t="s">
        <v>131</v>
      </c>
      <c r="E3029" t="s">
        <v>192</v>
      </c>
      <c r="F3029">
        <v>15</v>
      </c>
      <c r="G3029">
        <v>2025</v>
      </c>
    </row>
    <row r="3030" spans="1:7" hidden="1" x14ac:dyDescent="0.2">
      <c r="A3030" t="s">
        <v>525</v>
      </c>
      <c r="B3030" t="s">
        <v>36</v>
      </c>
      <c r="C3030">
        <v>10</v>
      </c>
      <c r="D3030" t="s">
        <v>130</v>
      </c>
      <c r="E3030" t="s">
        <v>142</v>
      </c>
      <c r="F3030">
        <v>20</v>
      </c>
      <c r="G3030">
        <v>2025</v>
      </c>
    </row>
    <row r="3031" spans="1:7" hidden="1" x14ac:dyDescent="0.2">
      <c r="A3031" t="s">
        <v>525</v>
      </c>
      <c r="B3031" t="s">
        <v>36</v>
      </c>
      <c r="C3031">
        <v>10</v>
      </c>
      <c r="D3031" t="s">
        <v>294</v>
      </c>
      <c r="E3031" t="s">
        <v>145</v>
      </c>
      <c r="F3031">
        <v>2.2999999999999998</v>
      </c>
      <c r="G3031">
        <v>2025</v>
      </c>
    </row>
    <row r="3032" spans="1:7" hidden="1" x14ac:dyDescent="0.2">
      <c r="A3032" t="s">
        <v>77</v>
      </c>
      <c r="B3032" t="s">
        <v>45</v>
      </c>
      <c r="C3032">
        <v>10</v>
      </c>
      <c r="D3032" t="s">
        <v>125</v>
      </c>
      <c r="E3032" t="s">
        <v>577</v>
      </c>
      <c r="F3032">
        <v>14.72</v>
      </c>
      <c r="G3032">
        <v>2025</v>
      </c>
    </row>
    <row r="3033" spans="1:7" hidden="1" x14ac:dyDescent="0.2">
      <c r="A3033" t="s">
        <v>77</v>
      </c>
      <c r="B3033" t="s">
        <v>45</v>
      </c>
      <c r="C3033">
        <v>10</v>
      </c>
      <c r="D3033" t="s">
        <v>128</v>
      </c>
      <c r="E3033" t="s">
        <v>187</v>
      </c>
      <c r="F3033">
        <v>14.3</v>
      </c>
      <c r="G3033">
        <v>2025</v>
      </c>
    </row>
    <row r="3034" spans="1:7" hidden="1" x14ac:dyDescent="0.2">
      <c r="A3034" t="s">
        <v>77</v>
      </c>
      <c r="B3034" t="s">
        <v>45</v>
      </c>
      <c r="C3034">
        <v>10</v>
      </c>
      <c r="D3034" t="s">
        <v>128</v>
      </c>
      <c r="E3034" t="s">
        <v>554</v>
      </c>
      <c r="F3034">
        <v>10.9</v>
      </c>
      <c r="G3034">
        <v>2025</v>
      </c>
    </row>
    <row r="3035" spans="1:7" hidden="1" x14ac:dyDescent="0.2">
      <c r="A3035" t="s">
        <v>77</v>
      </c>
      <c r="B3035" t="s">
        <v>45</v>
      </c>
      <c r="C3035">
        <v>10</v>
      </c>
      <c r="D3035" t="s">
        <v>128</v>
      </c>
      <c r="E3035" t="s">
        <v>220</v>
      </c>
      <c r="F3035">
        <v>1</v>
      </c>
      <c r="G3035">
        <v>2025</v>
      </c>
    </row>
    <row r="3036" spans="1:7" hidden="1" x14ac:dyDescent="0.2">
      <c r="A3036" t="s">
        <v>77</v>
      </c>
      <c r="B3036" t="s">
        <v>45</v>
      </c>
      <c r="C3036">
        <v>10</v>
      </c>
      <c r="D3036" t="s">
        <v>127</v>
      </c>
      <c r="E3036" t="s">
        <v>583</v>
      </c>
      <c r="F3036">
        <v>1.5</v>
      </c>
      <c r="G3036">
        <v>2025</v>
      </c>
    </row>
    <row r="3037" spans="1:7" hidden="1" x14ac:dyDescent="0.2">
      <c r="A3037" t="s">
        <v>77</v>
      </c>
      <c r="B3037" t="s">
        <v>45</v>
      </c>
      <c r="C3037">
        <v>10</v>
      </c>
      <c r="D3037" t="s">
        <v>127</v>
      </c>
      <c r="E3037" t="s">
        <v>560</v>
      </c>
      <c r="F3037">
        <v>1.4</v>
      </c>
      <c r="G3037">
        <v>2025</v>
      </c>
    </row>
    <row r="3038" spans="1:7" hidden="1" x14ac:dyDescent="0.2">
      <c r="A3038" t="s">
        <v>77</v>
      </c>
      <c r="B3038" t="s">
        <v>45</v>
      </c>
      <c r="C3038">
        <v>10</v>
      </c>
      <c r="D3038" t="s">
        <v>129</v>
      </c>
      <c r="E3038" t="s">
        <v>317</v>
      </c>
      <c r="F3038">
        <v>7.4</v>
      </c>
      <c r="G3038">
        <v>2025</v>
      </c>
    </row>
    <row r="3039" spans="1:7" hidden="1" x14ac:dyDescent="0.2">
      <c r="A3039" t="s">
        <v>77</v>
      </c>
      <c r="B3039" t="s">
        <v>45</v>
      </c>
      <c r="C3039">
        <v>10</v>
      </c>
      <c r="D3039" t="s">
        <v>131</v>
      </c>
      <c r="E3039" t="s">
        <v>532</v>
      </c>
      <c r="F3039">
        <v>1</v>
      </c>
      <c r="G3039">
        <v>2025</v>
      </c>
    </row>
    <row r="3040" spans="1:7" hidden="1" x14ac:dyDescent="0.2">
      <c r="A3040" t="s">
        <v>77</v>
      </c>
      <c r="B3040" t="s">
        <v>45</v>
      </c>
      <c r="C3040">
        <v>10</v>
      </c>
      <c r="D3040" t="s">
        <v>130</v>
      </c>
      <c r="E3040" t="s">
        <v>273</v>
      </c>
      <c r="F3040">
        <v>-2</v>
      </c>
      <c r="G3040">
        <v>2025</v>
      </c>
    </row>
    <row r="3041" spans="1:7" hidden="1" x14ac:dyDescent="0.2">
      <c r="A3041" t="s">
        <v>77</v>
      </c>
      <c r="B3041" t="s">
        <v>45</v>
      </c>
      <c r="C3041">
        <v>10</v>
      </c>
      <c r="D3041" t="s">
        <v>297</v>
      </c>
      <c r="E3041" t="s">
        <v>165</v>
      </c>
      <c r="F3041">
        <v>1.4</v>
      </c>
      <c r="G3041">
        <v>2025</v>
      </c>
    </row>
    <row r="3042" spans="1:7" hidden="1" x14ac:dyDescent="0.2">
      <c r="A3042" t="s">
        <v>18</v>
      </c>
      <c r="B3042" t="s">
        <v>20</v>
      </c>
      <c r="C3042">
        <v>10</v>
      </c>
      <c r="D3042" t="s">
        <v>125</v>
      </c>
      <c r="E3042" t="s">
        <v>325</v>
      </c>
      <c r="F3042">
        <v>4.92</v>
      </c>
      <c r="G3042">
        <v>2025</v>
      </c>
    </row>
    <row r="3043" spans="1:7" hidden="1" x14ac:dyDescent="0.2">
      <c r="A3043" t="s">
        <v>18</v>
      </c>
      <c r="B3043" t="s">
        <v>20</v>
      </c>
      <c r="C3043">
        <v>10</v>
      </c>
      <c r="D3043" t="s">
        <v>128</v>
      </c>
      <c r="E3043" t="s">
        <v>134</v>
      </c>
      <c r="F3043">
        <v>10.1</v>
      </c>
      <c r="G3043">
        <v>2025</v>
      </c>
    </row>
    <row r="3044" spans="1:7" hidden="1" x14ac:dyDescent="0.2">
      <c r="A3044" t="s">
        <v>18</v>
      </c>
      <c r="B3044" t="s">
        <v>20</v>
      </c>
      <c r="C3044">
        <v>10</v>
      </c>
      <c r="D3044" t="s">
        <v>128</v>
      </c>
      <c r="E3044" t="s">
        <v>248</v>
      </c>
      <c r="F3044">
        <v>17.8</v>
      </c>
      <c r="G3044">
        <v>2025</v>
      </c>
    </row>
    <row r="3045" spans="1:7" hidden="1" x14ac:dyDescent="0.2">
      <c r="A3045" t="s">
        <v>18</v>
      </c>
      <c r="B3045" t="s">
        <v>20</v>
      </c>
      <c r="C3045">
        <v>10</v>
      </c>
      <c r="D3045" t="s">
        <v>128</v>
      </c>
      <c r="E3045" t="s">
        <v>305</v>
      </c>
      <c r="F3045">
        <v>5</v>
      </c>
      <c r="G3045">
        <v>2025</v>
      </c>
    </row>
    <row r="3046" spans="1:7" hidden="1" x14ac:dyDescent="0.2">
      <c r="A3046" t="s">
        <v>18</v>
      </c>
      <c r="B3046" t="s">
        <v>20</v>
      </c>
      <c r="C3046">
        <v>10</v>
      </c>
      <c r="D3046" t="s">
        <v>127</v>
      </c>
      <c r="E3046" t="s">
        <v>154</v>
      </c>
      <c r="F3046">
        <v>9.9</v>
      </c>
      <c r="G3046">
        <v>2025</v>
      </c>
    </row>
    <row r="3047" spans="1:7" hidden="1" x14ac:dyDescent="0.2">
      <c r="A3047" t="s">
        <v>18</v>
      </c>
      <c r="B3047" t="s">
        <v>20</v>
      </c>
      <c r="C3047">
        <v>10</v>
      </c>
      <c r="D3047" t="s">
        <v>127</v>
      </c>
      <c r="E3047" t="s">
        <v>208</v>
      </c>
      <c r="F3047">
        <v>8.1999999999999993</v>
      </c>
      <c r="G3047">
        <v>2025</v>
      </c>
    </row>
    <row r="3048" spans="1:7" hidden="1" x14ac:dyDescent="0.2">
      <c r="A3048" t="s">
        <v>18</v>
      </c>
      <c r="B3048" t="s">
        <v>20</v>
      </c>
      <c r="C3048">
        <v>10</v>
      </c>
      <c r="D3048" t="s">
        <v>129</v>
      </c>
      <c r="E3048" t="s">
        <v>227</v>
      </c>
      <c r="F3048">
        <v>6.3</v>
      </c>
      <c r="G3048">
        <v>2025</v>
      </c>
    </row>
    <row r="3049" spans="1:7" hidden="1" x14ac:dyDescent="0.2">
      <c r="A3049" t="s">
        <v>18</v>
      </c>
      <c r="B3049" t="s">
        <v>20</v>
      </c>
      <c r="C3049">
        <v>10</v>
      </c>
      <c r="D3049" t="s">
        <v>131</v>
      </c>
      <c r="E3049" t="s">
        <v>350</v>
      </c>
      <c r="F3049">
        <v>14</v>
      </c>
      <c r="G3049">
        <v>2025</v>
      </c>
    </row>
    <row r="3050" spans="1:7" hidden="1" x14ac:dyDescent="0.2">
      <c r="A3050" t="s">
        <v>18</v>
      </c>
      <c r="B3050" t="s">
        <v>20</v>
      </c>
      <c r="C3050">
        <v>10</v>
      </c>
      <c r="D3050" t="s">
        <v>130</v>
      </c>
      <c r="E3050" t="s">
        <v>584</v>
      </c>
      <c r="F3050">
        <v>4</v>
      </c>
      <c r="G3050">
        <v>2025</v>
      </c>
    </row>
    <row r="3051" spans="1:7" hidden="1" x14ac:dyDescent="0.2">
      <c r="A3051" t="s">
        <v>18</v>
      </c>
      <c r="B3051" t="s">
        <v>20</v>
      </c>
      <c r="C3051">
        <v>10</v>
      </c>
      <c r="D3051" t="s">
        <v>294</v>
      </c>
      <c r="E3051" t="s">
        <v>173</v>
      </c>
      <c r="F3051">
        <v>4.4000000000000004</v>
      </c>
      <c r="G3051">
        <v>2025</v>
      </c>
    </row>
    <row r="3052" spans="1:7" hidden="1" x14ac:dyDescent="0.2">
      <c r="A3052" t="s">
        <v>46</v>
      </c>
      <c r="B3052" t="s">
        <v>47</v>
      </c>
      <c r="C3052">
        <v>10</v>
      </c>
      <c r="D3052" t="s">
        <v>125</v>
      </c>
      <c r="E3052" t="s">
        <v>126</v>
      </c>
      <c r="F3052">
        <v>9.82</v>
      </c>
      <c r="G3052">
        <v>2025</v>
      </c>
    </row>
    <row r="3053" spans="1:7" hidden="1" x14ac:dyDescent="0.2">
      <c r="A3053" t="s">
        <v>46</v>
      </c>
      <c r="B3053" t="s">
        <v>47</v>
      </c>
      <c r="C3053">
        <v>10</v>
      </c>
      <c r="D3053" t="s">
        <v>128</v>
      </c>
      <c r="E3053" t="s">
        <v>178</v>
      </c>
      <c r="F3053">
        <v>16.899999999999999</v>
      </c>
      <c r="G3053">
        <v>2025</v>
      </c>
    </row>
    <row r="3054" spans="1:7" hidden="1" x14ac:dyDescent="0.2">
      <c r="A3054" t="s">
        <v>46</v>
      </c>
      <c r="B3054" t="s">
        <v>47</v>
      </c>
      <c r="C3054">
        <v>10</v>
      </c>
      <c r="D3054" t="s">
        <v>128</v>
      </c>
      <c r="E3054" t="s">
        <v>347</v>
      </c>
      <c r="F3054">
        <v>16.399999999999999</v>
      </c>
      <c r="G3054">
        <v>2025</v>
      </c>
    </row>
    <row r="3055" spans="1:7" hidden="1" x14ac:dyDescent="0.2">
      <c r="A3055" t="s">
        <v>46</v>
      </c>
      <c r="B3055" t="s">
        <v>47</v>
      </c>
      <c r="C3055">
        <v>10</v>
      </c>
      <c r="D3055" t="s">
        <v>128</v>
      </c>
      <c r="E3055" t="s">
        <v>200</v>
      </c>
      <c r="F3055">
        <v>0.8</v>
      </c>
      <c r="G3055">
        <v>2025</v>
      </c>
    </row>
    <row r="3056" spans="1:7" hidden="1" x14ac:dyDescent="0.2">
      <c r="A3056" t="s">
        <v>46</v>
      </c>
      <c r="B3056" t="s">
        <v>47</v>
      </c>
      <c r="C3056">
        <v>10</v>
      </c>
      <c r="D3056" t="s">
        <v>127</v>
      </c>
      <c r="E3056" t="s">
        <v>372</v>
      </c>
      <c r="F3056">
        <v>13.6</v>
      </c>
      <c r="G3056">
        <v>2025</v>
      </c>
    </row>
    <row r="3057" spans="1:7" hidden="1" x14ac:dyDescent="0.2">
      <c r="A3057" t="s">
        <v>46</v>
      </c>
      <c r="B3057" t="s">
        <v>47</v>
      </c>
      <c r="C3057">
        <v>10</v>
      </c>
      <c r="D3057" t="s">
        <v>127</v>
      </c>
      <c r="E3057" t="s">
        <v>278</v>
      </c>
      <c r="F3057">
        <v>12.3</v>
      </c>
      <c r="G3057">
        <v>2025</v>
      </c>
    </row>
    <row r="3058" spans="1:7" hidden="1" x14ac:dyDescent="0.2">
      <c r="A3058" t="s">
        <v>46</v>
      </c>
      <c r="B3058" t="s">
        <v>47</v>
      </c>
      <c r="C3058">
        <v>10</v>
      </c>
      <c r="D3058" t="s">
        <v>129</v>
      </c>
      <c r="E3058" t="s">
        <v>182</v>
      </c>
      <c r="F3058">
        <v>3.2</v>
      </c>
      <c r="G3058">
        <v>2025</v>
      </c>
    </row>
    <row r="3059" spans="1:7" hidden="1" x14ac:dyDescent="0.2">
      <c r="A3059" t="s">
        <v>46</v>
      </c>
      <c r="B3059" t="s">
        <v>47</v>
      </c>
      <c r="C3059">
        <v>10</v>
      </c>
      <c r="D3059" t="s">
        <v>131</v>
      </c>
      <c r="E3059" t="s">
        <v>242</v>
      </c>
      <c r="F3059">
        <v>5</v>
      </c>
      <c r="G3059">
        <v>2025</v>
      </c>
    </row>
    <row r="3060" spans="1:7" hidden="1" x14ac:dyDescent="0.2">
      <c r="A3060" t="s">
        <v>46</v>
      </c>
      <c r="B3060" t="s">
        <v>47</v>
      </c>
      <c r="C3060">
        <v>10</v>
      </c>
      <c r="D3060" t="s">
        <v>130</v>
      </c>
      <c r="E3060" t="s">
        <v>193</v>
      </c>
      <c r="F3060">
        <v>15</v>
      </c>
      <c r="G3060">
        <v>2025</v>
      </c>
    </row>
    <row r="3061" spans="1:7" hidden="1" x14ac:dyDescent="0.2">
      <c r="A3061" t="s">
        <v>46</v>
      </c>
      <c r="B3061" t="s">
        <v>47</v>
      </c>
      <c r="C3061">
        <v>10</v>
      </c>
      <c r="D3061" t="s">
        <v>294</v>
      </c>
      <c r="E3061" t="s">
        <v>172</v>
      </c>
      <c r="F3061">
        <v>0</v>
      </c>
      <c r="G3061">
        <v>2025</v>
      </c>
    </row>
    <row r="3062" spans="1:7" hidden="1" x14ac:dyDescent="0.2">
      <c r="A3062" t="s">
        <v>526</v>
      </c>
      <c r="B3062" t="s">
        <v>32</v>
      </c>
      <c r="C3062">
        <v>10</v>
      </c>
      <c r="D3062" t="s">
        <v>125</v>
      </c>
      <c r="E3062" t="s">
        <v>392</v>
      </c>
      <c r="F3062">
        <v>24.8</v>
      </c>
      <c r="G3062">
        <v>2025</v>
      </c>
    </row>
    <row r="3063" spans="1:7" hidden="1" x14ac:dyDescent="0.2">
      <c r="A3063" t="s">
        <v>526</v>
      </c>
      <c r="B3063" t="s">
        <v>32</v>
      </c>
      <c r="C3063">
        <v>10</v>
      </c>
      <c r="D3063" t="s">
        <v>128</v>
      </c>
      <c r="E3063" t="s">
        <v>186</v>
      </c>
      <c r="F3063">
        <v>18.7</v>
      </c>
      <c r="G3063">
        <v>2025</v>
      </c>
    </row>
    <row r="3064" spans="1:7" hidden="1" x14ac:dyDescent="0.2">
      <c r="A3064" t="s">
        <v>526</v>
      </c>
      <c r="B3064" t="s">
        <v>32</v>
      </c>
      <c r="C3064">
        <v>10</v>
      </c>
      <c r="D3064" t="s">
        <v>128</v>
      </c>
      <c r="E3064" t="s">
        <v>283</v>
      </c>
      <c r="F3064">
        <v>16.8</v>
      </c>
      <c r="G3064">
        <v>2025</v>
      </c>
    </row>
    <row r="3065" spans="1:7" hidden="1" x14ac:dyDescent="0.2">
      <c r="A3065" t="s">
        <v>526</v>
      </c>
      <c r="B3065" t="s">
        <v>32</v>
      </c>
      <c r="C3065">
        <v>10</v>
      </c>
      <c r="D3065" t="s">
        <v>128</v>
      </c>
      <c r="E3065" t="s">
        <v>224</v>
      </c>
      <c r="F3065">
        <v>0</v>
      </c>
      <c r="G3065">
        <v>2025</v>
      </c>
    </row>
    <row r="3066" spans="1:7" hidden="1" x14ac:dyDescent="0.2">
      <c r="A3066" t="s">
        <v>526</v>
      </c>
      <c r="B3066" t="s">
        <v>32</v>
      </c>
      <c r="C3066">
        <v>10</v>
      </c>
      <c r="D3066" t="s">
        <v>127</v>
      </c>
      <c r="E3066" t="s">
        <v>148</v>
      </c>
      <c r="F3066">
        <v>37.5</v>
      </c>
      <c r="G3066">
        <v>2025</v>
      </c>
    </row>
    <row r="3067" spans="1:7" hidden="1" x14ac:dyDescent="0.2">
      <c r="A3067" t="s">
        <v>526</v>
      </c>
      <c r="B3067" t="s">
        <v>32</v>
      </c>
      <c r="C3067">
        <v>10</v>
      </c>
      <c r="D3067" t="s">
        <v>127</v>
      </c>
      <c r="E3067" t="s">
        <v>226</v>
      </c>
      <c r="F3067">
        <v>19</v>
      </c>
      <c r="G3067">
        <v>2025</v>
      </c>
    </row>
    <row r="3068" spans="1:7" hidden="1" x14ac:dyDescent="0.2">
      <c r="A3068" t="s">
        <v>526</v>
      </c>
      <c r="B3068" t="s">
        <v>32</v>
      </c>
      <c r="C3068">
        <v>10</v>
      </c>
      <c r="D3068" t="s">
        <v>129</v>
      </c>
      <c r="E3068" t="s">
        <v>574</v>
      </c>
      <c r="F3068">
        <v>2.8</v>
      </c>
      <c r="G3068">
        <v>2025</v>
      </c>
    </row>
    <row r="3069" spans="1:7" hidden="1" x14ac:dyDescent="0.2">
      <c r="A3069" t="s">
        <v>526</v>
      </c>
      <c r="B3069" t="s">
        <v>32</v>
      </c>
      <c r="C3069">
        <v>10</v>
      </c>
      <c r="D3069" t="s">
        <v>131</v>
      </c>
      <c r="E3069" t="s">
        <v>571</v>
      </c>
      <c r="F3069">
        <v>7</v>
      </c>
      <c r="G3069">
        <v>2025</v>
      </c>
    </row>
    <row r="3070" spans="1:7" hidden="1" x14ac:dyDescent="0.2">
      <c r="A3070" t="s">
        <v>526</v>
      </c>
      <c r="B3070" t="s">
        <v>32</v>
      </c>
      <c r="C3070">
        <v>10</v>
      </c>
      <c r="D3070" t="s">
        <v>130</v>
      </c>
      <c r="E3070" t="s">
        <v>358</v>
      </c>
      <c r="F3070">
        <v>3</v>
      </c>
      <c r="G3070">
        <v>2025</v>
      </c>
    </row>
    <row r="3071" spans="1:7" hidden="1" x14ac:dyDescent="0.2">
      <c r="A3071" t="s">
        <v>526</v>
      </c>
      <c r="B3071" t="s">
        <v>32</v>
      </c>
      <c r="C3071">
        <v>10</v>
      </c>
      <c r="D3071" t="s">
        <v>293</v>
      </c>
      <c r="E3071" t="s">
        <v>225</v>
      </c>
      <c r="F3071">
        <v>7.5</v>
      </c>
      <c r="G3071">
        <v>2025</v>
      </c>
    </row>
    <row r="3072" spans="1:7" hidden="1" x14ac:dyDescent="0.2">
      <c r="A3072" t="s">
        <v>26</v>
      </c>
      <c r="B3072" t="s">
        <v>28</v>
      </c>
      <c r="C3072">
        <v>10</v>
      </c>
      <c r="D3072" t="s">
        <v>125</v>
      </c>
      <c r="E3072" t="s">
        <v>544</v>
      </c>
      <c r="F3072">
        <v>26.28</v>
      </c>
      <c r="G3072">
        <v>2025</v>
      </c>
    </row>
    <row r="3073" spans="1:7" hidden="1" x14ac:dyDescent="0.2">
      <c r="A3073" t="s">
        <v>26</v>
      </c>
      <c r="B3073" t="s">
        <v>28</v>
      </c>
      <c r="C3073">
        <v>10</v>
      </c>
      <c r="D3073" t="s">
        <v>128</v>
      </c>
      <c r="E3073" t="s">
        <v>288</v>
      </c>
      <c r="F3073">
        <v>3.9</v>
      </c>
      <c r="G3073">
        <v>2025</v>
      </c>
    </row>
    <row r="3074" spans="1:7" hidden="1" x14ac:dyDescent="0.2">
      <c r="A3074" t="s">
        <v>26</v>
      </c>
      <c r="B3074" t="s">
        <v>28</v>
      </c>
      <c r="C3074">
        <v>10</v>
      </c>
      <c r="D3074" t="s">
        <v>128</v>
      </c>
      <c r="E3074" t="s">
        <v>153</v>
      </c>
      <c r="F3074">
        <v>9.3000000000000007</v>
      </c>
      <c r="G3074">
        <v>2025</v>
      </c>
    </row>
    <row r="3075" spans="1:7" hidden="1" x14ac:dyDescent="0.2">
      <c r="A3075" t="s">
        <v>26</v>
      </c>
      <c r="B3075" t="s">
        <v>28</v>
      </c>
      <c r="C3075">
        <v>10</v>
      </c>
      <c r="D3075" t="s">
        <v>128</v>
      </c>
      <c r="E3075" t="s">
        <v>179</v>
      </c>
      <c r="F3075">
        <v>14.9</v>
      </c>
      <c r="G3075">
        <v>2025</v>
      </c>
    </row>
    <row r="3076" spans="1:7" hidden="1" x14ac:dyDescent="0.2">
      <c r="A3076" t="s">
        <v>26</v>
      </c>
      <c r="B3076" t="s">
        <v>28</v>
      </c>
      <c r="C3076">
        <v>10</v>
      </c>
      <c r="D3076" t="s">
        <v>127</v>
      </c>
      <c r="E3076" t="s">
        <v>519</v>
      </c>
      <c r="F3076">
        <v>13.8</v>
      </c>
      <c r="G3076">
        <v>2025</v>
      </c>
    </row>
    <row r="3077" spans="1:7" hidden="1" x14ac:dyDescent="0.2">
      <c r="A3077" t="s">
        <v>26</v>
      </c>
      <c r="B3077" t="s">
        <v>28</v>
      </c>
      <c r="C3077">
        <v>10</v>
      </c>
      <c r="D3077" t="s">
        <v>127</v>
      </c>
      <c r="E3077" t="s">
        <v>403</v>
      </c>
      <c r="F3077">
        <v>14.3</v>
      </c>
      <c r="G3077">
        <v>2025</v>
      </c>
    </row>
    <row r="3078" spans="1:7" hidden="1" x14ac:dyDescent="0.2">
      <c r="A3078" t="s">
        <v>26</v>
      </c>
      <c r="B3078" t="s">
        <v>28</v>
      </c>
      <c r="C3078">
        <v>10</v>
      </c>
      <c r="D3078" t="s">
        <v>129</v>
      </c>
      <c r="E3078" t="s">
        <v>376</v>
      </c>
      <c r="F3078">
        <v>1.8</v>
      </c>
      <c r="G3078">
        <v>2025</v>
      </c>
    </row>
    <row r="3079" spans="1:7" hidden="1" x14ac:dyDescent="0.2">
      <c r="A3079" t="s">
        <v>26</v>
      </c>
      <c r="B3079" t="s">
        <v>28</v>
      </c>
      <c r="C3079">
        <v>10</v>
      </c>
      <c r="D3079" t="s">
        <v>131</v>
      </c>
      <c r="E3079" t="s">
        <v>228</v>
      </c>
      <c r="F3079">
        <v>5</v>
      </c>
      <c r="G3079">
        <v>2025</v>
      </c>
    </row>
    <row r="3080" spans="1:7" x14ac:dyDescent="0.2">
      <c r="A3080" t="s">
        <v>26</v>
      </c>
      <c r="B3080" t="s">
        <v>28</v>
      </c>
      <c r="C3080">
        <v>10</v>
      </c>
      <c r="D3080" t="s">
        <v>130</v>
      </c>
      <c r="E3080" t="s">
        <v>281</v>
      </c>
      <c r="F3080">
        <v>3</v>
      </c>
      <c r="G3080">
        <v>2025</v>
      </c>
    </row>
    <row r="3081" spans="1:7" hidden="1" x14ac:dyDescent="0.2">
      <c r="A3081" t="s">
        <v>26</v>
      </c>
      <c r="B3081" t="s">
        <v>28</v>
      </c>
      <c r="C3081">
        <v>10</v>
      </c>
      <c r="D3081" t="s">
        <v>293</v>
      </c>
      <c r="E3081" t="s">
        <v>545</v>
      </c>
      <c r="F3081">
        <v>9.5</v>
      </c>
      <c r="G3081">
        <v>2025</v>
      </c>
    </row>
    <row r="3082" spans="1:7" hidden="1" x14ac:dyDescent="0.2">
      <c r="A3082" t="s">
        <v>14</v>
      </c>
      <c r="B3082" t="s">
        <v>16</v>
      </c>
      <c r="C3082">
        <v>11</v>
      </c>
      <c r="D3082" t="s">
        <v>125</v>
      </c>
      <c r="E3082" t="s">
        <v>202</v>
      </c>
      <c r="F3082">
        <v>4.72</v>
      </c>
      <c r="G3082">
        <v>2025</v>
      </c>
    </row>
    <row r="3083" spans="1:7" hidden="1" x14ac:dyDescent="0.2">
      <c r="A3083" t="s">
        <v>14</v>
      </c>
      <c r="B3083" t="s">
        <v>16</v>
      </c>
      <c r="C3083">
        <v>11</v>
      </c>
      <c r="D3083" t="s">
        <v>128</v>
      </c>
      <c r="E3083" t="s">
        <v>351</v>
      </c>
      <c r="F3083">
        <v>12.7</v>
      </c>
      <c r="G3083">
        <v>2025</v>
      </c>
    </row>
    <row r="3084" spans="1:7" hidden="1" x14ac:dyDescent="0.2">
      <c r="A3084" t="s">
        <v>14</v>
      </c>
      <c r="B3084" t="s">
        <v>16</v>
      </c>
      <c r="C3084">
        <v>11</v>
      </c>
      <c r="D3084" t="s">
        <v>128</v>
      </c>
      <c r="E3084" t="s">
        <v>363</v>
      </c>
      <c r="F3084">
        <v>0.5</v>
      </c>
      <c r="G3084">
        <v>2025</v>
      </c>
    </row>
    <row r="3085" spans="1:7" hidden="1" x14ac:dyDescent="0.2">
      <c r="A3085" t="s">
        <v>14</v>
      </c>
      <c r="B3085" t="s">
        <v>16</v>
      </c>
      <c r="C3085">
        <v>11</v>
      </c>
      <c r="D3085" t="s">
        <v>128</v>
      </c>
      <c r="E3085" t="s">
        <v>329</v>
      </c>
      <c r="F3085">
        <v>26</v>
      </c>
      <c r="G3085">
        <v>2025</v>
      </c>
    </row>
    <row r="3086" spans="1:7" hidden="1" x14ac:dyDescent="0.2">
      <c r="A3086" t="s">
        <v>14</v>
      </c>
      <c r="B3086" t="s">
        <v>16</v>
      </c>
      <c r="C3086">
        <v>11</v>
      </c>
      <c r="D3086" t="s">
        <v>127</v>
      </c>
      <c r="E3086" t="s">
        <v>189</v>
      </c>
      <c r="F3086">
        <v>19.3</v>
      </c>
      <c r="G3086">
        <v>2025</v>
      </c>
    </row>
    <row r="3087" spans="1:7" hidden="1" x14ac:dyDescent="0.2">
      <c r="A3087" t="s">
        <v>14</v>
      </c>
      <c r="B3087" t="s">
        <v>16</v>
      </c>
      <c r="C3087">
        <v>11</v>
      </c>
      <c r="D3087" t="s">
        <v>127</v>
      </c>
      <c r="E3087" t="s">
        <v>314</v>
      </c>
      <c r="F3087">
        <v>15.7</v>
      </c>
      <c r="G3087">
        <v>2025</v>
      </c>
    </row>
    <row r="3088" spans="1:7" hidden="1" x14ac:dyDescent="0.2">
      <c r="A3088" t="s">
        <v>14</v>
      </c>
      <c r="B3088" t="s">
        <v>16</v>
      </c>
      <c r="C3088">
        <v>11</v>
      </c>
      <c r="D3088" t="s">
        <v>129</v>
      </c>
      <c r="E3088" t="s">
        <v>236</v>
      </c>
      <c r="F3088">
        <v>21.7</v>
      </c>
      <c r="G3088">
        <v>2025</v>
      </c>
    </row>
    <row r="3089" spans="1:7" hidden="1" x14ac:dyDescent="0.2">
      <c r="A3089" t="s">
        <v>14</v>
      </c>
      <c r="B3089" t="s">
        <v>16</v>
      </c>
      <c r="C3089">
        <v>11</v>
      </c>
      <c r="D3089" t="s">
        <v>131</v>
      </c>
      <c r="E3089" t="s">
        <v>214</v>
      </c>
      <c r="F3089">
        <v>6</v>
      </c>
      <c r="G3089">
        <v>2025</v>
      </c>
    </row>
    <row r="3090" spans="1:7" hidden="1" x14ac:dyDescent="0.2">
      <c r="A3090" t="s">
        <v>14</v>
      </c>
      <c r="B3090" t="s">
        <v>16</v>
      </c>
      <c r="C3090">
        <v>11</v>
      </c>
      <c r="D3090" t="s">
        <v>130</v>
      </c>
      <c r="E3090" t="s">
        <v>194</v>
      </c>
      <c r="F3090">
        <v>-3</v>
      </c>
      <c r="G3090">
        <v>2025</v>
      </c>
    </row>
    <row r="3091" spans="1:7" hidden="1" x14ac:dyDescent="0.2">
      <c r="A3091" t="s">
        <v>14</v>
      </c>
      <c r="B3091" t="s">
        <v>16</v>
      </c>
      <c r="C3091">
        <v>11</v>
      </c>
      <c r="D3091" t="s">
        <v>293</v>
      </c>
      <c r="E3091" t="s">
        <v>555</v>
      </c>
      <c r="F3091">
        <v>3</v>
      </c>
      <c r="G3091">
        <v>2025</v>
      </c>
    </row>
    <row r="3092" spans="1:7" hidden="1" x14ac:dyDescent="0.2">
      <c r="A3092" t="s">
        <v>42</v>
      </c>
      <c r="B3092" t="s">
        <v>17</v>
      </c>
      <c r="C3092">
        <v>11</v>
      </c>
      <c r="D3092" t="s">
        <v>125</v>
      </c>
      <c r="E3092" t="s">
        <v>141</v>
      </c>
      <c r="F3092">
        <v>24.32</v>
      </c>
      <c r="G3092">
        <v>2025</v>
      </c>
    </row>
    <row r="3093" spans="1:7" hidden="1" x14ac:dyDescent="0.2">
      <c r="A3093" t="s">
        <v>42</v>
      </c>
      <c r="B3093" t="s">
        <v>17</v>
      </c>
      <c r="C3093">
        <v>11</v>
      </c>
      <c r="D3093" t="s">
        <v>128</v>
      </c>
      <c r="E3093" t="s">
        <v>232</v>
      </c>
      <c r="F3093">
        <v>19.7</v>
      </c>
      <c r="G3093">
        <v>2025</v>
      </c>
    </row>
    <row r="3094" spans="1:7" hidden="1" x14ac:dyDescent="0.2">
      <c r="A3094" t="s">
        <v>42</v>
      </c>
      <c r="B3094" t="s">
        <v>17</v>
      </c>
      <c r="C3094">
        <v>11</v>
      </c>
      <c r="D3094" t="s">
        <v>128</v>
      </c>
      <c r="E3094" t="s">
        <v>146</v>
      </c>
      <c r="F3094">
        <v>17.2</v>
      </c>
      <c r="G3094">
        <v>2025</v>
      </c>
    </row>
    <row r="3095" spans="1:7" hidden="1" x14ac:dyDescent="0.2">
      <c r="A3095" t="s">
        <v>42</v>
      </c>
      <c r="B3095" t="s">
        <v>17</v>
      </c>
      <c r="C3095">
        <v>11</v>
      </c>
      <c r="D3095" t="s">
        <v>128</v>
      </c>
      <c r="E3095" t="s">
        <v>522</v>
      </c>
      <c r="F3095">
        <v>29</v>
      </c>
      <c r="G3095">
        <v>2025</v>
      </c>
    </row>
    <row r="3096" spans="1:7" hidden="1" x14ac:dyDescent="0.2">
      <c r="A3096" t="s">
        <v>42</v>
      </c>
      <c r="B3096" t="s">
        <v>17</v>
      </c>
      <c r="C3096">
        <v>11</v>
      </c>
      <c r="D3096" t="s">
        <v>127</v>
      </c>
      <c r="E3096" t="s">
        <v>180</v>
      </c>
      <c r="F3096">
        <v>4</v>
      </c>
      <c r="G3096">
        <v>2025</v>
      </c>
    </row>
    <row r="3097" spans="1:7" hidden="1" x14ac:dyDescent="0.2">
      <c r="A3097" t="s">
        <v>42</v>
      </c>
      <c r="B3097" t="s">
        <v>17</v>
      </c>
      <c r="C3097">
        <v>11</v>
      </c>
      <c r="D3097" t="s">
        <v>127</v>
      </c>
      <c r="E3097" t="s">
        <v>568</v>
      </c>
      <c r="F3097">
        <v>2.2000000000000002</v>
      </c>
      <c r="G3097">
        <v>2025</v>
      </c>
    </row>
    <row r="3098" spans="1:7" hidden="1" x14ac:dyDescent="0.2">
      <c r="A3098" t="s">
        <v>42</v>
      </c>
      <c r="B3098" t="s">
        <v>17</v>
      </c>
      <c r="C3098">
        <v>11</v>
      </c>
      <c r="D3098" t="s">
        <v>129</v>
      </c>
      <c r="E3098" t="s">
        <v>245</v>
      </c>
      <c r="F3098">
        <v>8.1</v>
      </c>
      <c r="G3098">
        <v>2025</v>
      </c>
    </row>
    <row r="3099" spans="1:7" hidden="1" x14ac:dyDescent="0.2">
      <c r="A3099" t="s">
        <v>42</v>
      </c>
      <c r="B3099" t="s">
        <v>17</v>
      </c>
      <c r="C3099">
        <v>11</v>
      </c>
      <c r="D3099" t="s">
        <v>131</v>
      </c>
      <c r="E3099" t="s">
        <v>339</v>
      </c>
      <c r="F3099">
        <v>6</v>
      </c>
      <c r="G3099">
        <v>2025</v>
      </c>
    </row>
    <row r="3100" spans="1:7" hidden="1" x14ac:dyDescent="0.2">
      <c r="A3100" t="s">
        <v>42</v>
      </c>
      <c r="B3100" t="s">
        <v>17</v>
      </c>
      <c r="C3100">
        <v>11</v>
      </c>
      <c r="D3100" t="s">
        <v>130</v>
      </c>
      <c r="E3100" t="s">
        <v>260</v>
      </c>
      <c r="F3100">
        <v>12</v>
      </c>
      <c r="G3100">
        <v>2025</v>
      </c>
    </row>
    <row r="3101" spans="1:7" hidden="1" x14ac:dyDescent="0.2">
      <c r="A3101" t="s">
        <v>42</v>
      </c>
      <c r="B3101" t="s">
        <v>17</v>
      </c>
      <c r="C3101">
        <v>11</v>
      </c>
      <c r="D3101" t="s">
        <v>294</v>
      </c>
      <c r="E3101" t="s">
        <v>315</v>
      </c>
      <c r="F3101">
        <v>5.6</v>
      </c>
      <c r="G3101">
        <v>2025</v>
      </c>
    </row>
    <row r="3102" spans="1:7" hidden="1" x14ac:dyDescent="0.2">
      <c r="A3102" t="s">
        <v>524</v>
      </c>
      <c r="B3102" t="s">
        <v>21</v>
      </c>
      <c r="C3102">
        <v>11</v>
      </c>
      <c r="D3102" t="s">
        <v>125</v>
      </c>
      <c r="E3102" t="s">
        <v>212</v>
      </c>
      <c r="F3102">
        <v>42.68</v>
      </c>
      <c r="G3102">
        <v>2025</v>
      </c>
    </row>
    <row r="3103" spans="1:7" hidden="1" x14ac:dyDescent="0.2">
      <c r="A3103" t="s">
        <v>524</v>
      </c>
      <c r="B3103" t="s">
        <v>21</v>
      </c>
      <c r="C3103">
        <v>11</v>
      </c>
      <c r="D3103" t="s">
        <v>128</v>
      </c>
      <c r="E3103" t="s">
        <v>222</v>
      </c>
      <c r="F3103">
        <v>17.7</v>
      </c>
      <c r="G3103">
        <v>2025</v>
      </c>
    </row>
    <row r="3104" spans="1:7" hidden="1" x14ac:dyDescent="0.2">
      <c r="A3104" t="s">
        <v>524</v>
      </c>
      <c r="B3104" t="s">
        <v>21</v>
      </c>
      <c r="C3104">
        <v>11</v>
      </c>
      <c r="D3104" t="s">
        <v>128</v>
      </c>
      <c r="E3104" t="s">
        <v>552</v>
      </c>
      <c r="F3104">
        <v>10.4</v>
      </c>
      <c r="G3104">
        <v>2025</v>
      </c>
    </row>
    <row r="3105" spans="1:7" hidden="1" x14ac:dyDescent="0.2">
      <c r="A3105" t="s">
        <v>524</v>
      </c>
      <c r="B3105" t="s">
        <v>21</v>
      </c>
      <c r="C3105">
        <v>11</v>
      </c>
      <c r="D3105" t="s">
        <v>128</v>
      </c>
      <c r="E3105" t="s">
        <v>177</v>
      </c>
      <c r="F3105">
        <v>15.1</v>
      </c>
      <c r="G3105">
        <v>2025</v>
      </c>
    </row>
    <row r="3106" spans="1:7" hidden="1" x14ac:dyDescent="0.2">
      <c r="A3106" t="s">
        <v>524</v>
      </c>
      <c r="B3106" t="s">
        <v>21</v>
      </c>
      <c r="C3106">
        <v>11</v>
      </c>
      <c r="D3106" t="s">
        <v>127</v>
      </c>
      <c r="E3106" t="s">
        <v>216</v>
      </c>
      <c r="F3106">
        <v>9.5</v>
      </c>
      <c r="G3106">
        <v>2025</v>
      </c>
    </row>
    <row r="3107" spans="1:7" hidden="1" x14ac:dyDescent="0.2">
      <c r="A3107" t="s">
        <v>524</v>
      </c>
      <c r="B3107" t="s">
        <v>21</v>
      </c>
      <c r="C3107">
        <v>11</v>
      </c>
      <c r="D3107" t="s">
        <v>127</v>
      </c>
      <c r="E3107" t="s">
        <v>528</v>
      </c>
      <c r="F3107">
        <v>29.8</v>
      </c>
      <c r="G3107">
        <v>2025</v>
      </c>
    </row>
    <row r="3108" spans="1:7" hidden="1" x14ac:dyDescent="0.2">
      <c r="A3108" t="s">
        <v>524</v>
      </c>
      <c r="B3108" t="s">
        <v>21</v>
      </c>
      <c r="C3108">
        <v>11</v>
      </c>
      <c r="D3108" t="s">
        <v>129</v>
      </c>
      <c r="E3108" t="s">
        <v>249</v>
      </c>
      <c r="F3108">
        <v>19.600000000000001</v>
      </c>
      <c r="G3108">
        <v>2025</v>
      </c>
    </row>
    <row r="3109" spans="1:7" hidden="1" x14ac:dyDescent="0.2">
      <c r="A3109" t="s">
        <v>524</v>
      </c>
      <c r="B3109" t="s">
        <v>21</v>
      </c>
      <c r="C3109">
        <v>11</v>
      </c>
      <c r="D3109" t="s">
        <v>131</v>
      </c>
      <c r="E3109" t="s">
        <v>357</v>
      </c>
      <c r="F3109">
        <v>5</v>
      </c>
      <c r="G3109">
        <v>2025</v>
      </c>
    </row>
    <row r="3110" spans="1:7" hidden="1" x14ac:dyDescent="0.2">
      <c r="A3110" t="s">
        <v>524</v>
      </c>
      <c r="B3110" t="s">
        <v>21</v>
      </c>
      <c r="C3110">
        <v>11</v>
      </c>
      <c r="D3110" t="s">
        <v>130</v>
      </c>
      <c r="E3110" t="s">
        <v>326</v>
      </c>
      <c r="F3110">
        <v>6</v>
      </c>
      <c r="G3110">
        <v>2025</v>
      </c>
    </row>
    <row r="3111" spans="1:7" hidden="1" x14ac:dyDescent="0.2">
      <c r="A3111" t="s">
        <v>524</v>
      </c>
      <c r="B3111" t="s">
        <v>21</v>
      </c>
      <c r="C3111">
        <v>11</v>
      </c>
      <c r="D3111" t="s">
        <v>294</v>
      </c>
      <c r="E3111" t="s">
        <v>370</v>
      </c>
      <c r="F3111">
        <v>3</v>
      </c>
      <c r="G3111">
        <v>2025</v>
      </c>
    </row>
    <row r="3112" spans="1:7" hidden="1" x14ac:dyDescent="0.2">
      <c r="A3112" t="s">
        <v>26</v>
      </c>
      <c r="B3112" t="s">
        <v>28</v>
      </c>
      <c r="C3112">
        <v>11</v>
      </c>
      <c r="D3112" t="s">
        <v>125</v>
      </c>
      <c r="E3112" t="s">
        <v>541</v>
      </c>
      <c r="F3112">
        <v>9.44</v>
      </c>
      <c r="G3112">
        <v>2025</v>
      </c>
    </row>
    <row r="3113" spans="1:7" hidden="1" x14ac:dyDescent="0.2">
      <c r="A3113" t="s">
        <v>26</v>
      </c>
      <c r="B3113" t="s">
        <v>28</v>
      </c>
      <c r="C3113">
        <v>11</v>
      </c>
      <c r="D3113" t="s">
        <v>128</v>
      </c>
      <c r="E3113" t="s">
        <v>288</v>
      </c>
      <c r="F3113">
        <v>7.9</v>
      </c>
      <c r="G3113">
        <v>2025</v>
      </c>
    </row>
    <row r="3114" spans="1:7" hidden="1" x14ac:dyDescent="0.2">
      <c r="A3114" t="s">
        <v>26</v>
      </c>
      <c r="B3114" t="s">
        <v>28</v>
      </c>
      <c r="C3114">
        <v>11</v>
      </c>
      <c r="D3114" t="s">
        <v>128</v>
      </c>
      <c r="E3114" t="s">
        <v>179</v>
      </c>
      <c r="F3114">
        <v>10.8</v>
      </c>
      <c r="G3114">
        <v>2025</v>
      </c>
    </row>
    <row r="3115" spans="1:7" hidden="1" x14ac:dyDescent="0.2">
      <c r="A3115" t="s">
        <v>26</v>
      </c>
      <c r="B3115" t="s">
        <v>28</v>
      </c>
      <c r="C3115">
        <v>11</v>
      </c>
      <c r="D3115" t="s">
        <v>128</v>
      </c>
      <c r="E3115" t="s">
        <v>153</v>
      </c>
      <c r="F3115">
        <v>0.2</v>
      </c>
      <c r="G3115">
        <v>2025</v>
      </c>
    </row>
    <row r="3116" spans="1:7" hidden="1" x14ac:dyDescent="0.2">
      <c r="A3116" t="s">
        <v>26</v>
      </c>
      <c r="B3116" t="s">
        <v>28</v>
      </c>
      <c r="C3116">
        <v>11</v>
      </c>
      <c r="D3116" t="s">
        <v>127</v>
      </c>
      <c r="E3116" t="s">
        <v>519</v>
      </c>
      <c r="F3116">
        <v>6.4</v>
      </c>
      <c r="G3116">
        <v>2025</v>
      </c>
    </row>
    <row r="3117" spans="1:7" hidden="1" x14ac:dyDescent="0.2">
      <c r="A3117" t="s">
        <v>26</v>
      </c>
      <c r="B3117" t="s">
        <v>28</v>
      </c>
      <c r="C3117">
        <v>11</v>
      </c>
      <c r="D3117" t="s">
        <v>127</v>
      </c>
      <c r="E3117" t="s">
        <v>545</v>
      </c>
      <c r="F3117">
        <v>5.9</v>
      </c>
      <c r="G3117">
        <v>2025</v>
      </c>
    </row>
    <row r="3118" spans="1:7" hidden="1" x14ac:dyDescent="0.2">
      <c r="A3118" t="s">
        <v>26</v>
      </c>
      <c r="B3118" t="s">
        <v>28</v>
      </c>
      <c r="C3118">
        <v>11</v>
      </c>
      <c r="D3118" t="s">
        <v>129</v>
      </c>
      <c r="E3118" t="s">
        <v>376</v>
      </c>
      <c r="F3118">
        <v>5.4</v>
      </c>
      <c r="G3118">
        <v>2025</v>
      </c>
    </row>
    <row r="3119" spans="1:7" hidden="1" x14ac:dyDescent="0.2">
      <c r="A3119" t="s">
        <v>26</v>
      </c>
      <c r="B3119" t="s">
        <v>28</v>
      </c>
      <c r="C3119">
        <v>11</v>
      </c>
      <c r="D3119" t="s">
        <v>131</v>
      </c>
      <c r="E3119" t="s">
        <v>228</v>
      </c>
      <c r="F3119">
        <v>15</v>
      </c>
      <c r="G3119">
        <v>2025</v>
      </c>
    </row>
    <row r="3120" spans="1:7" x14ac:dyDescent="0.2">
      <c r="A3120" t="s">
        <v>26</v>
      </c>
      <c r="B3120" t="s">
        <v>28</v>
      </c>
      <c r="C3120">
        <v>11</v>
      </c>
      <c r="D3120" t="s">
        <v>130</v>
      </c>
      <c r="E3120" t="s">
        <v>281</v>
      </c>
      <c r="F3120">
        <v>6</v>
      </c>
      <c r="G3120">
        <v>2025</v>
      </c>
    </row>
    <row r="3121" spans="1:7" hidden="1" x14ac:dyDescent="0.2">
      <c r="A3121" t="s">
        <v>26</v>
      </c>
      <c r="B3121" t="s">
        <v>28</v>
      </c>
      <c r="C3121">
        <v>11</v>
      </c>
      <c r="D3121" t="s">
        <v>293</v>
      </c>
      <c r="E3121" t="s">
        <v>403</v>
      </c>
      <c r="F3121">
        <v>5.7</v>
      </c>
      <c r="G3121">
        <v>2025</v>
      </c>
    </row>
    <row r="3122" spans="1:7" hidden="1" x14ac:dyDescent="0.2">
      <c r="A3122" t="s">
        <v>521</v>
      </c>
      <c r="B3122" t="s">
        <v>29</v>
      </c>
      <c r="C3122">
        <v>11</v>
      </c>
      <c r="D3122" t="s">
        <v>125</v>
      </c>
      <c r="E3122" t="s">
        <v>582</v>
      </c>
      <c r="F3122">
        <v>15.44</v>
      </c>
      <c r="G3122">
        <v>2025</v>
      </c>
    </row>
    <row r="3123" spans="1:7" hidden="1" x14ac:dyDescent="0.2">
      <c r="A3123" t="s">
        <v>521</v>
      </c>
      <c r="B3123" t="s">
        <v>29</v>
      </c>
      <c r="C3123">
        <v>11</v>
      </c>
      <c r="D3123" t="s">
        <v>128</v>
      </c>
      <c r="E3123" t="s">
        <v>171</v>
      </c>
      <c r="F3123">
        <v>8.6</v>
      </c>
      <c r="G3123">
        <v>2025</v>
      </c>
    </row>
    <row r="3124" spans="1:7" hidden="1" x14ac:dyDescent="0.2">
      <c r="A3124" t="s">
        <v>521</v>
      </c>
      <c r="B3124" t="s">
        <v>29</v>
      </c>
      <c r="C3124">
        <v>11</v>
      </c>
      <c r="D3124" t="s">
        <v>128</v>
      </c>
      <c r="E3124" t="s">
        <v>199</v>
      </c>
      <c r="F3124">
        <v>15</v>
      </c>
      <c r="G3124">
        <v>2025</v>
      </c>
    </row>
    <row r="3125" spans="1:7" hidden="1" x14ac:dyDescent="0.2">
      <c r="A3125" t="s">
        <v>521</v>
      </c>
      <c r="B3125" t="s">
        <v>29</v>
      </c>
      <c r="C3125">
        <v>11</v>
      </c>
      <c r="D3125" t="s">
        <v>128</v>
      </c>
      <c r="E3125" t="s">
        <v>151</v>
      </c>
      <c r="F3125">
        <v>6.6</v>
      </c>
      <c r="G3125">
        <v>2025</v>
      </c>
    </row>
    <row r="3126" spans="1:7" hidden="1" x14ac:dyDescent="0.2">
      <c r="A3126" t="s">
        <v>521</v>
      </c>
      <c r="B3126" t="s">
        <v>29</v>
      </c>
      <c r="C3126">
        <v>11</v>
      </c>
      <c r="D3126" t="s">
        <v>127</v>
      </c>
      <c r="E3126" t="s">
        <v>175</v>
      </c>
      <c r="F3126">
        <v>7.7</v>
      </c>
      <c r="G3126">
        <v>2025</v>
      </c>
    </row>
    <row r="3127" spans="1:7" hidden="1" x14ac:dyDescent="0.2">
      <c r="A3127" t="s">
        <v>521</v>
      </c>
      <c r="B3127" t="s">
        <v>29</v>
      </c>
      <c r="C3127">
        <v>11</v>
      </c>
      <c r="D3127" t="s">
        <v>127</v>
      </c>
      <c r="E3127" t="s">
        <v>244</v>
      </c>
      <c r="F3127">
        <v>10.5</v>
      </c>
      <c r="G3127">
        <v>2025</v>
      </c>
    </row>
    <row r="3128" spans="1:7" hidden="1" x14ac:dyDescent="0.2">
      <c r="A3128" t="s">
        <v>521</v>
      </c>
      <c r="B3128" t="s">
        <v>29</v>
      </c>
      <c r="C3128">
        <v>11</v>
      </c>
      <c r="D3128" t="s">
        <v>129</v>
      </c>
      <c r="E3128" t="s">
        <v>196</v>
      </c>
      <c r="F3128">
        <v>14.2</v>
      </c>
      <c r="G3128">
        <v>2025</v>
      </c>
    </row>
    <row r="3129" spans="1:7" hidden="1" x14ac:dyDescent="0.2">
      <c r="A3129" t="s">
        <v>521</v>
      </c>
      <c r="B3129" t="s">
        <v>29</v>
      </c>
      <c r="C3129">
        <v>11</v>
      </c>
      <c r="D3129" t="s">
        <v>131</v>
      </c>
      <c r="E3129" t="s">
        <v>523</v>
      </c>
      <c r="F3129">
        <v>10</v>
      </c>
      <c r="G3129">
        <v>2025</v>
      </c>
    </row>
    <row r="3130" spans="1:7" hidden="1" x14ac:dyDescent="0.2">
      <c r="A3130" t="s">
        <v>521</v>
      </c>
      <c r="B3130" t="s">
        <v>29</v>
      </c>
      <c r="C3130">
        <v>11</v>
      </c>
      <c r="D3130" t="s">
        <v>130</v>
      </c>
      <c r="E3130" t="s">
        <v>238</v>
      </c>
      <c r="F3130">
        <v>0</v>
      </c>
      <c r="G3130">
        <v>2025</v>
      </c>
    </row>
    <row r="3131" spans="1:7" hidden="1" x14ac:dyDescent="0.2">
      <c r="A3131" t="s">
        <v>521</v>
      </c>
      <c r="B3131" t="s">
        <v>29</v>
      </c>
      <c r="C3131">
        <v>11</v>
      </c>
      <c r="D3131" t="s">
        <v>293</v>
      </c>
      <c r="E3131" t="s">
        <v>343</v>
      </c>
      <c r="F3131">
        <v>4.0999999999999996</v>
      </c>
      <c r="G3131">
        <v>2025</v>
      </c>
    </row>
    <row r="3132" spans="1:7" hidden="1" x14ac:dyDescent="0.2">
      <c r="A3132" t="s">
        <v>31</v>
      </c>
      <c r="B3132" t="s">
        <v>33</v>
      </c>
      <c r="C3132">
        <v>11</v>
      </c>
      <c r="D3132" t="s">
        <v>125</v>
      </c>
      <c r="E3132" t="s">
        <v>567</v>
      </c>
      <c r="F3132">
        <v>15.42</v>
      </c>
      <c r="G3132">
        <v>2025</v>
      </c>
    </row>
    <row r="3133" spans="1:7" hidden="1" x14ac:dyDescent="0.2">
      <c r="A3133" t="s">
        <v>31</v>
      </c>
      <c r="B3133" t="s">
        <v>33</v>
      </c>
      <c r="C3133">
        <v>11</v>
      </c>
      <c r="D3133" t="s">
        <v>128</v>
      </c>
      <c r="E3133" t="s">
        <v>219</v>
      </c>
      <c r="F3133">
        <v>7.4</v>
      </c>
      <c r="G3133">
        <v>2025</v>
      </c>
    </row>
    <row r="3134" spans="1:7" hidden="1" x14ac:dyDescent="0.2">
      <c r="A3134" t="s">
        <v>31</v>
      </c>
      <c r="B3134" t="s">
        <v>33</v>
      </c>
      <c r="C3134">
        <v>11</v>
      </c>
      <c r="D3134" t="s">
        <v>128</v>
      </c>
      <c r="E3134" t="s">
        <v>292</v>
      </c>
      <c r="F3134">
        <v>7.4</v>
      </c>
      <c r="G3134">
        <v>2025</v>
      </c>
    </row>
    <row r="3135" spans="1:7" hidden="1" x14ac:dyDescent="0.2">
      <c r="A3135" t="s">
        <v>31</v>
      </c>
      <c r="B3135" t="s">
        <v>33</v>
      </c>
      <c r="C3135">
        <v>11</v>
      </c>
      <c r="D3135" t="s">
        <v>128</v>
      </c>
      <c r="E3135" t="s">
        <v>280</v>
      </c>
      <c r="F3135">
        <v>5.0999999999999996</v>
      </c>
      <c r="G3135">
        <v>2025</v>
      </c>
    </row>
    <row r="3136" spans="1:7" hidden="1" x14ac:dyDescent="0.2">
      <c r="A3136" t="s">
        <v>31</v>
      </c>
      <c r="B3136" t="s">
        <v>33</v>
      </c>
      <c r="C3136">
        <v>11</v>
      </c>
      <c r="D3136" t="s">
        <v>127</v>
      </c>
      <c r="E3136" t="s">
        <v>174</v>
      </c>
      <c r="F3136">
        <v>28.3</v>
      </c>
      <c r="G3136">
        <v>2025</v>
      </c>
    </row>
    <row r="3137" spans="1:7" hidden="1" x14ac:dyDescent="0.2">
      <c r="A3137" t="s">
        <v>31</v>
      </c>
      <c r="B3137" t="s">
        <v>33</v>
      </c>
      <c r="C3137">
        <v>11</v>
      </c>
      <c r="D3137" t="s">
        <v>127</v>
      </c>
      <c r="E3137" t="s">
        <v>318</v>
      </c>
      <c r="F3137">
        <v>12.5</v>
      </c>
      <c r="G3137">
        <v>2025</v>
      </c>
    </row>
    <row r="3138" spans="1:7" hidden="1" x14ac:dyDescent="0.2">
      <c r="A3138" t="s">
        <v>31</v>
      </c>
      <c r="B3138" t="s">
        <v>33</v>
      </c>
      <c r="C3138">
        <v>11</v>
      </c>
      <c r="D3138" t="s">
        <v>129</v>
      </c>
      <c r="E3138" t="s">
        <v>585</v>
      </c>
      <c r="F3138">
        <v>5.5</v>
      </c>
      <c r="G3138">
        <v>2025</v>
      </c>
    </row>
    <row r="3139" spans="1:7" hidden="1" x14ac:dyDescent="0.2">
      <c r="A3139" t="s">
        <v>31</v>
      </c>
      <c r="B3139" t="s">
        <v>33</v>
      </c>
      <c r="C3139">
        <v>11</v>
      </c>
      <c r="D3139" t="s">
        <v>131</v>
      </c>
      <c r="E3139" t="s">
        <v>183</v>
      </c>
      <c r="F3139">
        <v>10</v>
      </c>
      <c r="G3139">
        <v>2025</v>
      </c>
    </row>
    <row r="3140" spans="1:7" hidden="1" x14ac:dyDescent="0.2">
      <c r="A3140" t="s">
        <v>31</v>
      </c>
      <c r="B3140" t="s">
        <v>33</v>
      </c>
      <c r="C3140">
        <v>11</v>
      </c>
      <c r="D3140" t="s">
        <v>130</v>
      </c>
      <c r="E3140" t="s">
        <v>184</v>
      </c>
      <c r="F3140">
        <v>22</v>
      </c>
      <c r="G3140">
        <v>2025</v>
      </c>
    </row>
    <row r="3141" spans="1:7" hidden="1" x14ac:dyDescent="0.2">
      <c r="A3141" t="s">
        <v>31</v>
      </c>
      <c r="B3141" t="s">
        <v>33</v>
      </c>
      <c r="C3141">
        <v>11</v>
      </c>
      <c r="D3141" t="s">
        <v>293</v>
      </c>
      <c r="E3141" t="s">
        <v>155</v>
      </c>
      <c r="F3141">
        <v>5.9</v>
      </c>
      <c r="G3141">
        <v>2025</v>
      </c>
    </row>
    <row r="3142" spans="1:7" hidden="1" x14ac:dyDescent="0.2">
      <c r="A3142" t="s">
        <v>525</v>
      </c>
      <c r="B3142" t="s">
        <v>36</v>
      </c>
      <c r="C3142">
        <v>11</v>
      </c>
      <c r="D3142" t="s">
        <v>125</v>
      </c>
      <c r="E3142" t="s">
        <v>386</v>
      </c>
      <c r="F3142">
        <v>3.34</v>
      </c>
      <c r="G3142">
        <v>2025</v>
      </c>
    </row>
    <row r="3143" spans="1:7" hidden="1" x14ac:dyDescent="0.2">
      <c r="A3143" t="s">
        <v>525</v>
      </c>
      <c r="B3143" t="s">
        <v>36</v>
      </c>
      <c r="C3143">
        <v>11</v>
      </c>
      <c r="D3143" t="s">
        <v>128</v>
      </c>
      <c r="E3143" t="s">
        <v>298</v>
      </c>
      <c r="F3143">
        <v>0</v>
      </c>
      <c r="G3143">
        <v>2025</v>
      </c>
    </row>
    <row r="3144" spans="1:7" hidden="1" x14ac:dyDescent="0.2">
      <c r="A3144" t="s">
        <v>525</v>
      </c>
      <c r="B3144" t="s">
        <v>36</v>
      </c>
      <c r="C3144">
        <v>11</v>
      </c>
      <c r="D3144" t="s">
        <v>128</v>
      </c>
      <c r="E3144" t="s">
        <v>527</v>
      </c>
      <c r="F3144">
        <v>6.5</v>
      </c>
      <c r="G3144">
        <v>2025</v>
      </c>
    </row>
    <row r="3145" spans="1:7" hidden="1" x14ac:dyDescent="0.2">
      <c r="A3145" t="s">
        <v>525</v>
      </c>
      <c r="B3145" t="s">
        <v>36</v>
      </c>
      <c r="C3145">
        <v>11</v>
      </c>
      <c r="D3145" t="s">
        <v>128</v>
      </c>
      <c r="E3145" t="s">
        <v>145</v>
      </c>
      <c r="F3145">
        <v>8.4</v>
      </c>
      <c r="G3145">
        <v>2025</v>
      </c>
    </row>
    <row r="3146" spans="1:7" hidden="1" x14ac:dyDescent="0.2">
      <c r="A3146" t="s">
        <v>525</v>
      </c>
      <c r="B3146" t="s">
        <v>36</v>
      </c>
      <c r="C3146">
        <v>11</v>
      </c>
      <c r="D3146" t="s">
        <v>127</v>
      </c>
      <c r="E3146" t="s">
        <v>207</v>
      </c>
      <c r="F3146">
        <v>17.100000000000001</v>
      </c>
      <c r="G3146">
        <v>2025</v>
      </c>
    </row>
    <row r="3147" spans="1:7" hidden="1" x14ac:dyDescent="0.2">
      <c r="A3147" t="s">
        <v>525</v>
      </c>
      <c r="B3147" t="s">
        <v>36</v>
      </c>
      <c r="C3147">
        <v>11</v>
      </c>
      <c r="D3147" t="s">
        <v>127</v>
      </c>
      <c r="E3147" t="s">
        <v>235</v>
      </c>
      <c r="F3147">
        <v>9.6</v>
      </c>
      <c r="G3147">
        <v>2025</v>
      </c>
    </row>
    <row r="3148" spans="1:7" hidden="1" x14ac:dyDescent="0.2">
      <c r="A3148" t="s">
        <v>525</v>
      </c>
      <c r="B3148" t="s">
        <v>36</v>
      </c>
      <c r="C3148">
        <v>11</v>
      </c>
      <c r="D3148" t="s">
        <v>129</v>
      </c>
      <c r="E3148" t="s">
        <v>191</v>
      </c>
      <c r="F3148">
        <v>2.4</v>
      </c>
      <c r="G3148">
        <v>2025</v>
      </c>
    </row>
    <row r="3149" spans="1:7" hidden="1" x14ac:dyDescent="0.2">
      <c r="A3149" t="s">
        <v>525</v>
      </c>
      <c r="B3149" t="s">
        <v>36</v>
      </c>
      <c r="C3149">
        <v>11</v>
      </c>
      <c r="D3149" t="s">
        <v>131</v>
      </c>
      <c r="E3149" t="s">
        <v>192</v>
      </c>
      <c r="F3149">
        <v>13</v>
      </c>
      <c r="G3149">
        <v>2025</v>
      </c>
    </row>
    <row r="3150" spans="1:7" hidden="1" x14ac:dyDescent="0.2">
      <c r="A3150" t="s">
        <v>525</v>
      </c>
      <c r="B3150" t="s">
        <v>36</v>
      </c>
      <c r="C3150">
        <v>11</v>
      </c>
      <c r="D3150" t="s">
        <v>130</v>
      </c>
      <c r="E3150" t="s">
        <v>142</v>
      </c>
      <c r="F3150">
        <v>3</v>
      </c>
      <c r="G3150">
        <v>2025</v>
      </c>
    </row>
    <row r="3151" spans="1:7" hidden="1" x14ac:dyDescent="0.2">
      <c r="A3151" t="s">
        <v>525</v>
      </c>
      <c r="B3151" t="s">
        <v>36</v>
      </c>
      <c r="C3151">
        <v>11</v>
      </c>
      <c r="D3151" t="s">
        <v>293</v>
      </c>
      <c r="E3151" t="s">
        <v>217</v>
      </c>
      <c r="F3151">
        <v>7.2</v>
      </c>
      <c r="G3151">
        <v>2025</v>
      </c>
    </row>
    <row r="3152" spans="1:7" hidden="1" x14ac:dyDescent="0.2">
      <c r="A3152" t="s">
        <v>46</v>
      </c>
      <c r="B3152" t="s">
        <v>47</v>
      </c>
      <c r="C3152">
        <v>11</v>
      </c>
      <c r="D3152" t="s">
        <v>125</v>
      </c>
      <c r="E3152" t="s">
        <v>126</v>
      </c>
      <c r="F3152">
        <v>15.02</v>
      </c>
      <c r="G3152">
        <v>2025</v>
      </c>
    </row>
    <row r="3153" spans="1:7" hidden="1" x14ac:dyDescent="0.2">
      <c r="A3153" t="s">
        <v>46</v>
      </c>
      <c r="B3153" t="s">
        <v>47</v>
      </c>
      <c r="C3153">
        <v>11</v>
      </c>
      <c r="D3153" t="s">
        <v>128</v>
      </c>
      <c r="E3153" t="s">
        <v>178</v>
      </c>
      <c r="F3153">
        <v>6.7</v>
      </c>
      <c r="G3153">
        <v>2025</v>
      </c>
    </row>
    <row r="3154" spans="1:7" hidden="1" x14ac:dyDescent="0.2">
      <c r="A3154" t="s">
        <v>46</v>
      </c>
      <c r="B3154" t="s">
        <v>47</v>
      </c>
      <c r="C3154">
        <v>11</v>
      </c>
      <c r="D3154" t="s">
        <v>128</v>
      </c>
      <c r="E3154" t="s">
        <v>549</v>
      </c>
      <c r="F3154">
        <v>7.5</v>
      </c>
      <c r="G3154">
        <v>2025</v>
      </c>
    </row>
    <row r="3155" spans="1:7" hidden="1" x14ac:dyDescent="0.2">
      <c r="A3155" t="s">
        <v>46</v>
      </c>
      <c r="B3155" t="s">
        <v>47</v>
      </c>
      <c r="C3155">
        <v>11</v>
      </c>
      <c r="D3155" t="s">
        <v>128</v>
      </c>
      <c r="E3155" t="s">
        <v>172</v>
      </c>
      <c r="F3155">
        <v>2.6</v>
      </c>
      <c r="G3155">
        <v>2025</v>
      </c>
    </row>
    <row r="3156" spans="1:7" hidden="1" x14ac:dyDescent="0.2">
      <c r="A3156" t="s">
        <v>46</v>
      </c>
      <c r="B3156" t="s">
        <v>47</v>
      </c>
      <c r="C3156">
        <v>11</v>
      </c>
      <c r="D3156" t="s">
        <v>127</v>
      </c>
      <c r="E3156" t="s">
        <v>372</v>
      </c>
      <c r="F3156">
        <v>32.6</v>
      </c>
      <c r="G3156">
        <v>2025</v>
      </c>
    </row>
    <row r="3157" spans="1:7" hidden="1" x14ac:dyDescent="0.2">
      <c r="A3157" t="s">
        <v>46</v>
      </c>
      <c r="B3157" t="s">
        <v>47</v>
      </c>
      <c r="C3157">
        <v>11</v>
      </c>
      <c r="D3157" t="s">
        <v>127</v>
      </c>
      <c r="E3157" t="s">
        <v>278</v>
      </c>
      <c r="F3157">
        <v>9</v>
      </c>
      <c r="G3157">
        <v>2025</v>
      </c>
    </row>
    <row r="3158" spans="1:7" hidden="1" x14ac:dyDescent="0.2">
      <c r="A3158" t="s">
        <v>46</v>
      </c>
      <c r="B3158" t="s">
        <v>47</v>
      </c>
      <c r="C3158">
        <v>11</v>
      </c>
      <c r="D3158" t="s">
        <v>129</v>
      </c>
      <c r="E3158" t="s">
        <v>182</v>
      </c>
      <c r="F3158">
        <v>10.7</v>
      </c>
      <c r="G3158">
        <v>2025</v>
      </c>
    </row>
    <row r="3159" spans="1:7" hidden="1" x14ac:dyDescent="0.2">
      <c r="A3159" t="s">
        <v>46</v>
      </c>
      <c r="B3159" t="s">
        <v>47</v>
      </c>
      <c r="C3159">
        <v>11</v>
      </c>
      <c r="D3159" t="s">
        <v>131</v>
      </c>
      <c r="E3159" t="s">
        <v>242</v>
      </c>
      <c r="F3159">
        <v>9</v>
      </c>
      <c r="G3159">
        <v>2025</v>
      </c>
    </row>
    <row r="3160" spans="1:7" hidden="1" x14ac:dyDescent="0.2">
      <c r="A3160" t="s">
        <v>46</v>
      </c>
      <c r="B3160" t="s">
        <v>47</v>
      </c>
      <c r="C3160">
        <v>11</v>
      </c>
      <c r="D3160" t="s">
        <v>130</v>
      </c>
      <c r="E3160" t="s">
        <v>193</v>
      </c>
      <c r="F3160">
        <v>10</v>
      </c>
      <c r="G3160">
        <v>2025</v>
      </c>
    </row>
    <row r="3161" spans="1:7" hidden="1" x14ac:dyDescent="0.2">
      <c r="A3161" t="s">
        <v>46</v>
      </c>
      <c r="B3161" t="s">
        <v>47</v>
      </c>
      <c r="C3161">
        <v>11</v>
      </c>
      <c r="D3161" t="s">
        <v>294</v>
      </c>
      <c r="E3161" t="s">
        <v>200</v>
      </c>
      <c r="F3161">
        <v>1.1000000000000001</v>
      </c>
      <c r="G3161">
        <v>2025</v>
      </c>
    </row>
    <row r="3162" spans="1:7" hidden="1" x14ac:dyDescent="0.2">
      <c r="A3162" t="s">
        <v>18</v>
      </c>
      <c r="B3162" t="s">
        <v>20</v>
      </c>
      <c r="C3162">
        <v>11</v>
      </c>
      <c r="D3162" t="s">
        <v>125</v>
      </c>
      <c r="E3162" t="s">
        <v>325</v>
      </c>
      <c r="F3162">
        <v>4.26</v>
      </c>
      <c r="G3162">
        <v>2025</v>
      </c>
    </row>
    <row r="3163" spans="1:7" hidden="1" x14ac:dyDescent="0.2">
      <c r="A3163" t="s">
        <v>18</v>
      </c>
      <c r="B3163" t="s">
        <v>20</v>
      </c>
      <c r="C3163">
        <v>11</v>
      </c>
      <c r="D3163" t="s">
        <v>128</v>
      </c>
      <c r="E3163" t="s">
        <v>134</v>
      </c>
      <c r="F3163">
        <v>9.8000000000000007</v>
      </c>
      <c r="G3163">
        <v>2025</v>
      </c>
    </row>
    <row r="3164" spans="1:7" hidden="1" x14ac:dyDescent="0.2">
      <c r="A3164" t="s">
        <v>18</v>
      </c>
      <c r="B3164" t="s">
        <v>20</v>
      </c>
      <c r="C3164">
        <v>11</v>
      </c>
      <c r="D3164" t="s">
        <v>128</v>
      </c>
      <c r="E3164" t="s">
        <v>248</v>
      </c>
      <c r="F3164">
        <v>16.100000000000001</v>
      </c>
      <c r="G3164">
        <v>2025</v>
      </c>
    </row>
    <row r="3165" spans="1:7" hidden="1" x14ac:dyDescent="0.2">
      <c r="A3165" t="s">
        <v>18</v>
      </c>
      <c r="B3165" t="s">
        <v>20</v>
      </c>
      <c r="C3165">
        <v>11</v>
      </c>
      <c r="D3165" t="s">
        <v>128</v>
      </c>
      <c r="E3165" t="s">
        <v>276</v>
      </c>
      <c r="F3165">
        <v>13.8</v>
      </c>
      <c r="G3165">
        <v>2025</v>
      </c>
    </row>
    <row r="3166" spans="1:7" hidden="1" x14ac:dyDescent="0.2">
      <c r="A3166" t="s">
        <v>18</v>
      </c>
      <c r="B3166" t="s">
        <v>20</v>
      </c>
      <c r="C3166">
        <v>11</v>
      </c>
      <c r="D3166" t="s">
        <v>127</v>
      </c>
      <c r="E3166" t="s">
        <v>154</v>
      </c>
      <c r="F3166">
        <v>19.2</v>
      </c>
      <c r="G3166">
        <v>2025</v>
      </c>
    </row>
    <row r="3167" spans="1:7" hidden="1" x14ac:dyDescent="0.2">
      <c r="A3167" t="s">
        <v>18</v>
      </c>
      <c r="B3167" t="s">
        <v>20</v>
      </c>
      <c r="C3167">
        <v>11</v>
      </c>
      <c r="D3167" t="s">
        <v>127</v>
      </c>
      <c r="E3167" t="s">
        <v>208</v>
      </c>
      <c r="F3167">
        <v>18.899999999999999</v>
      </c>
      <c r="G3167">
        <v>2025</v>
      </c>
    </row>
    <row r="3168" spans="1:7" hidden="1" x14ac:dyDescent="0.2">
      <c r="A3168" t="s">
        <v>18</v>
      </c>
      <c r="B3168" t="s">
        <v>20</v>
      </c>
      <c r="C3168">
        <v>11</v>
      </c>
      <c r="D3168" t="s">
        <v>129</v>
      </c>
      <c r="E3168" t="s">
        <v>227</v>
      </c>
      <c r="F3168">
        <v>3.4</v>
      </c>
      <c r="G3168">
        <v>2025</v>
      </c>
    </row>
    <row r="3169" spans="1:7" hidden="1" x14ac:dyDescent="0.2">
      <c r="A3169" t="s">
        <v>18</v>
      </c>
      <c r="B3169" t="s">
        <v>20</v>
      </c>
      <c r="C3169">
        <v>11</v>
      </c>
      <c r="D3169" t="s">
        <v>131</v>
      </c>
      <c r="E3169" t="s">
        <v>350</v>
      </c>
      <c r="F3169">
        <v>8</v>
      </c>
      <c r="G3169">
        <v>2025</v>
      </c>
    </row>
    <row r="3170" spans="1:7" hidden="1" x14ac:dyDescent="0.2">
      <c r="A3170" t="s">
        <v>18</v>
      </c>
      <c r="B3170" t="s">
        <v>20</v>
      </c>
      <c r="C3170">
        <v>11</v>
      </c>
      <c r="D3170" t="s">
        <v>130</v>
      </c>
      <c r="E3170" t="s">
        <v>307</v>
      </c>
      <c r="F3170">
        <v>6</v>
      </c>
      <c r="G3170">
        <v>2025</v>
      </c>
    </row>
    <row r="3171" spans="1:7" hidden="1" x14ac:dyDescent="0.2">
      <c r="A3171" t="s">
        <v>18</v>
      </c>
      <c r="B3171" t="s">
        <v>20</v>
      </c>
      <c r="C3171">
        <v>11</v>
      </c>
      <c r="D3171" t="s">
        <v>294</v>
      </c>
      <c r="E3171" t="s">
        <v>305</v>
      </c>
      <c r="F3171">
        <v>9</v>
      </c>
      <c r="G3171">
        <v>2025</v>
      </c>
    </row>
    <row r="3172" spans="1:7" hidden="1" x14ac:dyDescent="0.2">
      <c r="A3172" t="s">
        <v>526</v>
      </c>
      <c r="B3172" t="s">
        <v>32</v>
      </c>
      <c r="C3172">
        <v>11</v>
      </c>
      <c r="D3172" t="s">
        <v>125</v>
      </c>
      <c r="E3172" t="s">
        <v>176</v>
      </c>
      <c r="F3172">
        <v>19.3</v>
      </c>
      <c r="G3172">
        <v>2025</v>
      </c>
    </row>
    <row r="3173" spans="1:7" hidden="1" x14ac:dyDescent="0.2">
      <c r="A3173" t="s">
        <v>526</v>
      </c>
      <c r="B3173" t="s">
        <v>32</v>
      </c>
      <c r="C3173">
        <v>11</v>
      </c>
      <c r="D3173" t="s">
        <v>128</v>
      </c>
      <c r="E3173" t="s">
        <v>186</v>
      </c>
      <c r="F3173">
        <v>2.8</v>
      </c>
      <c r="G3173">
        <v>2025</v>
      </c>
    </row>
    <row r="3174" spans="1:7" hidden="1" x14ac:dyDescent="0.2">
      <c r="A3174" t="s">
        <v>526</v>
      </c>
      <c r="B3174" t="s">
        <v>32</v>
      </c>
      <c r="C3174">
        <v>11</v>
      </c>
      <c r="D3174" t="s">
        <v>128</v>
      </c>
      <c r="E3174" t="s">
        <v>283</v>
      </c>
      <c r="F3174">
        <v>3.6</v>
      </c>
      <c r="G3174">
        <v>2025</v>
      </c>
    </row>
    <row r="3175" spans="1:7" hidden="1" x14ac:dyDescent="0.2">
      <c r="A3175" t="s">
        <v>526</v>
      </c>
      <c r="B3175" t="s">
        <v>32</v>
      </c>
      <c r="C3175">
        <v>11</v>
      </c>
      <c r="D3175" t="s">
        <v>128</v>
      </c>
      <c r="E3175" t="s">
        <v>321</v>
      </c>
      <c r="F3175">
        <v>0</v>
      </c>
      <c r="G3175">
        <v>2025</v>
      </c>
    </row>
    <row r="3176" spans="1:7" hidden="1" x14ac:dyDescent="0.2">
      <c r="A3176" t="s">
        <v>526</v>
      </c>
      <c r="B3176" t="s">
        <v>32</v>
      </c>
      <c r="C3176">
        <v>11</v>
      </c>
      <c r="D3176" t="s">
        <v>127</v>
      </c>
      <c r="E3176" t="s">
        <v>148</v>
      </c>
      <c r="F3176">
        <v>19</v>
      </c>
      <c r="G3176">
        <v>2025</v>
      </c>
    </row>
    <row r="3177" spans="1:7" hidden="1" x14ac:dyDescent="0.2">
      <c r="A3177" t="s">
        <v>526</v>
      </c>
      <c r="B3177" t="s">
        <v>32</v>
      </c>
      <c r="C3177">
        <v>11</v>
      </c>
      <c r="D3177" t="s">
        <v>127</v>
      </c>
      <c r="E3177" t="s">
        <v>225</v>
      </c>
      <c r="F3177">
        <v>18.600000000000001</v>
      </c>
      <c r="G3177">
        <v>2025</v>
      </c>
    </row>
    <row r="3178" spans="1:7" hidden="1" x14ac:dyDescent="0.2">
      <c r="A3178" t="s">
        <v>526</v>
      </c>
      <c r="B3178" t="s">
        <v>32</v>
      </c>
      <c r="C3178">
        <v>11</v>
      </c>
      <c r="D3178" t="s">
        <v>129</v>
      </c>
      <c r="E3178" t="s">
        <v>572</v>
      </c>
      <c r="F3178">
        <v>5.0999999999999996</v>
      </c>
      <c r="G3178">
        <v>2025</v>
      </c>
    </row>
    <row r="3179" spans="1:7" hidden="1" x14ac:dyDescent="0.2">
      <c r="A3179" t="s">
        <v>526</v>
      </c>
      <c r="B3179" t="s">
        <v>32</v>
      </c>
      <c r="C3179">
        <v>11</v>
      </c>
      <c r="D3179" t="s">
        <v>131</v>
      </c>
      <c r="E3179" t="s">
        <v>210</v>
      </c>
      <c r="F3179">
        <v>9</v>
      </c>
      <c r="G3179">
        <v>2025</v>
      </c>
    </row>
    <row r="3180" spans="1:7" hidden="1" x14ac:dyDescent="0.2">
      <c r="A3180" t="s">
        <v>526</v>
      </c>
      <c r="B3180" t="s">
        <v>32</v>
      </c>
      <c r="C3180">
        <v>11</v>
      </c>
      <c r="D3180" t="s">
        <v>130</v>
      </c>
      <c r="E3180" t="s">
        <v>358</v>
      </c>
      <c r="F3180">
        <v>3</v>
      </c>
      <c r="G3180">
        <v>2025</v>
      </c>
    </row>
    <row r="3181" spans="1:7" hidden="1" x14ac:dyDescent="0.2">
      <c r="A3181" t="s">
        <v>526</v>
      </c>
      <c r="B3181" t="s">
        <v>32</v>
      </c>
      <c r="C3181">
        <v>11</v>
      </c>
      <c r="D3181" t="s">
        <v>293</v>
      </c>
      <c r="E3181" t="s">
        <v>226</v>
      </c>
      <c r="F3181">
        <v>7.4</v>
      </c>
      <c r="G3181">
        <v>2025</v>
      </c>
    </row>
    <row r="3182" spans="1:7" hidden="1" x14ac:dyDescent="0.2">
      <c r="A3182" t="s">
        <v>77</v>
      </c>
      <c r="B3182" t="s">
        <v>45</v>
      </c>
      <c r="C3182">
        <v>11</v>
      </c>
      <c r="D3182" t="s">
        <v>125</v>
      </c>
      <c r="E3182" t="s">
        <v>577</v>
      </c>
      <c r="F3182">
        <v>6</v>
      </c>
      <c r="G3182">
        <v>2025</v>
      </c>
    </row>
    <row r="3183" spans="1:7" hidden="1" x14ac:dyDescent="0.2">
      <c r="A3183" t="s">
        <v>77</v>
      </c>
      <c r="B3183" t="s">
        <v>45</v>
      </c>
      <c r="C3183">
        <v>11</v>
      </c>
      <c r="D3183" t="s">
        <v>128</v>
      </c>
      <c r="E3183" t="s">
        <v>220</v>
      </c>
      <c r="F3183">
        <v>7.3</v>
      </c>
      <c r="G3183">
        <v>2025</v>
      </c>
    </row>
    <row r="3184" spans="1:7" hidden="1" x14ac:dyDescent="0.2">
      <c r="A3184" t="s">
        <v>77</v>
      </c>
      <c r="B3184" t="s">
        <v>45</v>
      </c>
      <c r="C3184">
        <v>11</v>
      </c>
      <c r="D3184" t="s">
        <v>128</v>
      </c>
      <c r="E3184" t="s">
        <v>187</v>
      </c>
      <c r="F3184">
        <v>5.2</v>
      </c>
      <c r="G3184">
        <v>2025</v>
      </c>
    </row>
    <row r="3185" spans="1:7" hidden="1" x14ac:dyDescent="0.2">
      <c r="A3185" t="s">
        <v>77</v>
      </c>
      <c r="B3185" t="s">
        <v>45</v>
      </c>
      <c r="C3185">
        <v>11</v>
      </c>
      <c r="D3185" t="s">
        <v>128</v>
      </c>
      <c r="E3185" t="s">
        <v>231</v>
      </c>
      <c r="F3185">
        <v>4.5</v>
      </c>
      <c r="G3185">
        <v>2025</v>
      </c>
    </row>
    <row r="3186" spans="1:7" hidden="1" x14ac:dyDescent="0.2">
      <c r="A3186" t="s">
        <v>77</v>
      </c>
      <c r="B3186" t="s">
        <v>45</v>
      </c>
      <c r="C3186">
        <v>11</v>
      </c>
      <c r="D3186" t="s">
        <v>127</v>
      </c>
      <c r="E3186" t="s">
        <v>136</v>
      </c>
      <c r="F3186">
        <v>9.8000000000000007</v>
      </c>
      <c r="G3186">
        <v>2025</v>
      </c>
    </row>
    <row r="3187" spans="1:7" hidden="1" x14ac:dyDescent="0.2">
      <c r="A3187" t="s">
        <v>77</v>
      </c>
      <c r="B3187" t="s">
        <v>45</v>
      </c>
      <c r="C3187">
        <v>11</v>
      </c>
      <c r="D3187" t="s">
        <v>127</v>
      </c>
      <c r="E3187" t="s">
        <v>313</v>
      </c>
      <c r="F3187">
        <v>12.7</v>
      </c>
      <c r="G3187">
        <v>2025</v>
      </c>
    </row>
    <row r="3188" spans="1:7" hidden="1" x14ac:dyDescent="0.2">
      <c r="A3188" t="s">
        <v>77</v>
      </c>
      <c r="B3188" t="s">
        <v>45</v>
      </c>
      <c r="C3188">
        <v>11</v>
      </c>
      <c r="D3188" t="s">
        <v>129</v>
      </c>
      <c r="E3188" t="s">
        <v>165</v>
      </c>
      <c r="F3188">
        <v>6.5</v>
      </c>
      <c r="G3188">
        <v>2025</v>
      </c>
    </row>
    <row r="3189" spans="1:7" hidden="1" x14ac:dyDescent="0.2">
      <c r="A3189" t="s">
        <v>77</v>
      </c>
      <c r="B3189" t="s">
        <v>45</v>
      </c>
      <c r="C3189">
        <v>11</v>
      </c>
      <c r="D3189" t="s">
        <v>131</v>
      </c>
      <c r="E3189" t="s">
        <v>532</v>
      </c>
      <c r="F3189">
        <v>8</v>
      </c>
      <c r="G3189">
        <v>2025</v>
      </c>
    </row>
    <row r="3190" spans="1:7" hidden="1" x14ac:dyDescent="0.2">
      <c r="A3190" t="s">
        <v>77</v>
      </c>
      <c r="B3190" t="s">
        <v>45</v>
      </c>
      <c r="C3190">
        <v>11</v>
      </c>
      <c r="D3190" t="s">
        <v>130</v>
      </c>
      <c r="E3190" t="s">
        <v>302</v>
      </c>
      <c r="F3190">
        <v>4</v>
      </c>
      <c r="G3190">
        <v>2025</v>
      </c>
    </row>
    <row r="3191" spans="1:7" hidden="1" x14ac:dyDescent="0.2">
      <c r="A3191" t="s">
        <v>77</v>
      </c>
      <c r="B3191" t="s">
        <v>45</v>
      </c>
      <c r="C3191">
        <v>11</v>
      </c>
      <c r="D3191" t="s">
        <v>297</v>
      </c>
      <c r="E3191" t="s">
        <v>317</v>
      </c>
      <c r="F3191">
        <v>6.2</v>
      </c>
      <c r="G3191">
        <v>2025</v>
      </c>
    </row>
    <row r="3192" spans="1:7" hidden="1" x14ac:dyDescent="0.2">
      <c r="A3192" t="s">
        <v>35</v>
      </c>
      <c r="B3192" t="s">
        <v>49</v>
      </c>
      <c r="C3192">
        <v>11</v>
      </c>
      <c r="D3192" t="s">
        <v>125</v>
      </c>
      <c r="E3192" t="s">
        <v>168</v>
      </c>
      <c r="F3192">
        <v>14.5</v>
      </c>
      <c r="G3192">
        <v>2025</v>
      </c>
    </row>
    <row r="3193" spans="1:7" hidden="1" x14ac:dyDescent="0.2">
      <c r="A3193" t="s">
        <v>35</v>
      </c>
      <c r="B3193" t="s">
        <v>49</v>
      </c>
      <c r="C3193">
        <v>11</v>
      </c>
      <c r="D3193" t="s">
        <v>128</v>
      </c>
      <c r="E3193" t="s">
        <v>188</v>
      </c>
      <c r="F3193">
        <v>15.4</v>
      </c>
      <c r="G3193">
        <v>2025</v>
      </c>
    </row>
    <row r="3194" spans="1:7" hidden="1" x14ac:dyDescent="0.2">
      <c r="A3194" t="s">
        <v>35</v>
      </c>
      <c r="B3194" t="s">
        <v>49</v>
      </c>
      <c r="C3194">
        <v>11</v>
      </c>
      <c r="D3194" t="s">
        <v>128</v>
      </c>
      <c r="E3194" t="s">
        <v>160</v>
      </c>
      <c r="F3194">
        <v>24.9</v>
      </c>
      <c r="G3194">
        <v>2025</v>
      </c>
    </row>
    <row r="3195" spans="1:7" hidden="1" x14ac:dyDescent="0.2">
      <c r="A3195" t="s">
        <v>35</v>
      </c>
      <c r="B3195" t="s">
        <v>49</v>
      </c>
      <c r="C3195">
        <v>11</v>
      </c>
      <c r="D3195" t="s">
        <v>128</v>
      </c>
      <c r="E3195" t="s">
        <v>147</v>
      </c>
      <c r="F3195">
        <v>6.8</v>
      </c>
      <c r="G3195">
        <v>2025</v>
      </c>
    </row>
    <row r="3196" spans="1:7" hidden="1" x14ac:dyDescent="0.2">
      <c r="A3196" t="s">
        <v>35</v>
      </c>
      <c r="B3196" t="s">
        <v>49</v>
      </c>
      <c r="C3196">
        <v>11</v>
      </c>
      <c r="D3196" t="s">
        <v>127</v>
      </c>
      <c r="E3196" t="s">
        <v>256</v>
      </c>
      <c r="F3196">
        <v>16.100000000000001</v>
      </c>
      <c r="G3196">
        <v>2025</v>
      </c>
    </row>
    <row r="3197" spans="1:7" hidden="1" x14ac:dyDescent="0.2">
      <c r="A3197" t="s">
        <v>35</v>
      </c>
      <c r="B3197" t="s">
        <v>49</v>
      </c>
      <c r="C3197">
        <v>11</v>
      </c>
      <c r="D3197" t="s">
        <v>127</v>
      </c>
      <c r="E3197" t="s">
        <v>556</v>
      </c>
      <c r="F3197">
        <v>5.6</v>
      </c>
      <c r="G3197">
        <v>2025</v>
      </c>
    </row>
    <row r="3198" spans="1:7" hidden="1" x14ac:dyDescent="0.2">
      <c r="A3198" t="s">
        <v>35</v>
      </c>
      <c r="B3198" t="s">
        <v>49</v>
      </c>
      <c r="C3198">
        <v>11</v>
      </c>
      <c r="D3198" t="s">
        <v>129</v>
      </c>
      <c r="E3198" t="s">
        <v>137</v>
      </c>
      <c r="F3198">
        <v>22.5</v>
      </c>
      <c r="G3198">
        <v>2025</v>
      </c>
    </row>
    <row r="3199" spans="1:7" hidden="1" x14ac:dyDescent="0.2">
      <c r="A3199" t="s">
        <v>35</v>
      </c>
      <c r="B3199" t="s">
        <v>49</v>
      </c>
      <c r="C3199">
        <v>11</v>
      </c>
      <c r="D3199" t="s">
        <v>131</v>
      </c>
      <c r="E3199" t="s">
        <v>559</v>
      </c>
      <c r="F3199">
        <v>12</v>
      </c>
      <c r="G3199">
        <v>2025</v>
      </c>
    </row>
    <row r="3200" spans="1:7" hidden="1" x14ac:dyDescent="0.2">
      <c r="A3200" t="s">
        <v>35</v>
      </c>
      <c r="B3200" t="s">
        <v>49</v>
      </c>
      <c r="C3200">
        <v>11</v>
      </c>
      <c r="D3200" t="s">
        <v>130</v>
      </c>
      <c r="E3200" t="s">
        <v>323</v>
      </c>
      <c r="F3200">
        <v>7</v>
      </c>
      <c r="G3200">
        <v>2025</v>
      </c>
    </row>
    <row r="3201" spans="1:7" hidden="1" x14ac:dyDescent="0.2">
      <c r="A3201" t="s">
        <v>35</v>
      </c>
      <c r="B3201" t="s">
        <v>49</v>
      </c>
      <c r="C3201">
        <v>11</v>
      </c>
      <c r="D3201" t="s">
        <v>294</v>
      </c>
      <c r="E3201" t="s">
        <v>205</v>
      </c>
      <c r="F3201">
        <v>1.3</v>
      </c>
      <c r="G3201">
        <v>2025</v>
      </c>
    </row>
    <row r="3202" spans="1:7" hidden="1" x14ac:dyDescent="0.2">
      <c r="A3202" t="s">
        <v>14</v>
      </c>
      <c r="B3202" t="s">
        <v>16</v>
      </c>
      <c r="C3202">
        <v>12</v>
      </c>
      <c r="D3202" t="s">
        <v>125</v>
      </c>
      <c r="E3202" t="s">
        <v>202</v>
      </c>
      <c r="F3202">
        <v>7.22</v>
      </c>
      <c r="G3202">
        <v>2025</v>
      </c>
    </row>
    <row r="3203" spans="1:7" hidden="1" x14ac:dyDescent="0.2">
      <c r="A3203" t="s">
        <v>14</v>
      </c>
      <c r="B3203" t="s">
        <v>16</v>
      </c>
      <c r="C3203">
        <v>12</v>
      </c>
      <c r="D3203" t="s">
        <v>128</v>
      </c>
      <c r="E3203" t="s">
        <v>329</v>
      </c>
      <c r="F3203">
        <v>16.8</v>
      </c>
      <c r="G3203">
        <v>2025</v>
      </c>
    </row>
    <row r="3204" spans="1:7" hidden="1" x14ac:dyDescent="0.2">
      <c r="A3204" t="s">
        <v>14</v>
      </c>
      <c r="B3204" t="s">
        <v>16</v>
      </c>
      <c r="C3204">
        <v>12</v>
      </c>
      <c r="D3204" t="s">
        <v>128</v>
      </c>
      <c r="E3204" t="s">
        <v>254</v>
      </c>
      <c r="F3204">
        <v>11.2</v>
      </c>
      <c r="G3204">
        <v>2025</v>
      </c>
    </row>
    <row r="3205" spans="1:7" hidden="1" x14ac:dyDescent="0.2">
      <c r="A3205" t="s">
        <v>14</v>
      </c>
      <c r="B3205" t="s">
        <v>16</v>
      </c>
      <c r="C3205">
        <v>12</v>
      </c>
      <c r="D3205" t="s">
        <v>128</v>
      </c>
      <c r="E3205" t="s">
        <v>223</v>
      </c>
      <c r="F3205">
        <v>7.4</v>
      </c>
      <c r="G3205">
        <v>2025</v>
      </c>
    </row>
    <row r="3206" spans="1:7" hidden="1" x14ac:dyDescent="0.2">
      <c r="A3206" t="s">
        <v>14</v>
      </c>
      <c r="B3206" t="s">
        <v>16</v>
      </c>
      <c r="C3206">
        <v>12</v>
      </c>
      <c r="D3206" t="s">
        <v>127</v>
      </c>
      <c r="E3206" t="s">
        <v>189</v>
      </c>
      <c r="F3206">
        <v>19.100000000000001</v>
      </c>
      <c r="G3206">
        <v>2025</v>
      </c>
    </row>
    <row r="3207" spans="1:7" hidden="1" x14ac:dyDescent="0.2">
      <c r="A3207" t="s">
        <v>14</v>
      </c>
      <c r="B3207" t="s">
        <v>16</v>
      </c>
      <c r="C3207">
        <v>12</v>
      </c>
      <c r="D3207" t="s">
        <v>127</v>
      </c>
      <c r="E3207" t="s">
        <v>314</v>
      </c>
      <c r="F3207">
        <v>14</v>
      </c>
      <c r="G3207">
        <v>2025</v>
      </c>
    </row>
    <row r="3208" spans="1:7" hidden="1" x14ac:dyDescent="0.2">
      <c r="A3208" t="s">
        <v>14</v>
      </c>
      <c r="B3208" t="s">
        <v>16</v>
      </c>
      <c r="C3208">
        <v>12</v>
      </c>
      <c r="D3208" t="s">
        <v>129</v>
      </c>
      <c r="E3208" t="s">
        <v>236</v>
      </c>
      <c r="F3208">
        <v>10.8</v>
      </c>
      <c r="G3208">
        <v>2025</v>
      </c>
    </row>
    <row r="3209" spans="1:7" hidden="1" x14ac:dyDescent="0.2">
      <c r="A3209" t="s">
        <v>14</v>
      </c>
      <c r="B3209" t="s">
        <v>16</v>
      </c>
      <c r="C3209">
        <v>12</v>
      </c>
      <c r="D3209" t="s">
        <v>131</v>
      </c>
      <c r="E3209" t="s">
        <v>214</v>
      </c>
      <c r="F3209">
        <v>12</v>
      </c>
      <c r="G3209">
        <v>2025</v>
      </c>
    </row>
    <row r="3210" spans="1:7" hidden="1" x14ac:dyDescent="0.2">
      <c r="A3210" t="s">
        <v>14</v>
      </c>
      <c r="B3210" t="s">
        <v>16</v>
      </c>
      <c r="C3210">
        <v>12</v>
      </c>
      <c r="D3210" t="s">
        <v>130</v>
      </c>
      <c r="E3210" t="s">
        <v>279</v>
      </c>
      <c r="F3210">
        <v>6</v>
      </c>
      <c r="G3210">
        <v>2025</v>
      </c>
    </row>
    <row r="3211" spans="1:7" hidden="1" x14ac:dyDescent="0.2">
      <c r="A3211" t="s">
        <v>14</v>
      </c>
      <c r="B3211" t="s">
        <v>16</v>
      </c>
      <c r="C3211">
        <v>12</v>
      </c>
      <c r="D3211" t="s">
        <v>294</v>
      </c>
      <c r="E3211" t="s">
        <v>363</v>
      </c>
      <c r="F3211">
        <v>1.8</v>
      </c>
      <c r="G3211">
        <v>2025</v>
      </c>
    </row>
    <row r="3212" spans="1:7" hidden="1" x14ac:dyDescent="0.2">
      <c r="A3212" t="s">
        <v>26</v>
      </c>
      <c r="B3212" t="s">
        <v>28</v>
      </c>
      <c r="C3212">
        <v>12</v>
      </c>
      <c r="D3212" t="s">
        <v>125</v>
      </c>
      <c r="E3212" t="s">
        <v>586</v>
      </c>
      <c r="F3212">
        <v>8.26</v>
      </c>
      <c r="G3212">
        <v>2025</v>
      </c>
    </row>
    <row r="3213" spans="1:7" hidden="1" x14ac:dyDescent="0.2">
      <c r="A3213" t="s">
        <v>26</v>
      </c>
      <c r="B3213" t="s">
        <v>28</v>
      </c>
      <c r="C3213">
        <v>12</v>
      </c>
      <c r="D3213" t="s">
        <v>128</v>
      </c>
      <c r="E3213" t="s">
        <v>153</v>
      </c>
      <c r="F3213">
        <v>13</v>
      </c>
      <c r="G3213">
        <v>2025</v>
      </c>
    </row>
    <row r="3214" spans="1:7" hidden="1" x14ac:dyDescent="0.2">
      <c r="A3214" t="s">
        <v>26</v>
      </c>
      <c r="B3214" t="s">
        <v>28</v>
      </c>
      <c r="C3214">
        <v>12</v>
      </c>
      <c r="D3214" t="s">
        <v>128</v>
      </c>
      <c r="E3214" t="s">
        <v>179</v>
      </c>
      <c r="F3214">
        <v>13.2</v>
      </c>
      <c r="G3214">
        <v>2025</v>
      </c>
    </row>
    <row r="3215" spans="1:7" hidden="1" x14ac:dyDescent="0.2">
      <c r="A3215" t="s">
        <v>26</v>
      </c>
      <c r="B3215" t="s">
        <v>28</v>
      </c>
      <c r="C3215">
        <v>12</v>
      </c>
      <c r="D3215" t="s">
        <v>128</v>
      </c>
      <c r="E3215" t="s">
        <v>257</v>
      </c>
      <c r="F3215">
        <v>7.9</v>
      </c>
      <c r="G3215">
        <v>2025</v>
      </c>
    </row>
    <row r="3216" spans="1:7" hidden="1" x14ac:dyDescent="0.2">
      <c r="A3216" t="s">
        <v>26</v>
      </c>
      <c r="B3216" t="s">
        <v>28</v>
      </c>
      <c r="C3216">
        <v>12</v>
      </c>
      <c r="D3216" t="s">
        <v>127</v>
      </c>
      <c r="E3216" t="s">
        <v>519</v>
      </c>
      <c r="F3216">
        <v>20.8</v>
      </c>
      <c r="G3216">
        <v>2025</v>
      </c>
    </row>
    <row r="3217" spans="1:7" hidden="1" x14ac:dyDescent="0.2">
      <c r="A3217" t="s">
        <v>26</v>
      </c>
      <c r="B3217" t="s">
        <v>28</v>
      </c>
      <c r="C3217">
        <v>12</v>
      </c>
      <c r="D3217" t="s">
        <v>127</v>
      </c>
      <c r="E3217" t="s">
        <v>545</v>
      </c>
      <c r="F3217">
        <v>16.7</v>
      </c>
      <c r="G3217">
        <v>2025</v>
      </c>
    </row>
    <row r="3218" spans="1:7" hidden="1" x14ac:dyDescent="0.2">
      <c r="A3218" t="s">
        <v>26</v>
      </c>
      <c r="B3218" t="s">
        <v>28</v>
      </c>
      <c r="C3218">
        <v>12</v>
      </c>
      <c r="D3218" t="s">
        <v>129</v>
      </c>
      <c r="E3218" t="s">
        <v>376</v>
      </c>
      <c r="F3218">
        <v>3.9</v>
      </c>
      <c r="G3218">
        <v>2025</v>
      </c>
    </row>
    <row r="3219" spans="1:7" hidden="1" x14ac:dyDescent="0.2">
      <c r="A3219" t="s">
        <v>26</v>
      </c>
      <c r="B3219" t="s">
        <v>28</v>
      </c>
      <c r="C3219">
        <v>12</v>
      </c>
      <c r="D3219" t="s">
        <v>131</v>
      </c>
      <c r="E3219" t="s">
        <v>228</v>
      </c>
      <c r="F3219">
        <v>8</v>
      </c>
      <c r="G3219">
        <v>2025</v>
      </c>
    </row>
    <row r="3220" spans="1:7" x14ac:dyDescent="0.2">
      <c r="A3220" t="s">
        <v>26</v>
      </c>
      <c r="B3220" t="s">
        <v>28</v>
      </c>
      <c r="C3220">
        <v>12</v>
      </c>
      <c r="D3220" t="s">
        <v>130</v>
      </c>
      <c r="E3220" t="s">
        <v>281</v>
      </c>
      <c r="F3220">
        <v>5</v>
      </c>
      <c r="G3220">
        <v>2025</v>
      </c>
    </row>
    <row r="3221" spans="1:7" hidden="1" x14ac:dyDescent="0.2">
      <c r="A3221" t="s">
        <v>26</v>
      </c>
      <c r="B3221" t="s">
        <v>28</v>
      </c>
      <c r="C3221">
        <v>12</v>
      </c>
      <c r="D3221" t="s">
        <v>293</v>
      </c>
      <c r="E3221" t="s">
        <v>403</v>
      </c>
      <c r="F3221">
        <v>9.5</v>
      </c>
      <c r="G3221">
        <v>2025</v>
      </c>
    </row>
    <row r="3222" spans="1:7" hidden="1" x14ac:dyDescent="0.2">
      <c r="A3222" t="s">
        <v>42</v>
      </c>
      <c r="B3222" t="s">
        <v>17</v>
      </c>
      <c r="C3222">
        <v>12</v>
      </c>
      <c r="D3222" t="s">
        <v>125</v>
      </c>
      <c r="E3222" t="s">
        <v>141</v>
      </c>
      <c r="F3222">
        <v>27.06</v>
      </c>
      <c r="G3222">
        <v>2025</v>
      </c>
    </row>
    <row r="3223" spans="1:7" hidden="1" x14ac:dyDescent="0.2">
      <c r="A3223" t="s">
        <v>42</v>
      </c>
      <c r="B3223" t="s">
        <v>17</v>
      </c>
      <c r="C3223">
        <v>12</v>
      </c>
      <c r="D3223" t="s">
        <v>128</v>
      </c>
      <c r="E3223" t="s">
        <v>315</v>
      </c>
      <c r="F3223">
        <v>26.1</v>
      </c>
      <c r="G3223">
        <v>2025</v>
      </c>
    </row>
    <row r="3224" spans="1:7" hidden="1" x14ac:dyDescent="0.2">
      <c r="A3224" t="s">
        <v>42</v>
      </c>
      <c r="B3224" t="s">
        <v>17</v>
      </c>
      <c r="C3224">
        <v>12</v>
      </c>
      <c r="D3224" t="s">
        <v>128</v>
      </c>
      <c r="E3224" t="s">
        <v>522</v>
      </c>
      <c r="F3224">
        <v>10.5</v>
      </c>
      <c r="G3224">
        <v>2025</v>
      </c>
    </row>
    <row r="3225" spans="1:7" hidden="1" x14ac:dyDescent="0.2">
      <c r="A3225" t="s">
        <v>42</v>
      </c>
      <c r="B3225" t="s">
        <v>17</v>
      </c>
      <c r="C3225">
        <v>12</v>
      </c>
      <c r="D3225" t="s">
        <v>128</v>
      </c>
      <c r="E3225" t="s">
        <v>232</v>
      </c>
      <c r="F3225">
        <v>7</v>
      </c>
      <c r="G3225">
        <v>2025</v>
      </c>
    </row>
    <row r="3226" spans="1:7" hidden="1" x14ac:dyDescent="0.2">
      <c r="A3226" t="s">
        <v>42</v>
      </c>
      <c r="B3226" t="s">
        <v>17</v>
      </c>
      <c r="C3226">
        <v>12</v>
      </c>
      <c r="D3226" t="s">
        <v>127</v>
      </c>
      <c r="E3226" t="s">
        <v>428</v>
      </c>
      <c r="F3226">
        <v>5.4</v>
      </c>
      <c r="G3226">
        <v>2025</v>
      </c>
    </row>
    <row r="3227" spans="1:7" hidden="1" x14ac:dyDescent="0.2">
      <c r="A3227" t="s">
        <v>42</v>
      </c>
      <c r="B3227" t="s">
        <v>17</v>
      </c>
      <c r="C3227">
        <v>12</v>
      </c>
      <c r="D3227" t="s">
        <v>127</v>
      </c>
      <c r="E3227" t="s">
        <v>197</v>
      </c>
      <c r="F3227">
        <v>2.5</v>
      </c>
      <c r="G3227">
        <v>2025</v>
      </c>
    </row>
    <row r="3228" spans="1:7" hidden="1" x14ac:dyDescent="0.2">
      <c r="A3228" t="s">
        <v>42</v>
      </c>
      <c r="B3228" t="s">
        <v>17</v>
      </c>
      <c r="C3228">
        <v>12</v>
      </c>
      <c r="D3228" t="s">
        <v>129</v>
      </c>
      <c r="E3228" t="s">
        <v>245</v>
      </c>
      <c r="F3228">
        <v>1.3</v>
      </c>
      <c r="G3228">
        <v>2025</v>
      </c>
    </row>
    <row r="3229" spans="1:7" hidden="1" x14ac:dyDescent="0.2">
      <c r="A3229" t="s">
        <v>42</v>
      </c>
      <c r="B3229" t="s">
        <v>17</v>
      </c>
      <c r="C3229">
        <v>12</v>
      </c>
      <c r="D3229" t="s">
        <v>131</v>
      </c>
      <c r="E3229" t="s">
        <v>339</v>
      </c>
      <c r="F3229">
        <v>1</v>
      </c>
      <c r="G3229">
        <v>2025</v>
      </c>
    </row>
    <row r="3230" spans="1:7" hidden="1" x14ac:dyDescent="0.2">
      <c r="A3230" t="s">
        <v>42</v>
      </c>
      <c r="B3230" t="s">
        <v>17</v>
      </c>
      <c r="C3230">
        <v>12</v>
      </c>
      <c r="D3230" t="s">
        <v>130</v>
      </c>
      <c r="E3230" t="s">
        <v>260</v>
      </c>
      <c r="F3230">
        <v>12</v>
      </c>
      <c r="G3230">
        <v>2025</v>
      </c>
    </row>
    <row r="3231" spans="1:7" hidden="1" x14ac:dyDescent="0.2">
      <c r="A3231" t="s">
        <v>42</v>
      </c>
      <c r="B3231" t="s">
        <v>17</v>
      </c>
      <c r="C3231">
        <v>12</v>
      </c>
      <c r="D3231" t="s">
        <v>294</v>
      </c>
      <c r="E3231" t="s">
        <v>336</v>
      </c>
      <c r="F3231">
        <v>2</v>
      </c>
      <c r="G3231">
        <v>2025</v>
      </c>
    </row>
    <row r="3232" spans="1:7" hidden="1" x14ac:dyDescent="0.2">
      <c r="A3232" t="s">
        <v>521</v>
      </c>
      <c r="B3232" t="s">
        <v>29</v>
      </c>
      <c r="C3232">
        <v>12</v>
      </c>
      <c r="D3232" t="s">
        <v>125</v>
      </c>
      <c r="E3232" t="s">
        <v>150</v>
      </c>
      <c r="F3232">
        <v>17.079999999999998</v>
      </c>
      <c r="G3232">
        <v>2025</v>
      </c>
    </row>
    <row r="3233" spans="1:7" hidden="1" x14ac:dyDescent="0.2">
      <c r="A3233" t="s">
        <v>521</v>
      </c>
      <c r="B3233" t="s">
        <v>29</v>
      </c>
      <c r="C3233">
        <v>12</v>
      </c>
      <c r="D3233" t="s">
        <v>128</v>
      </c>
      <c r="E3233" t="s">
        <v>151</v>
      </c>
      <c r="F3233">
        <v>20.7</v>
      </c>
      <c r="G3233">
        <v>2025</v>
      </c>
    </row>
    <row r="3234" spans="1:7" hidden="1" x14ac:dyDescent="0.2">
      <c r="A3234" t="s">
        <v>521</v>
      </c>
      <c r="B3234" t="s">
        <v>29</v>
      </c>
      <c r="C3234">
        <v>12</v>
      </c>
      <c r="D3234" t="s">
        <v>128</v>
      </c>
      <c r="E3234" t="s">
        <v>171</v>
      </c>
      <c r="F3234">
        <v>6.8</v>
      </c>
      <c r="G3234">
        <v>2025</v>
      </c>
    </row>
    <row r="3235" spans="1:7" hidden="1" x14ac:dyDescent="0.2">
      <c r="A3235" t="s">
        <v>521</v>
      </c>
      <c r="B3235" t="s">
        <v>29</v>
      </c>
      <c r="C3235">
        <v>12</v>
      </c>
      <c r="D3235" t="s">
        <v>128</v>
      </c>
      <c r="E3235" t="s">
        <v>199</v>
      </c>
      <c r="F3235">
        <v>3</v>
      </c>
      <c r="G3235">
        <v>2025</v>
      </c>
    </row>
    <row r="3236" spans="1:7" hidden="1" x14ac:dyDescent="0.2">
      <c r="A3236" t="s">
        <v>521</v>
      </c>
      <c r="B3236" t="s">
        <v>29</v>
      </c>
      <c r="C3236">
        <v>12</v>
      </c>
      <c r="D3236" t="s">
        <v>127</v>
      </c>
      <c r="E3236" t="s">
        <v>587</v>
      </c>
      <c r="F3236">
        <v>25.5</v>
      </c>
      <c r="G3236">
        <v>2025</v>
      </c>
    </row>
    <row r="3237" spans="1:7" hidden="1" x14ac:dyDescent="0.2">
      <c r="A3237" t="s">
        <v>521</v>
      </c>
      <c r="B3237" t="s">
        <v>29</v>
      </c>
      <c r="C3237">
        <v>12</v>
      </c>
      <c r="D3237" t="s">
        <v>127</v>
      </c>
      <c r="E3237" t="s">
        <v>175</v>
      </c>
      <c r="F3237">
        <v>12.8</v>
      </c>
      <c r="G3237">
        <v>2025</v>
      </c>
    </row>
    <row r="3238" spans="1:7" hidden="1" x14ac:dyDescent="0.2">
      <c r="A3238" t="s">
        <v>521</v>
      </c>
      <c r="B3238" t="s">
        <v>29</v>
      </c>
      <c r="C3238">
        <v>12</v>
      </c>
      <c r="D3238" t="s">
        <v>129</v>
      </c>
      <c r="E3238" t="s">
        <v>196</v>
      </c>
      <c r="F3238">
        <v>1.6</v>
      </c>
      <c r="G3238">
        <v>2025</v>
      </c>
    </row>
    <row r="3239" spans="1:7" hidden="1" x14ac:dyDescent="0.2">
      <c r="A3239" t="s">
        <v>521</v>
      </c>
      <c r="B3239" t="s">
        <v>29</v>
      </c>
      <c r="C3239">
        <v>12</v>
      </c>
      <c r="D3239" t="s">
        <v>131</v>
      </c>
      <c r="E3239" t="s">
        <v>374</v>
      </c>
      <c r="F3239">
        <v>12</v>
      </c>
      <c r="G3239">
        <v>2025</v>
      </c>
    </row>
    <row r="3240" spans="1:7" hidden="1" x14ac:dyDescent="0.2">
      <c r="A3240" t="s">
        <v>521</v>
      </c>
      <c r="B3240" t="s">
        <v>29</v>
      </c>
      <c r="C3240">
        <v>12</v>
      </c>
      <c r="D3240" t="s">
        <v>130</v>
      </c>
      <c r="E3240" t="s">
        <v>251</v>
      </c>
      <c r="F3240">
        <v>17</v>
      </c>
      <c r="G3240">
        <v>2025</v>
      </c>
    </row>
    <row r="3241" spans="1:7" hidden="1" x14ac:dyDescent="0.2">
      <c r="A3241" t="s">
        <v>521</v>
      </c>
      <c r="B3241" t="s">
        <v>29</v>
      </c>
      <c r="C3241">
        <v>12</v>
      </c>
      <c r="D3241" t="s">
        <v>293</v>
      </c>
      <c r="E3241" t="s">
        <v>198</v>
      </c>
      <c r="F3241">
        <v>7.6</v>
      </c>
      <c r="G3241">
        <v>2025</v>
      </c>
    </row>
    <row r="3242" spans="1:7" hidden="1" x14ac:dyDescent="0.2">
      <c r="A3242" t="s">
        <v>524</v>
      </c>
      <c r="B3242" t="s">
        <v>21</v>
      </c>
      <c r="C3242">
        <v>12</v>
      </c>
      <c r="D3242" t="s">
        <v>125</v>
      </c>
      <c r="E3242" t="s">
        <v>212</v>
      </c>
      <c r="F3242">
        <v>8.1199999999999992</v>
      </c>
      <c r="G3242">
        <v>2025</v>
      </c>
    </row>
    <row r="3243" spans="1:7" hidden="1" x14ac:dyDescent="0.2">
      <c r="A3243" t="s">
        <v>524</v>
      </c>
      <c r="B3243" t="s">
        <v>21</v>
      </c>
      <c r="C3243">
        <v>12</v>
      </c>
      <c r="D3243" t="s">
        <v>128</v>
      </c>
      <c r="E3243" t="s">
        <v>370</v>
      </c>
      <c r="F3243">
        <v>15.6</v>
      </c>
      <c r="G3243">
        <v>2025</v>
      </c>
    </row>
    <row r="3244" spans="1:7" hidden="1" x14ac:dyDescent="0.2">
      <c r="A3244" t="s">
        <v>524</v>
      </c>
      <c r="B3244" t="s">
        <v>21</v>
      </c>
      <c r="C3244">
        <v>12</v>
      </c>
      <c r="D3244" t="s">
        <v>128</v>
      </c>
      <c r="E3244" t="s">
        <v>177</v>
      </c>
      <c r="F3244">
        <v>9.5</v>
      </c>
      <c r="G3244">
        <v>2025</v>
      </c>
    </row>
    <row r="3245" spans="1:7" hidden="1" x14ac:dyDescent="0.2">
      <c r="A3245" t="s">
        <v>524</v>
      </c>
      <c r="B3245" t="s">
        <v>21</v>
      </c>
      <c r="C3245">
        <v>12</v>
      </c>
      <c r="D3245" t="s">
        <v>128</v>
      </c>
      <c r="E3245" t="s">
        <v>222</v>
      </c>
      <c r="F3245">
        <v>0</v>
      </c>
      <c r="G3245">
        <v>2025</v>
      </c>
    </row>
    <row r="3246" spans="1:7" hidden="1" x14ac:dyDescent="0.2">
      <c r="A3246" t="s">
        <v>524</v>
      </c>
      <c r="B3246" t="s">
        <v>21</v>
      </c>
      <c r="C3246">
        <v>12</v>
      </c>
      <c r="D3246" t="s">
        <v>127</v>
      </c>
      <c r="E3246" t="s">
        <v>216</v>
      </c>
      <c r="F3246">
        <v>8.9</v>
      </c>
      <c r="G3246">
        <v>2025</v>
      </c>
    </row>
    <row r="3247" spans="1:7" hidden="1" x14ac:dyDescent="0.2">
      <c r="A3247" t="s">
        <v>524</v>
      </c>
      <c r="B3247" t="s">
        <v>21</v>
      </c>
      <c r="C3247">
        <v>12</v>
      </c>
      <c r="D3247" t="s">
        <v>127</v>
      </c>
      <c r="E3247" t="s">
        <v>528</v>
      </c>
      <c r="F3247">
        <v>9.6</v>
      </c>
      <c r="G3247">
        <v>2025</v>
      </c>
    </row>
    <row r="3248" spans="1:7" hidden="1" x14ac:dyDescent="0.2">
      <c r="A3248" t="s">
        <v>524</v>
      </c>
      <c r="B3248" t="s">
        <v>21</v>
      </c>
      <c r="C3248">
        <v>12</v>
      </c>
      <c r="D3248" t="s">
        <v>129</v>
      </c>
      <c r="E3248" t="s">
        <v>249</v>
      </c>
      <c r="F3248">
        <v>6.4</v>
      </c>
      <c r="G3248">
        <v>2025</v>
      </c>
    </row>
    <row r="3249" spans="1:7" hidden="1" x14ac:dyDescent="0.2">
      <c r="A3249" t="s">
        <v>524</v>
      </c>
      <c r="B3249" t="s">
        <v>21</v>
      </c>
      <c r="C3249">
        <v>12</v>
      </c>
      <c r="D3249" t="s">
        <v>131</v>
      </c>
      <c r="E3249" t="s">
        <v>357</v>
      </c>
      <c r="F3249">
        <v>10</v>
      </c>
      <c r="G3249">
        <v>2025</v>
      </c>
    </row>
    <row r="3250" spans="1:7" hidden="1" x14ac:dyDescent="0.2">
      <c r="A3250" t="s">
        <v>524</v>
      </c>
      <c r="B3250" t="s">
        <v>21</v>
      </c>
      <c r="C3250">
        <v>12</v>
      </c>
      <c r="D3250" t="s">
        <v>130</v>
      </c>
      <c r="E3250" t="s">
        <v>326</v>
      </c>
      <c r="F3250">
        <v>21</v>
      </c>
      <c r="G3250">
        <v>2025</v>
      </c>
    </row>
    <row r="3251" spans="1:7" hidden="1" x14ac:dyDescent="0.2">
      <c r="A3251" t="s">
        <v>524</v>
      </c>
      <c r="B3251" t="s">
        <v>21</v>
      </c>
      <c r="C3251">
        <v>12</v>
      </c>
      <c r="D3251" t="s">
        <v>293</v>
      </c>
      <c r="E3251" t="s">
        <v>181</v>
      </c>
      <c r="F3251">
        <v>5.2</v>
      </c>
      <c r="G3251">
        <v>2025</v>
      </c>
    </row>
    <row r="3252" spans="1:7" hidden="1" x14ac:dyDescent="0.2">
      <c r="A3252" t="s">
        <v>18</v>
      </c>
      <c r="B3252" t="s">
        <v>20</v>
      </c>
      <c r="C3252">
        <v>12</v>
      </c>
      <c r="D3252" t="s">
        <v>125</v>
      </c>
      <c r="E3252" t="s">
        <v>325</v>
      </c>
      <c r="F3252">
        <v>17.66</v>
      </c>
      <c r="G3252">
        <v>2025</v>
      </c>
    </row>
    <row r="3253" spans="1:7" hidden="1" x14ac:dyDescent="0.2">
      <c r="A3253" t="s">
        <v>18</v>
      </c>
      <c r="B3253" t="s">
        <v>20</v>
      </c>
      <c r="C3253">
        <v>12</v>
      </c>
      <c r="D3253" t="s">
        <v>128</v>
      </c>
      <c r="E3253" t="s">
        <v>134</v>
      </c>
      <c r="F3253">
        <v>9.4</v>
      </c>
      <c r="G3253">
        <v>2025</v>
      </c>
    </row>
    <row r="3254" spans="1:7" hidden="1" x14ac:dyDescent="0.2">
      <c r="A3254" t="s">
        <v>18</v>
      </c>
      <c r="B3254" t="s">
        <v>20</v>
      </c>
      <c r="C3254">
        <v>12</v>
      </c>
      <c r="D3254" t="s">
        <v>128</v>
      </c>
      <c r="E3254" t="s">
        <v>248</v>
      </c>
      <c r="F3254">
        <v>33.1</v>
      </c>
      <c r="G3254">
        <v>2025</v>
      </c>
    </row>
    <row r="3255" spans="1:7" hidden="1" x14ac:dyDescent="0.2">
      <c r="A3255" t="s">
        <v>18</v>
      </c>
      <c r="B3255" t="s">
        <v>20</v>
      </c>
      <c r="C3255">
        <v>12</v>
      </c>
      <c r="D3255" t="s">
        <v>128</v>
      </c>
      <c r="E3255" t="s">
        <v>276</v>
      </c>
      <c r="F3255">
        <v>5.6</v>
      </c>
      <c r="G3255">
        <v>2025</v>
      </c>
    </row>
    <row r="3256" spans="1:7" hidden="1" x14ac:dyDescent="0.2">
      <c r="A3256" t="s">
        <v>18</v>
      </c>
      <c r="B3256" t="s">
        <v>20</v>
      </c>
      <c r="C3256">
        <v>12</v>
      </c>
      <c r="D3256" t="s">
        <v>127</v>
      </c>
      <c r="E3256" t="s">
        <v>154</v>
      </c>
      <c r="F3256">
        <v>21.8</v>
      </c>
      <c r="G3256">
        <v>2025</v>
      </c>
    </row>
    <row r="3257" spans="1:7" hidden="1" x14ac:dyDescent="0.2">
      <c r="A3257" t="s">
        <v>18</v>
      </c>
      <c r="B3257" t="s">
        <v>20</v>
      </c>
      <c r="C3257">
        <v>12</v>
      </c>
      <c r="D3257" t="s">
        <v>127</v>
      </c>
      <c r="E3257" t="s">
        <v>208</v>
      </c>
      <c r="F3257">
        <v>20.399999999999999</v>
      </c>
      <c r="G3257">
        <v>2025</v>
      </c>
    </row>
    <row r="3258" spans="1:7" hidden="1" x14ac:dyDescent="0.2">
      <c r="A3258" t="s">
        <v>18</v>
      </c>
      <c r="B3258" t="s">
        <v>20</v>
      </c>
      <c r="C3258">
        <v>12</v>
      </c>
      <c r="D3258" t="s">
        <v>129</v>
      </c>
      <c r="E3258" t="s">
        <v>227</v>
      </c>
      <c r="F3258">
        <v>3</v>
      </c>
      <c r="G3258">
        <v>2025</v>
      </c>
    </row>
    <row r="3259" spans="1:7" hidden="1" x14ac:dyDescent="0.2">
      <c r="A3259" t="s">
        <v>18</v>
      </c>
      <c r="B3259" t="s">
        <v>20</v>
      </c>
      <c r="C3259">
        <v>12</v>
      </c>
      <c r="D3259" t="s">
        <v>131</v>
      </c>
      <c r="E3259" t="s">
        <v>533</v>
      </c>
      <c r="F3259">
        <v>13</v>
      </c>
      <c r="G3259">
        <v>2025</v>
      </c>
    </row>
    <row r="3260" spans="1:7" hidden="1" x14ac:dyDescent="0.2">
      <c r="A3260" t="s">
        <v>18</v>
      </c>
      <c r="B3260" t="s">
        <v>20</v>
      </c>
      <c r="C3260">
        <v>12</v>
      </c>
      <c r="D3260" t="s">
        <v>130</v>
      </c>
      <c r="E3260" t="s">
        <v>307</v>
      </c>
      <c r="F3260">
        <v>9</v>
      </c>
      <c r="G3260">
        <v>2025</v>
      </c>
    </row>
    <row r="3261" spans="1:7" hidden="1" x14ac:dyDescent="0.2">
      <c r="A3261" t="s">
        <v>18</v>
      </c>
      <c r="B3261" t="s">
        <v>20</v>
      </c>
      <c r="C3261">
        <v>12</v>
      </c>
      <c r="D3261" t="s">
        <v>294</v>
      </c>
      <c r="E3261" t="s">
        <v>305</v>
      </c>
      <c r="F3261">
        <v>0</v>
      </c>
      <c r="G3261">
        <v>2025</v>
      </c>
    </row>
    <row r="3262" spans="1:7" hidden="1" x14ac:dyDescent="0.2">
      <c r="A3262" t="s">
        <v>525</v>
      </c>
      <c r="B3262" t="s">
        <v>36</v>
      </c>
      <c r="C3262">
        <v>12</v>
      </c>
      <c r="D3262" t="s">
        <v>125</v>
      </c>
      <c r="E3262" t="s">
        <v>427</v>
      </c>
      <c r="F3262">
        <v>22.92</v>
      </c>
      <c r="G3262">
        <v>2025</v>
      </c>
    </row>
    <row r="3263" spans="1:7" hidden="1" x14ac:dyDescent="0.2">
      <c r="A3263" t="s">
        <v>525</v>
      </c>
      <c r="B3263" t="s">
        <v>36</v>
      </c>
      <c r="C3263">
        <v>12</v>
      </c>
      <c r="D3263" t="s">
        <v>128</v>
      </c>
      <c r="E3263" t="s">
        <v>527</v>
      </c>
      <c r="F3263">
        <v>4.7</v>
      </c>
      <c r="G3263">
        <v>2025</v>
      </c>
    </row>
    <row r="3264" spans="1:7" hidden="1" x14ac:dyDescent="0.2">
      <c r="A3264" t="s">
        <v>525</v>
      </c>
      <c r="B3264" t="s">
        <v>36</v>
      </c>
      <c r="C3264">
        <v>12</v>
      </c>
      <c r="D3264" t="s">
        <v>128</v>
      </c>
      <c r="E3264" t="s">
        <v>145</v>
      </c>
      <c r="F3264">
        <v>21</v>
      </c>
      <c r="G3264">
        <v>2025</v>
      </c>
    </row>
    <row r="3265" spans="1:7" hidden="1" x14ac:dyDescent="0.2">
      <c r="A3265" t="s">
        <v>525</v>
      </c>
      <c r="B3265" t="s">
        <v>36</v>
      </c>
      <c r="C3265">
        <v>12</v>
      </c>
      <c r="D3265" t="s">
        <v>128</v>
      </c>
      <c r="E3265" t="s">
        <v>161</v>
      </c>
      <c r="F3265">
        <v>11.5</v>
      </c>
      <c r="G3265">
        <v>2025</v>
      </c>
    </row>
    <row r="3266" spans="1:7" hidden="1" x14ac:dyDescent="0.2">
      <c r="A3266" t="s">
        <v>525</v>
      </c>
      <c r="B3266" t="s">
        <v>36</v>
      </c>
      <c r="C3266">
        <v>12</v>
      </c>
      <c r="D3266" t="s">
        <v>127</v>
      </c>
      <c r="E3266" t="s">
        <v>207</v>
      </c>
      <c r="F3266">
        <v>49.9</v>
      </c>
      <c r="G3266">
        <v>2025</v>
      </c>
    </row>
    <row r="3267" spans="1:7" hidden="1" x14ac:dyDescent="0.2">
      <c r="A3267" t="s">
        <v>525</v>
      </c>
      <c r="B3267" t="s">
        <v>36</v>
      </c>
      <c r="C3267">
        <v>12</v>
      </c>
      <c r="D3267" t="s">
        <v>127</v>
      </c>
      <c r="E3267" t="s">
        <v>235</v>
      </c>
      <c r="F3267">
        <v>7.2</v>
      </c>
      <c r="G3267">
        <v>2025</v>
      </c>
    </row>
    <row r="3268" spans="1:7" hidden="1" x14ac:dyDescent="0.2">
      <c r="A3268" t="s">
        <v>525</v>
      </c>
      <c r="B3268" t="s">
        <v>36</v>
      </c>
      <c r="C3268">
        <v>12</v>
      </c>
      <c r="D3268" t="s">
        <v>129</v>
      </c>
      <c r="E3268" t="s">
        <v>191</v>
      </c>
      <c r="F3268">
        <v>3.5</v>
      </c>
      <c r="G3268">
        <v>2025</v>
      </c>
    </row>
    <row r="3269" spans="1:7" hidden="1" x14ac:dyDescent="0.2">
      <c r="A3269" t="s">
        <v>525</v>
      </c>
      <c r="B3269" t="s">
        <v>36</v>
      </c>
      <c r="C3269">
        <v>12</v>
      </c>
      <c r="D3269" t="s">
        <v>131</v>
      </c>
      <c r="E3269" t="s">
        <v>192</v>
      </c>
      <c r="F3269">
        <v>13</v>
      </c>
      <c r="G3269">
        <v>2025</v>
      </c>
    </row>
    <row r="3270" spans="1:7" hidden="1" x14ac:dyDescent="0.2">
      <c r="A3270" t="s">
        <v>525</v>
      </c>
      <c r="B3270" t="s">
        <v>36</v>
      </c>
      <c r="C3270">
        <v>12</v>
      </c>
      <c r="D3270" t="s">
        <v>130</v>
      </c>
      <c r="E3270" t="s">
        <v>142</v>
      </c>
      <c r="F3270">
        <v>5</v>
      </c>
      <c r="G3270">
        <v>2025</v>
      </c>
    </row>
    <row r="3271" spans="1:7" hidden="1" x14ac:dyDescent="0.2">
      <c r="A3271" t="s">
        <v>525</v>
      </c>
      <c r="B3271" t="s">
        <v>36</v>
      </c>
      <c r="C3271">
        <v>12</v>
      </c>
      <c r="D3271" t="s">
        <v>293</v>
      </c>
      <c r="E3271" t="s">
        <v>217</v>
      </c>
      <c r="F3271">
        <v>4.7</v>
      </c>
      <c r="G3271">
        <v>2025</v>
      </c>
    </row>
    <row r="3272" spans="1:7" hidden="1" x14ac:dyDescent="0.2">
      <c r="A3272" t="s">
        <v>526</v>
      </c>
      <c r="B3272" t="s">
        <v>32</v>
      </c>
      <c r="C3272">
        <v>12</v>
      </c>
      <c r="D3272" t="s">
        <v>125</v>
      </c>
      <c r="E3272" t="s">
        <v>176</v>
      </c>
      <c r="F3272">
        <v>7.32</v>
      </c>
      <c r="G3272">
        <v>2025</v>
      </c>
    </row>
    <row r="3273" spans="1:7" hidden="1" x14ac:dyDescent="0.2">
      <c r="A3273" t="s">
        <v>526</v>
      </c>
      <c r="B3273" t="s">
        <v>32</v>
      </c>
      <c r="C3273">
        <v>12</v>
      </c>
      <c r="D3273" t="s">
        <v>128</v>
      </c>
      <c r="E3273" t="s">
        <v>328</v>
      </c>
      <c r="F3273">
        <v>14.9</v>
      </c>
      <c r="G3273">
        <v>2025</v>
      </c>
    </row>
    <row r="3274" spans="1:7" hidden="1" x14ac:dyDescent="0.2">
      <c r="A3274" t="s">
        <v>526</v>
      </c>
      <c r="B3274" t="s">
        <v>32</v>
      </c>
      <c r="C3274">
        <v>12</v>
      </c>
      <c r="D3274" t="s">
        <v>128</v>
      </c>
      <c r="E3274" t="s">
        <v>204</v>
      </c>
      <c r="F3274">
        <v>3.4</v>
      </c>
      <c r="G3274">
        <v>2025</v>
      </c>
    </row>
    <row r="3275" spans="1:7" hidden="1" x14ac:dyDescent="0.2">
      <c r="A3275" t="s">
        <v>526</v>
      </c>
      <c r="B3275" t="s">
        <v>32</v>
      </c>
      <c r="C3275">
        <v>12</v>
      </c>
      <c r="D3275" t="s">
        <v>128</v>
      </c>
      <c r="E3275" t="s">
        <v>233</v>
      </c>
      <c r="F3275">
        <v>8.6</v>
      </c>
      <c r="G3275">
        <v>2025</v>
      </c>
    </row>
    <row r="3276" spans="1:7" hidden="1" x14ac:dyDescent="0.2">
      <c r="A3276" t="s">
        <v>526</v>
      </c>
      <c r="B3276" t="s">
        <v>32</v>
      </c>
      <c r="C3276">
        <v>12</v>
      </c>
      <c r="D3276" t="s">
        <v>127</v>
      </c>
      <c r="E3276" t="s">
        <v>225</v>
      </c>
      <c r="F3276">
        <v>11.6</v>
      </c>
      <c r="G3276">
        <v>2025</v>
      </c>
    </row>
    <row r="3277" spans="1:7" hidden="1" x14ac:dyDescent="0.2">
      <c r="A3277" t="s">
        <v>526</v>
      </c>
      <c r="B3277" t="s">
        <v>32</v>
      </c>
      <c r="C3277">
        <v>12</v>
      </c>
      <c r="D3277" t="s">
        <v>127</v>
      </c>
      <c r="E3277" t="s">
        <v>226</v>
      </c>
      <c r="F3277">
        <v>11.9</v>
      </c>
      <c r="G3277">
        <v>2025</v>
      </c>
    </row>
    <row r="3278" spans="1:7" hidden="1" x14ac:dyDescent="0.2">
      <c r="A3278" t="s">
        <v>526</v>
      </c>
      <c r="B3278" t="s">
        <v>32</v>
      </c>
      <c r="C3278">
        <v>12</v>
      </c>
      <c r="D3278" t="s">
        <v>129</v>
      </c>
      <c r="E3278" t="s">
        <v>572</v>
      </c>
      <c r="F3278">
        <v>9.1999999999999993</v>
      </c>
      <c r="G3278">
        <v>2025</v>
      </c>
    </row>
    <row r="3279" spans="1:7" hidden="1" x14ac:dyDescent="0.2">
      <c r="A3279" t="s">
        <v>526</v>
      </c>
      <c r="B3279" t="s">
        <v>32</v>
      </c>
      <c r="C3279">
        <v>12</v>
      </c>
      <c r="D3279" t="s">
        <v>131</v>
      </c>
      <c r="E3279" t="s">
        <v>210</v>
      </c>
      <c r="F3279">
        <v>7</v>
      </c>
      <c r="G3279">
        <v>2025</v>
      </c>
    </row>
    <row r="3280" spans="1:7" hidden="1" x14ac:dyDescent="0.2">
      <c r="A3280" t="s">
        <v>526</v>
      </c>
      <c r="B3280" t="s">
        <v>32</v>
      </c>
      <c r="C3280">
        <v>12</v>
      </c>
      <c r="D3280" t="s">
        <v>130</v>
      </c>
      <c r="E3280" t="s">
        <v>358</v>
      </c>
      <c r="F3280">
        <v>-3</v>
      </c>
      <c r="G3280">
        <v>2025</v>
      </c>
    </row>
    <row r="3281" spans="1:7" hidden="1" x14ac:dyDescent="0.2">
      <c r="A3281" t="s">
        <v>526</v>
      </c>
      <c r="B3281" t="s">
        <v>32</v>
      </c>
      <c r="C3281">
        <v>12</v>
      </c>
      <c r="D3281" t="s">
        <v>294</v>
      </c>
      <c r="E3281" t="s">
        <v>283</v>
      </c>
      <c r="F3281">
        <v>2.4</v>
      </c>
      <c r="G3281">
        <v>2025</v>
      </c>
    </row>
    <row r="3282" spans="1:7" hidden="1" x14ac:dyDescent="0.2">
      <c r="A3282" t="s">
        <v>77</v>
      </c>
      <c r="B3282" t="s">
        <v>45</v>
      </c>
      <c r="C3282">
        <v>12</v>
      </c>
      <c r="D3282" t="s">
        <v>125</v>
      </c>
      <c r="E3282" t="s">
        <v>241</v>
      </c>
      <c r="F3282">
        <v>3.54</v>
      </c>
      <c r="G3282">
        <v>2025</v>
      </c>
    </row>
    <row r="3283" spans="1:7" hidden="1" x14ac:dyDescent="0.2">
      <c r="A3283" t="s">
        <v>77</v>
      </c>
      <c r="B3283" t="s">
        <v>45</v>
      </c>
      <c r="C3283">
        <v>12</v>
      </c>
      <c r="D3283" t="s">
        <v>128</v>
      </c>
      <c r="E3283" t="s">
        <v>187</v>
      </c>
      <c r="F3283">
        <v>25.4</v>
      </c>
      <c r="G3283">
        <v>2025</v>
      </c>
    </row>
    <row r="3284" spans="1:7" hidden="1" x14ac:dyDescent="0.2">
      <c r="A3284" t="s">
        <v>77</v>
      </c>
      <c r="B3284" t="s">
        <v>45</v>
      </c>
      <c r="C3284">
        <v>12</v>
      </c>
      <c r="D3284" t="s">
        <v>128</v>
      </c>
      <c r="E3284" t="s">
        <v>220</v>
      </c>
      <c r="F3284">
        <v>3.3</v>
      </c>
      <c r="G3284">
        <v>2025</v>
      </c>
    </row>
    <row r="3285" spans="1:7" hidden="1" x14ac:dyDescent="0.2">
      <c r="A3285" t="s">
        <v>77</v>
      </c>
      <c r="B3285" t="s">
        <v>45</v>
      </c>
      <c r="C3285">
        <v>12</v>
      </c>
      <c r="D3285" t="s">
        <v>128</v>
      </c>
      <c r="E3285" t="s">
        <v>554</v>
      </c>
      <c r="F3285">
        <v>2.8</v>
      </c>
      <c r="G3285">
        <v>2025</v>
      </c>
    </row>
    <row r="3286" spans="1:7" hidden="1" x14ac:dyDescent="0.2">
      <c r="A3286" t="s">
        <v>77</v>
      </c>
      <c r="B3286" t="s">
        <v>45</v>
      </c>
      <c r="C3286">
        <v>12</v>
      </c>
      <c r="D3286" t="s">
        <v>127</v>
      </c>
      <c r="E3286" t="s">
        <v>313</v>
      </c>
      <c r="F3286">
        <v>18.5</v>
      </c>
      <c r="G3286">
        <v>2025</v>
      </c>
    </row>
    <row r="3287" spans="1:7" hidden="1" x14ac:dyDescent="0.2">
      <c r="A3287" t="s">
        <v>77</v>
      </c>
      <c r="B3287" t="s">
        <v>45</v>
      </c>
      <c r="C3287">
        <v>12</v>
      </c>
      <c r="D3287" t="s">
        <v>127</v>
      </c>
      <c r="E3287" t="s">
        <v>560</v>
      </c>
      <c r="F3287">
        <v>15.2</v>
      </c>
      <c r="G3287">
        <v>2025</v>
      </c>
    </row>
    <row r="3288" spans="1:7" hidden="1" x14ac:dyDescent="0.2">
      <c r="A3288" t="s">
        <v>77</v>
      </c>
      <c r="B3288" t="s">
        <v>45</v>
      </c>
      <c r="C3288">
        <v>12</v>
      </c>
      <c r="D3288" t="s">
        <v>129</v>
      </c>
      <c r="E3288" t="s">
        <v>165</v>
      </c>
      <c r="F3288">
        <v>21</v>
      </c>
      <c r="G3288">
        <v>2025</v>
      </c>
    </row>
    <row r="3289" spans="1:7" hidden="1" x14ac:dyDescent="0.2">
      <c r="A3289" t="s">
        <v>77</v>
      </c>
      <c r="B3289" t="s">
        <v>45</v>
      </c>
      <c r="C3289">
        <v>12</v>
      </c>
      <c r="D3289" t="s">
        <v>131</v>
      </c>
      <c r="E3289" t="s">
        <v>532</v>
      </c>
      <c r="F3289">
        <v>7</v>
      </c>
      <c r="G3289">
        <v>2025</v>
      </c>
    </row>
    <row r="3290" spans="1:7" hidden="1" x14ac:dyDescent="0.2">
      <c r="A3290" t="s">
        <v>77</v>
      </c>
      <c r="B3290" t="s">
        <v>45</v>
      </c>
      <c r="C3290">
        <v>12</v>
      </c>
      <c r="D3290" t="s">
        <v>130</v>
      </c>
      <c r="E3290" t="s">
        <v>157</v>
      </c>
      <c r="F3290">
        <v>7</v>
      </c>
      <c r="G3290">
        <v>2025</v>
      </c>
    </row>
    <row r="3291" spans="1:7" hidden="1" x14ac:dyDescent="0.2">
      <c r="A3291" t="s">
        <v>77</v>
      </c>
      <c r="B3291" t="s">
        <v>45</v>
      </c>
      <c r="C3291">
        <v>12</v>
      </c>
      <c r="D3291" t="s">
        <v>293</v>
      </c>
      <c r="E3291" t="s">
        <v>136</v>
      </c>
      <c r="F3291">
        <v>11.1</v>
      </c>
      <c r="G3291">
        <v>2025</v>
      </c>
    </row>
    <row r="3292" spans="1:7" hidden="1" x14ac:dyDescent="0.2">
      <c r="A3292" t="s">
        <v>46</v>
      </c>
      <c r="B3292" t="s">
        <v>47</v>
      </c>
      <c r="C3292">
        <v>12</v>
      </c>
      <c r="D3292" t="s">
        <v>125</v>
      </c>
      <c r="E3292" t="s">
        <v>126</v>
      </c>
      <c r="F3292">
        <v>17.14</v>
      </c>
      <c r="G3292">
        <v>2025</v>
      </c>
    </row>
    <row r="3293" spans="1:7" hidden="1" x14ac:dyDescent="0.2">
      <c r="A3293" t="s">
        <v>46</v>
      </c>
      <c r="B3293" t="s">
        <v>47</v>
      </c>
      <c r="C3293">
        <v>12</v>
      </c>
      <c r="D3293" t="s">
        <v>128</v>
      </c>
      <c r="E3293" t="s">
        <v>172</v>
      </c>
      <c r="F3293">
        <v>20.9</v>
      </c>
      <c r="G3293">
        <v>2025</v>
      </c>
    </row>
    <row r="3294" spans="1:7" hidden="1" x14ac:dyDescent="0.2">
      <c r="A3294" t="s">
        <v>46</v>
      </c>
      <c r="B3294" t="s">
        <v>47</v>
      </c>
      <c r="C3294">
        <v>12</v>
      </c>
      <c r="D3294" t="s">
        <v>128</v>
      </c>
      <c r="E3294" t="s">
        <v>549</v>
      </c>
      <c r="F3294">
        <v>11.8</v>
      </c>
      <c r="G3294">
        <v>2025</v>
      </c>
    </row>
    <row r="3295" spans="1:7" hidden="1" x14ac:dyDescent="0.2">
      <c r="A3295" t="s">
        <v>46</v>
      </c>
      <c r="B3295" t="s">
        <v>47</v>
      </c>
      <c r="C3295">
        <v>12</v>
      </c>
      <c r="D3295" t="s">
        <v>128</v>
      </c>
      <c r="E3295" t="s">
        <v>347</v>
      </c>
      <c r="F3295">
        <v>3.1</v>
      </c>
      <c r="G3295">
        <v>2025</v>
      </c>
    </row>
    <row r="3296" spans="1:7" hidden="1" x14ac:dyDescent="0.2">
      <c r="A3296" t="s">
        <v>46</v>
      </c>
      <c r="B3296" t="s">
        <v>47</v>
      </c>
      <c r="C3296">
        <v>12</v>
      </c>
      <c r="D3296" t="s">
        <v>127</v>
      </c>
      <c r="E3296" t="s">
        <v>372</v>
      </c>
      <c r="F3296">
        <v>23.7</v>
      </c>
      <c r="G3296">
        <v>2025</v>
      </c>
    </row>
    <row r="3297" spans="1:7" hidden="1" x14ac:dyDescent="0.2">
      <c r="A3297" t="s">
        <v>46</v>
      </c>
      <c r="B3297" t="s">
        <v>47</v>
      </c>
      <c r="C3297">
        <v>12</v>
      </c>
      <c r="D3297" t="s">
        <v>127</v>
      </c>
      <c r="E3297" t="s">
        <v>588</v>
      </c>
      <c r="F3297">
        <v>5.0999999999999996</v>
      </c>
      <c r="G3297">
        <v>2025</v>
      </c>
    </row>
    <row r="3298" spans="1:7" hidden="1" x14ac:dyDescent="0.2">
      <c r="A3298" t="s">
        <v>46</v>
      </c>
      <c r="B3298" t="s">
        <v>47</v>
      </c>
      <c r="C3298">
        <v>12</v>
      </c>
      <c r="D3298" t="s">
        <v>129</v>
      </c>
      <c r="E3298" t="s">
        <v>182</v>
      </c>
      <c r="F3298">
        <v>8.5</v>
      </c>
      <c r="G3298">
        <v>2025</v>
      </c>
    </row>
    <row r="3299" spans="1:7" hidden="1" x14ac:dyDescent="0.2">
      <c r="A3299" t="s">
        <v>46</v>
      </c>
      <c r="B3299" t="s">
        <v>47</v>
      </c>
      <c r="C3299">
        <v>12</v>
      </c>
      <c r="D3299" t="s">
        <v>131</v>
      </c>
      <c r="E3299" t="s">
        <v>242</v>
      </c>
      <c r="F3299">
        <v>4</v>
      </c>
      <c r="G3299">
        <v>2025</v>
      </c>
    </row>
    <row r="3300" spans="1:7" hidden="1" x14ac:dyDescent="0.2">
      <c r="A3300" t="s">
        <v>46</v>
      </c>
      <c r="B3300" t="s">
        <v>47</v>
      </c>
      <c r="C3300">
        <v>12</v>
      </c>
      <c r="D3300" t="s">
        <v>130</v>
      </c>
      <c r="E3300" t="s">
        <v>193</v>
      </c>
      <c r="F3300">
        <v>14</v>
      </c>
      <c r="G3300">
        <v>2025</v>
      </c>
    </row>
    <row r="3301" spans="1:7" hidden="1" x14ac:dyDescent="0.2">
      <c r="A3301" t="s">
        <v>46</v>
      </c>
      <c r="B3301" t="s">
        <v>47</v>
      </c>
      <c r="C3301">
        <v>12</v>
      </c>
      <c r="D3301" t="s">
        <v>293</v>
      </c>
      <c r="E3301" t="s">
        <v>278</v>
      </c>
      <c r="F3301">
        <v>1.4</v>
      </c>
      <c r="G3301">
        <v>2025</v>
      </c>
    </row>
    <row r="3302" spans="1:7" hidden="1" x14ac:dyDescent="0.2">
      <c r="A3302" t="s">
        <v>35</v>
      </c>
      <c r="B3302" t="s">
        <v>49</v>
      </c>
      <c r="C3302">
        <v>12</v>
      </c>
      <c r="D3302" t="s">
        <v>125</v>
      </c>
      <c r="E3302" t="s">
        <v>168</v>
      </c>
      <c r="F3302">
        <v>30.86</v>
      </c>
      <c r="G3302">
        <v>2025</v>
      </c>
    </row>
    <row r="3303" spans="1:7" hidden="1" x14ac:dyDescent="0.2">
      <c r="A3303" t="s">
        <v>35</v>
      </c>
      <c r="B3303" t="s">
        <v>49</v>
      </c>
      <c r="C3303">
        <v>12</v>
      </c>
      <c r="D3303" t="s">
        <v>128</v>
      </c>
      <c r="E3303" t="s">
        <v>160</v>
      </c>
      <c r="F3303">
        <v>25.1</v>
      </c>
      <c r="G3303">
        <v>2025</v>
      </c>
    </row>
    <row r="3304" spans="1:7" hidden="1" x14ac:dyDescent="0.2">
      <c r="A3304" t="s">
        <v>35</v>
      </c>
      <c r="B3304" t="s">
        <v>49</v>
      </c>
      <c r="C3304">
        <v>12</v>
      </c>
      <c r="D3304" t="s">
        <v>128</v>
      </c>
      <c r="E3304" t="s">
        <v>147</v>
      </c>
      <c r="F3304">
        <v>20.100000000000001</v>
      </c>
      <c r="G3304">
        <v>2025</v>
      </c>
    </row>
    <row r="3305" spans="1:7" hidden="1" x14ac:dyDescent="0.2">
      <c r="A3305" t="s">
        <v>35</v>
      </c>
      <c r="B3305" t="s">
        <v>49</v>
      </c>
      <c r="C3305">
        <v>12</v>
      </c>
      <c r="D3305" t="s">
        <v>128</v>
      </c>
      <c r="E3305" t="s">
        <v>205</v>
      </c>
      <c r="F3305">
        <v>11.9</v>
      </c>
      <c r="G3305">
        <v>2025</v>
      </c>
    </row>
    <row r="3306" spans="1:7" hidden="1" x14ac:dyDescent="0.2">
      <c r="A3306" t="s">
        <v>35</v>
      </c>
      <c r="B3306" t="s">
        <v>49</v>
      </c>
      <c r="C3306">
        <v>12</v>
      </c>
      <c r="D3306" t="s">
        <v>127</v>
      </c>
      <c r="E3306" t="s">
        <v>556</v>
      </c>
      <c r="F3306">
        <v>7.4</v>
      </c>
      <c r="G3306">
        <v>2025</v>
      </c>
    </row>
    <row r="3307" spans="1:7" hidden="1" x14ac:dyDescent="0.2">
      <c r="A3307" t="s">
        <v>35</v>
      </c>
      <c r="B3307" t="s">
        <v>49</v>
      </c>
      <c r="C3307">
        <v>12</v>
      </c>
      <c r="D3307" t="s">
        <v>127</v>
      </c>
      <c r="E3307" t="s">
        <v>256</v>
      </c>
      <c r="F3307">
        <v>5.3</v>
      </c>
      <c r="G3307">
        <v>2025</v>
      </c>
    </row>
    <row r="3308" spans="1:7" hidden="1" x14ac:dyDescent="0.2">
      <c r="A3308" t="s">
        <v>35</v>
      </c>
      <c r="B3308" t="s">
        <v>49</v>
      </c>
      <c r="C3308">
        <v>12</v>
      </c>
      <c r="D3308" t="s">
        <v>129</v>
      </c>
      <c r="E3308" t="s">
        <v>137</v>
      </c>
      <c r="F3308">
        <v>12.4</v>
      </c>
      <c r="G3308">
        <v>2025</v>
      </c>
    </row>
    <row r="3309" spans="1:7" hidden="1" x14ac:dyDescent="0.2">
      <c r="A3309" t="s">
        <v>35</v>
      </c>
      <c r="B3309" t="s">
        <v>49</v>
      </c>
      <c r="C3309">
        <v>12</v>
      </c>
      <c r="D3309" t="s">
        <v>131</v>
      </c>
      <c r="E3309" t="s">
        <v>195</v>
      </c>
      <c r="F3309">
        <v>10</v>
      </c>
      <c r="G3309">
        <v>2025</v>
      </c>
    </row>
    <row r="3310" spans="1:7" hidden="1" x14ac:dyDescent="0.2">
      <c r="A3310" t="s">
        <v>35</v>
      </c>
      <c r="B3310" t="s">
        <v>49</v>
      </c>
      <c r="C3310">
        <v>12</v>
      </c>
      <c r="D3310" t="s">
        <v>130</v>
      </c>
      <c r="E3310" t="s">
        <v>229</v>
      </c>
      <c r="F3310">
        <v>10</v>
      </c>
      <c r="G3310">
        <v>2025</v>
      </c>
    </row>
    <row r="3311" spans="1:7" hidden="1" x14ac:dyDescent="0.2">
      <c r="A3311" t="s">
        <v>35</v>
      </c>
      <c r="B3311" t="s">
        <v>49</v>
      </c>
      <c r="C3311">
        <v>12</v>
      </c>
      <c r="D3311" t="s">
        <v>293</v>
      </c>
      <c r="E3311" t="s">
        <v>234</v>
      </c>
      <c r="F3311">
        <v>1.5</v>
      </c>
      <c r="G3311">
        <v>2025</v>
      </c>
    </row>
    <row r="3312" spans="1:7" hidden="1" x14ac:dyDescent="0.2">
      <c r="A3312" t="s">
        <v>31</v>
      </c>
      <c r="B3312" t="s">
        <v>33</v>
      </c>
      <c r="C3312">
        <v>12</v>
      </c>
      <c r="D3312" t="s">
        <v>125</v>
      </c>
      <c r="E3312" t="s">
        <v>334</v>
      </c>
      <c r="F3312">
        <v>16.84</v>
      </c>
      <c r="G3312">
        <v>2025</v>
      </c>
    </row>
    <row r="3313" spans="1:7" hidden="1" x14ac:dyDescent="0.2">
      <c r="A3313" t="s">
        <v>31</v>
      </c>
      <c r="B3313" t="s">
        <v>33</v>
      </c>
      <c r="C3313">
        <v>12</v>
      </c>
      <c r="D3313" t="s">
        <v>128</v>
      </c>
      <c r="E3313" t="s">
        <v>219</v>
      </c>
      <c r="F3313">
        <v>11.9</v>
      </c>
      <c r="G3313">
        <v>2025</v>
      </c>
    </row>
    <row r="3314" spans="1:7" hidden="1" x14ac:dyDescent="0.2">
      <c r="A3314" t="s">
        <v>31</v>
      </c>
      <c r="B3314" t="s">
        <v>33</v>
      </c>
      <c r="C3314">
        <v>12</v>
      </c>
      <c r="D3314" t="s">
        <v>128</v>
      </c>
      <c r="E3314" t="s">
        <v>292</v>
      </c>
      <c r="F3314">
        <v>12.6</v>
      </c>
      <c r="G3314">
        <v>2025</v>
      </c>
    </row>
    <row r="3315" spans="1:7" hidden="1" x14ac:dyDescent="0.2">
      <c r="A3315" t="s">
        <v>31</v>
      </c>
      <c r="B3315" t="s">
        <v>33</v>
      </c>
      <c r="C3315">
        <v>12</v>
      </c>
      <c r="D3315" t="s">
        <v>128</v>
      </c>
      <c r="E3315" t="s">
        <v>280</v>
      </c>
      <c r="F3315">
        <v>6.8</v>
      </c>
      <c r="G3315">
        <v>2025</v>
      </c>
    </row>
    <row r="3316" spans="1:7" hidden="1" x14ac:dyDescent="0.2">
      <c r="A3316" t="s">
        <v>31</v>
      </c>
      <c r="B3316" t="s">
        <v>33</v>
      </c>
      <c r="C3316">
        <v>12</v>
      </c>
      <c r="D3316" t="s">
        <v>127</v>
      </c>
      <c r="E3316" t="s">
        <v>174</v>
      </c>
      <c r="F3316">
        <v>13.7</v>
      </c>
      <c r="G3316">
        <v>2025</v>
      </c>
    </row>
    <row r="3317" spans="1:7" hidden="1" x14ac:dyDescent="0.2">
      <c r="A3317" t="s">
        <v>31</v>
      </c>
      <c r="B3317" t="s">
        <v>33</v>
      </c>
      <c r="C3317">
        <v>12</v>
      </c>
      <c r="D3317" t="s">
        <v>127</v>
      </c>
      <c r="E3317" t="s">
        <v>318</v>
      </c>
      <c r="F3317">
        <v>9.4</v>
      </c>
      <c r="G3317">
        <v>2025</v>
      </c>
    </row>
    <row r="3318" spans="1:7" hidden="1" x14ac:dyDescent="0.2">
      <c r="A3318" t="s">
        <v>31</v>
      </c>
      <c r="B3318" t="s">
        <v>33</v>
      </c>
      <c r="C3318">
        <v>12</v>
      </c>
      <c r="D3318" t="s">
        <v>129</v>
      </c>
      <c r="E3318" t="s">
        <v>530</v>
      </c>
      <c r="F3318">
        <v>7</v>
      </c>
      <c r="G3318">
        <v>2025</v>
      </c>
    </row>
    <row r="3319" spans="1:7" hidden="1" x14ac:dyDescent="0.2">
      <c r="A3319" t="s">
        <v>31</v>
      </c>
      <c r="B3319" t="s">
        <v>33</v>
      </c>
      <c r="C3319">
        <v>12</v>
      </c>
      <c r="D3319" t="s">
        <v>131</v>
      </c>
      <c r="E3319" t="s">
        <v>183</v>
      </c>
      <c r="F3319">
        <v>3</v>
      </c>
      <c r="G3319">
        <v>2025</v>
      </c>
    </row>
    <row r="3320" spans="1:7" hidden="1" x14ac:dyDescent="0.2">
      <c r="A3320" t="s">
        <v>31</v>
      </c>
      <c r="B3320" t="s">
        <v>33</v>
      </c>
      <c r="C3320">
        <v>12</v>
      </c>
      <c r="D3320" t="s">
        <v>130</v>
      </c>
      <c r="E3320" t="s">
        <v>239</v>
      </c>
      <c r="F3320">
        <v>6</v>
      </c>
      <c r="G3320">
        <v>2025</v>
      </c>
    </row>
    <row r="3321" spans="1:7" hidden="1" x14ac:dyDescent="0.2">
      <c r="A3321" t="s">
        <v>31</v>
      </c>
      <c r="B3321" t="s">
        <v>33</v>
      </c>
      <c r="C3321">
        <v>12</v>
      </c>
      <c r="D3321" t="s">
        <v>294</v>
      </c>
      <c r="E3321" t="s">
        <v>390</v>
      </c>
      <c r="F3321">
        <v>2.5</v>
      </c>
      <c r="G3321">
        <v>2025</v>
      </c>
    </row>
    <row r="3322" spans="1:7" hidden="1" x14ac:dyDescent="0.2">
      <c r="A3322" t="s">
        <v>14</v>
      </c>
      <c r="B3322" t="s">
        <v>16</v>
      </c>
      <c r="C3322">
        <v>13</v>
      </c>
      <c r="D3322" t="s">
        <v>125</v>
      </c>
      <c r="E3322" t="s">
        <v>202</v>
      </c>
      <c r="F3322">
        <v>6.54</v>
      </c>
      <c r="G3322">
        <v>2025</v>
      </c>
    </row>
    <row r="3323" spans="1:7" hidden="1" x14ac:dyDescent="0.2">
      <c r="A3323" t="s">
        <v>14</v>
      </c>
      <c r="B3323" t="s">
        <v>16</v>
      </c>
      <c r="C3323">
        <v>13</v>
      </c>
      <c r="D3323" t="s">
        <v>128</v>
      </c>
      <c r="E3323" t="s">
        <v>223</v>
      </c>
      <c r="F3323">
        <v>16.3</v>
      </c>
      <c r="G3323">
        <v>2025</v>
      </c>
    </row>
    <row r="3324" spans="1:7" hidden="1" x14ac:dyDescent="0.2">
      <c r="A3324" t="s">
        <v>14</v>
      </c>
      <c r="B3324" t="s">
        <v>16</v>
      </c>
      <c r="C3324">
        <v>13</v>
      </c>
      <c r="D3324" t="s">
        <v>128</v>
      </c>
      <c r="E3324" t="s">
        <v>329</v>
      </c>
      <c r="F3324">
        <v>5.0999999999999996</v>
      </c>
      <c r="G3324">
        <v>2025</v>
      </c>
    </row>
    <row r="3325" spans="1:7" hidden="1" x14ac:dyDescent="0.2">
      <c r="A3325" t="s">
        <v>14</v>
      </c>
      <c r="B3325" t="s">
        <v>16</v>
      </c>
      <c r="C3325">
        <v>13</v>
      </c>
      <c r="D3325" t="s">
        <v>128</v>
      </c>
      <c r="E3325" t="s">
        <v>295</v>
      </c>
      <c r="F3325">
        <v>19.100000000000001</v>
      </c>
      <c r="G3325">
        <v>2025</v>
      </c>
    </row>
    <row r="3326" spans="1:7" hidden="1" x14ac:dyDescent="0.2">
      <c r="A3326" t="s">
        <v>14</v>
      </c>
      <c r="B3326" t="s">
        <v>16</v>
      </c>
      <c r="C3326">
        <v>13</v>
      </c>
      <c r="D3326" t="s">
        <v>127</v>
      </c>
      <c r="E3326" t="s">
        <v>314</v>
      </c>
      <c r="F3326">
        <v>14.8</v>
      </c>
      <c r="G3326">
        <v>2025</v>
      </c>
    </row>
    <row r="3327" spans="1:7" hidden="1" x14ac:dyDescent="0.2">
      <c r="A3327" t="s">
        <v>14</v>
      </c>
      <c r="B3327" t="s">
        <v>16</v>
      </c>
      <c r="C3327">
        <v>13</v>
      </c>
      <c r="D3327" t="s">
        <v>127</v>
      </c>
      <c r="E3327" t="s">
        <v>189</v>
      </c>
      <c r="F3327">
        <v>4.5999999999999996</v>
      </c>
      <c r="G3327">
        <v>2025</v>
      </c>
    </row>
    <row r="3328" spans="1:7" hidden="1" x14ac:dyDescent="0.2">
      <c r="A3328" t="s">
        <v>14</v>
      </c>
      <c r="B3328" t="s">
        <v>16</v>
      </c>
      <c r="C3328">
        <v>13</v>
      </c>
      <c r="D3328" t="s">
        <v>129</v>
      </c>
      <c r="E3328" t="s">
        <v>236</v>
      </c>
      <c r="F3328">
        <v>8.6999999999999993</v>
      </c>
      <c r="G3328">
        <v>2025</v>
      </c>
    </row>
    <row r="3329" spans="1:7" hidden="1" x14ac:dyDescent="0.2">
      <c r="A3329" t="s">
        <v>14</v>
      </c>
      <c r="B3329" t="s">
        <v>16</v>
      </c>
      <c r="C3329">
        <v>13</v>
      </c>
      <c r="D3329" t="s">
        <v>131</v>
      </c>
      <c r="E3329" t="s">
        <v>214</v>
      </c>
      <c r="F3329">
        <v>4</v>
      </c>
      <c r="G3329">
        <v>2025</v>
      </c>
    </row>
    <row r="3330" spans="1:7" hidden="1" x14ac:dyDescent="0.2">
      <c r="A3330" t="s">
        <v>14</v>
      </c>
      <c r="B3330" t="s">
        <v>16</v>
      </c>
      <c r="C3330">
        <v>13</v>
      </c>
      <c r="D3330" t="s">
        <v>130</v>
      </c>
      <c r="E3330" t="s">
        <v>194</v>
      </c>
      <c r="F3330">
        <v>11</v>
      </c>
      <c r="G3330">
        <v>2025</v>
      </c>
    </row>
    <row r="3331" spans="1:7" hidden="1" x14ac:dyDescent="0.2">
      <c r="A3331" t="s">
        <v>14</v>
      </c>
      <c r="B3331" t="s">
        <v>16</v>
      </c>
      <c r="C3331">
        <v>13</v>
      </c>
      <c r="D3331" t="s">
        <v>294</v>
      </c>
      <c r="E3331" t="s">
        <v>254</v>
      </c>
      <c r="F3331">
        <v>1.8</v>
      </c>
      <c r="G3331">
        <v>2025</v>
      </c>
    </row>
    <row r="3332" spans="1:7" hidden="1" x14ac:dyDescent="0.2">
      <c r="A3332" t="s">
        <v>18</v>
      </c>
      <c r="B3332" t="s">
        <v>20</v>
      </c>
      <c r="C3332">
        <v>13</v>
      </c>
      <c r="D3332" t="s">
        <v>125</v>
      </c>
      <c r="E3332" t="s">
        <v>230</v>
      </c>
      <c r="F3332">
        <v>19.239999999999998</v>
      </c>
      <c r="G3332">
        <v>2025</v>
      </c>
    </row>
    <row r="3333" spans="1:7" hidden="1" x14ac:dyDescent="0.2">
      <c r="A3333" t="s">
        <v>18</v>
      </c>
      <c r="B3333" t="s">
        <v>20</v>
      </c>
      <c r="C3333">
        <v>13</v>
      </c>
      <c r="D3333" t="s">
        <v>128</v>
      </c>
      <c r="E3333" t="s">
        <v>248</v>
      </c>
      <c r="F3333">
        <v>3.3</v>
      </c>
      <c r="G3333">
        <v>2025</v>
      </c>
    </row>
    <row r="3334" spans="1:7" hidden="1" x14ac:dyDescent="0.2">
      <c r="A3334" t="s">
        <v>18</v>
      </c>
      <c r="B3334" t="s">
        <v>20</v>
      </c>
      <c r="C3334">
        <v>13</v>
      </c>
      <c r="D3334" t="s">
        <v>128</v>
      </c>
      <c r="E3334" t="s">
        <v>305</v>
      </c>
      <c r="F3334">
        <v>6.1</v>
      </c>
      <c r="G3334">
        <v>2025</v>
      </c>
    </row>
    <row r="3335" spans="1:7" hidden="1" x14ac:dyDescent="0.2">
      <c r="A3335" t="s">
        <v>18</v>
      </c>
      <c r="B3335" t="s">
        <v>20</v>
      </c>
      <c r="C3335">
        <v>13</v>
      </c>
      <c r="D3335" t="s">
        <v>128</v>
      </c>
      <c r="E3335" t="s">
        <v>303</v>
      </c>
      <c r="F3335">
        <v>18.3</v>
      </c>
      <c r="G3335">
        <v>2025</v>
      </c>
    </row>
    <row r="3336" spans="1:7" hidden="1" x14ac:dyDescent="0.2">
      <c r="A3336" t="s">
        <v>18</v>
      </c>
      <c r="B3336" t="s">
        <v>20</v>
      </c>
      <c r="C3336">
        <v>13</v>
      </c>
      <c r="D3336" t="s">
        <v>127</v>
      </c>
      <c r="E3336" t="s">
        <v>154</v>
      </c>
      <c r="F3336">
        <v>16.899999999999999</v>
      </c>
      <c r="G3336">
        <v>2025</v>
      </c>
    </row>
    <row r="3337" spans="1:7" hidden="1" x14ac:dyDescent="0.2">
      <c r="A3337" t="s">
        <v>18</v>
      </c>
      <c r="B3337" t="s">
        <v>20</v>
      </c>
      <c r="C3337">
        <v>13</v>
      </c>
      <c r="D3337" t="s">
        <v>127</v>
      </c>
      <c r="E3337" t="s">
        <v>208</v>
      </c>
      <c r="F3337">
        <v>17.2</v>
      </c>
      <c r="G3337">
        <v>2025</v>
      </c>
    </row>
    <row r="3338" spans="1:7" hidden="1" x14ac:dyDescent="0.2">
      <c r="A3338" t="s">
        <v>18</v>
      </c>
      <c r="B3338" t="s">
        <v>20</v>
      </c>
      <c r="C3338">
        <v>13</v>
      </c>
      <c r="D3338" t="s">
        <v>129</v>
      </c>
      <c r="E3338" t="s">
        <v>227</v>
      </c>
      <c r="F3338">
        <v>3.7</v>
      </c>
      <c r="G3338">
        <v>2025</v>
      </c>
    </row>
    <row r="3339" spans="1:7" hidden="1" x14ac:dyDescent="0.2">
      <c r="A3339" t="s">
        <v>18</v>
      </c>
      <c r="B3339" t="s">
        <v>20</v>
      </c>
      <c r="C3339">
        <v>13</v>
      </c>
      <c r="D3339" t="s">
        <v>131</v>
      </c>
      <c r="E3339" t="s">
        <v>533</v>
      </c>
      <c r="F3339">
        <v>6</v>
      </c>
      <c r="G3339">
        <v>2025</v>
      </c>
    </row>
    <row r="3340" spans="1:7" hidden="1" x14ac:dyDescent="0.2">
      <c r="A3340" t="s">
        <v>18</v>
      </c>
      <c r="B3340" t="s">
        <v>20</v>
      </c>
      <c r="C3340">
        <v>13</v>
      </c>
      <c r="D3340" t="s">
        <v>130</v>
      </c>
      <c r="E3340" t="s">
        <v>307</v>
      </c>
      <c r="F3340">
        <v>12</v>
      </c>
      <c r="G3340">
        <v>2025</v>
      </c>
    </row>
    <row r="3341" spans="1:7" hidden="1" x14ac:dyDescent="0.2">
      <c r="A3341" t="s">
        <v>18</v>
      </c>
      <c r="B3341" t="s">
        <v>20</v>
      </c>
      <c r="C3341">
        <v>13</v>
      </c>
      <c r="D3341" t="s">
        <v>294</v>
      </c>
      <c r="E3341" t="s">
        <v>134</v>
      </c>
      <c r="F3341">
        <v>-0.4</v>
      </c>
      <c r="G3341">
        <v>2025</v>
      </c>
    </row>
    <row r="3342" spans="1:7" hidden="1" x14ac:dyDescent="0.2">
      <c r="A3342" t="s">
        <v>42</v>
      </c>
      <c r="B3342" t="s">
        <v>17</v>
      </c>
      <c r="C3342">
        <v>13</v>
      </c>
      <c r="D3342" t="s">
        <v>125</v>
      </c>
      <c r="E3342" t="s">
        <v>141</v>
      </c>
      <c r="F3342">
        <v>20.6</v>
      </c>
      <c r="G3342">
        <v>2025</v>
      </c>
    </row>
    <row r="3343" spans="1:7" hidden="1" x14ac:dyDescent="0.2">
      <c r="A3343" t="s">
        <v>42</v>
      </c>
      <c r="B3343" t="s">
        <v>17</v>
      </c>
      <c r="C3343">
        <v>13</v>
      </c>
      <c r="D3343" t="s">
        <v>128</v>
      </c>
      <c r="E3343" t="s">
        <v>232</v>
      </c>
      <c r="F3343">
        <v>19</v>
      </c>
      <c r="G3343">
        <v>2025</v>
      </c>
    </row>
    <row r="3344" spans="1:7" hidden="1" x14ac:dyDescent="0.2">
      <c r="A3344" t="s">
        <v>42</v>
      </c>
      <c r="B3344" t="s">
        <v>17</v>
      </c>
      <c r="C3344">
        <v>13</v>
      </c>
      <c r="D3344" t="s">
        <v>128</v>
      </c>
      <c r="E3344" t="s">
        <v>522</v>
      </c>
      <c r="F3344">
        <v>10.8</v>
      </c>
      <c r="G3344">
        <v>2025</v>
      </c>
    </row>
    <row r="3345" spans="1:7" hidden="1" x14ac:dyDescent="0.2">
      <c r="A3345" t="s">
        <v>42</v>
      </c>
      <c r="B3345" t="s">
        <v>17</v>
      </c>
      <c r="C3345">
        <v>13</v>
      </c>
      <c r="D3345" t="s">
        <v>128</v>
      </c>
      <c r="E3345" t="s">
        <v>277</v>
      </c>
      <c r="F3345">
        <v>3.8</v>
      </c>
      <c r="G3345">
        <v>2025</v>
      </c>
    </row>
    <row r="3346" spans="1:7" hidden="1" x14ac:dyDescent="0.2">
      <c r="A3346" t="s">
        <v>42</v>
      </c>
      <c r="B3346" t="s">
        <v>17</v>
      </c>
      <c r="C3346">
        <v>13</v>
      </c>
      <c r="D3346" t="s">
        <v>127</v>
      </c>
      <c r="E3346" t="s">
        <v>568</v>
      </c>
      <c r="F3346">
        <v>20.2</v>
      </c>
      <c r="G3346">
        <v>2025</v>
      </c>
    </row>
    <row r="3347" spans="1:7" hidden="1" x14ac:dyDescent="0.2">
      <c r="A3347" t="s">
        <v>42</v>
      </c>
      <c r="B3347" t="s">
        <v>17</v>
      </c>
      <c r="C3347">
        <v>13</v>
      </c>
      <c r="D3347" t="s">
        <v>127</v>
      </c>
      <c r="E3347" t="s">
        <v>180</v>
      </c>
      <c r="F3347">
        <v>9.6</v>
      </c>
      <c r="G3347">
        <v>2025</v>
      </c>
    </row>
    <row r="3348" spans="1:7" hidden="1" x14ac:dyDescent="0.2">
      <c r="A3348" t="s">
        <v>42</v>
      </c>
      <c r="B3348" t="s">
        <v>17</v>
      </c>
      <c r="C3348">
        <v>13</v>
      </c>
      <c r="D3348" t="s">
        <v>129</v>
      </c>
      <c r="E3348" t="s">
        <v>245</v>
      </c>
      <c r="F3348">
        <v>9</v>
      </c>
      <c r="G3348">
        <v>2025</v>
      </c>
    </row>
    <row r="3349" spans="1:7" hidden="1" x14ac:dyDescent="0.2">
      <c r="A3349" t="s">
        <v>42</v>
      </c>
      <c r="B3349" t="s">
        <v>17</v>
      </c>
      <c r="C3349">
        <v>13</v>
      </c>
      <c r="D3349" t="s">
        <v>131</v>
      </c>
      <c r="E3349" t="s">
        <v>339</v>
      </c>
      <c r="F3349">
        <v>9</v>
      </c>
      <c r="G3349">
        <v>2025</v>
      </c>
    </row>
    <row r="3350" spans="1:7" hidden="1" x14ac:dyDescent="0.2">
      <c r="A3350" t="s">
        <v>42</v>
      </c>
      <c r="B3350" t="s">
        <v>17</v>
      </c>
      <c r="C3350">
        <v>13</v>
      </c>
      <c r="D3350" t="s">
        <v>130</v>
      </c>
      <c r="E3350" t="s">
        <v>354</v>
      </c>
      <c r="F3350">
        <v>0</v>
      </c>
      <c r="G3350">
        <v>2025</v>
      </c>
    </row>
    <row r="3351" spans="1:7" hidden="1" x14ac:dyDescent="0.2">
      <c r="A3351" t="s">
        <v>42</v>
      </c>
      <c r="B3351" t="s">
        <v>17</v>
      </c>
      <c r="C3351">
        <v>13</v>
      </c>
      <c r="D3351" t="s">
        <v>293</v>
      </c>
      <c r="E3351" t="s">
        <v>590</v>
      </c>
      <c r="F3351">
        <v>8.4</v>
      </c>
      <c r="G3351">
        <v>2025</v>
      </c>
    </row>
    <row r="3352" spans="1:7" hidden="1" x14ac:dyDescent="0.2">
      <c r="A3352" t="s">
        <v>31</v>
      </c>
      <c r="B3352" t="s">
        <v>33</v>
      </c>
      <c r="C3352">
        <v>13</v>
      </c>
      <c r="D3352" t="s">
        <v>125</v>
      </c>
      <c r="E3352" t="s">
        <v>334</v>
      </c>
      <c r="F3352">
        <v>16.14</v>
      </c>
      <c r="G3352">
        <v>2025</v>
      </c>
    </row>
    <row r="3353" spans="1:7" hidden="1" x14ac:dyDescent="0.2">
      <c r="A3353" t="s">
        <v>31</v>
      </c>
      <c r="B3353" t="s">
        <v>33</v>
      </c>
      <c r="C3353">
        <v>13</v>
      </c>
      <c r="D3353" t="s">
        <v>128</v>
      </c>
      <c r="E3353" t="s">
        <v>292</v>
      </c>
      <c r="F3353">
        <v>11.9</v>
      </c>
      <c r="G3353">
        <v>2025</v>
      </c>
    </row>
    <row r="3354" spans="1:7" hidden="1" x14ac:dyDescent="0.2">
      <c r="A3354" t="s">
        <v>31</v>
      </c>
      <c r="B3354" t="s">
        <v>33</v>
      </c>
      <c r="C3354">
        <v>13</v>
      </c>
      <c r="D3354" t="s">
        <v>128</v>
      </c>
      <c r="E3354" t="s">
        <v>390</v>
      </c>
      <c r="F3354">
        <v>11.5</v>
      </c>
      <c r="G3354">
        <v>2025</v>
      </c>
    </row>
    <row r="3355" spans="1:7" hidden="1" x14ac:dyDescent="0.2">
      <c r="A3355" t="s">
        <v>31</v>
      </c>
      <c r="B3355" t="s">
        <v>33</v>
      </c>
      <c r="C3355">
        <v>13</v>
      </c>
      <c r="D3355" t="s">
        <v>128</v>
      </c>
      <c r="E3355" t="s">
        <v>219</v>
      </c>
      <c r="F3355">
        <v>4.7</v>
      </c>
      <c r="G3355">
        <v>2025</v>
      </c>
    </row>
    <row r="3356" spans="1:7" hidden="1" x14ac:dyDescent="0.2">
      <c r="A3356" t="s">
        <v>31</v>
      </c>
      <c r="B3356" t="s">
        <v>33</v>
      </c>
      <c r="C3356">
        <v>13</v>
      </c>
      <c r="D3356" t="s">
        <v>127</v>
      </c>
      <c r="E3356" t="s">
        <v>174</v>
      </c>
      <c r="F3356">
        <v>27.8</v>
      </c>
      <c r="G3356">
        <v>2025</v>
      </c>
    </row>
    <row r="3357" spans="1:7" hidden="1" x14ac:dyDescent="0.2">
      <c r="A3357" t="s">
        <v>31</v>
      </c>
      <c r="B3357" t="s">
        <v>33</v>
      </c>
      <c r="C3357">
        <v>13</v>
      </c>
      <c r="D3357" t="s">
        <v>127</v>
      </c>
      <c r="E3357" t="s">
        <v>318</v>
      </c>
      <c r="F3357">
        <v>8.9</v>
      </c>
      <c r="G3357">
        <v>2025</v>
      </c>
    </row>
    <row r="3358" spans="1:7" hidden="1" x14ac:dyDescent="0.2">
      <c r="A3358" t="s">
        <v>31</v>
      </c>
      <c r="B3358" t="s">
        <v>33</v>
      </c>
      <c r="C3358">
        <v>13</v>
      </c>
      <c r="D3358" t="s">
        <v>129</v>
      </c>
      <c r="E3358" t="s">
        <v>530</v>
      </c>
      <c r="F3358">
        <v>9.6999999999999993</v>
      </c>
      <c r="G3358">
        <v>2025</v>
      </c>
    </row>
    <row r="3359" spans="1:7" hidden="1" x14ac:dyDescent="0.2">
      <c r="A3359" t="s">
        <v>31</v>
      </c>
      <c r="B3359" t="s">
        <v>33</v>
      </c>
      <c r="C3359">
        <v>13</v>
      </c>
      <c r="D3359" t="s">
        <v>131</v>
      </c>
      <c r="E3359" t="s">
        <v>183</v>
      </c>
      <c r="F3359">
        <v>3</v>
      </c>
      <c r="G3359">
        <v>2025</v>
      </c>
    </row>
    <row r="3360" spans="1:7" hidden="1" x14ac:dyDescent="0.2">
      <c r="A3360" t="s">
        <v>31</v>
      </c>
      <c r="B3360" t="s">
        <v>33</v>
      </c>
      <c r="C3360">
        <v>13</v>
      </c>
      <c r="D3360" t="s">
        <v>130</v>
      </c>
      <c r="E3360" t="s">
        <v>239</v>
      </c>
      <c r="F3360">
        <v>17</v>
      </c>
      <c r="G3360">
        <v>2025</v>
      </c>
    </row>
    <row r="3361" spans="1:7" hidden="1" x14ac:dyDescent="0.2">
      <c r="A3361" t="s">
        <v>31</v>
      </c>
      <c r="B3361" t="s">
        <v>33</v>
      </c>
      <c r="C3361">
        <v>13</v>
      </c>
      <c r="D3361" t="s">
        <v>294</v>
      </c>
      <c r="E3361" t="s">
        <v>280</v>
      </c>
      <c r="F3361">
        <v>1.8</v>
      </c>
      <c r="G3361">
        <v>2025</v>
      </c>
    </row>
    <row r="3362" spans="1:7" hidden="1" x14ac:dyDescent="0.2">
      <c r="A3362" t="s">
        <v>524</v>
      </c>
      <c r="B3362" t="s">
        <v>21</v>
      </c>
      <c r="C3362">
        <v>13</v>
      </c>
      <c r="D3362" t="s">
        <v>125</v>
      </c>
      <c r="E3362" t="s">
        <v>212</v>
      </c>
      <c r="F3362">
        <v>16.72</v>
      </c>
      <c r="G3362">
        <v>2025</v>
      </c>
    </row>
    <row r="3363" spans="1:7" hidden="1" x14ac:dyDescent="0.2">
      <c r="A3363" t="s">
        <v>524</v>
      </c>
      <c r="B3363" t="s">
        <v>21</v>
      </c>
      <c r="C3363">
        <v>13</v>
      </c>
      <c r="D3363" t="s">
        <v>128</v>
      </c>
      <c r="E3363" t="s">
        <v>177</v>
      </c>
      <c r="F3363">
        <v>20.7</v>
      </c>
      <c r="G3363">
        <v>2025</v>
      </c>
    </row>
    <row r="3364" spans="1:7" hidden="1" x14ac:dyDescent="0.2">
      <c r="A3364" t="s">
        <v>524</v>
      </c>
      <c r="B3364" t="s">
        <v>21</v>
      </c>
      <c r="C3364">
        <v>13</v>
      </c>
      <c r="D3364" t="s">
        <v>128</v>
      </c>
      <c r="E3364" t="s">
        <v>222</v>
      </c>
      <c r="F3364">
        <v>23.4</v>
      </c>
      <c r="G3364">
        <v>2025</v>
      </c>
    </row>
    <row r="3365" spans="1:7" hidden="1" x14ac:dyDescent="0.2">
      <c r="A3365" t="s">
        <v>524</v>
      </c>
      <c r="B3365" t="s">
        <v>21</v>
      </c>
      <c r="C3365">
        <v>13</v>
      </c>
      <c r="D3365" t="s">
        <v>128</v>
      </c>
      <c r="E3365" t="s">
        <v>552</v>
      </c>
      <c r="F3365">
        <v>3.1</v>
      </c>
      <c r="G3365">
        <v>2025</v>
      </c>
    </row>
    <row r="3366" spans="1:7" hidden="1" x14ac:dyDescent="0.2">
      <c r="A3366" t="s">
        <v>524</v>
      </c>
      <c r="B3366" t="s">
        <v>21</v>
      </c>
      <c r="C3366">
        <v>13</v>
      </c>
      <c r="D3366" t="s">
        <v>127</v>
      </c>
      <c r="E3366" t="s">
        <v>216</v>
      </c>
      <c r="F3366">
        <v>5.6</v>
      </c>
      <c r="G3366">
        <v>2025</v>
      </c>
    </row>
    <row r="3367" spans="1:7" hidden="1" x14ac:dyDescent="0.2">
      <c r="A3367" t="s">
        <v>524</v>
      </c>
      <c r="B3367" t="s">
        <v>21</v>
      </c>
      <c r="C3367">
        <v>13</v>
      </c>
      <c r="D3367" t="s">
        <v>127</v>
      </c>
      <c r="E3367" t="s">
        <v>528</v>
      </c>
      <c r="F3367">
        <v>10.1</v>
      </c>
      <c r="G3367">
        <v>2025</v>
      </c>
    </row>
    <row r="3368" spans="1:7" hidden="1" x14ac:dyDescent="0.2">
      <c r="A3368" t="s">
        <v>524</v>
      </c>
      <c r="B3368" t="s">
        <v>21</v>
      </c>
      <c r="C3368">
        <v>13</v>
      </c>
      <c r="D3368" t="s">
        <v>129</v>
      </c>
      <c r="E3368" t="s">
        <v>249</v>
      </c>
      <c r="F3368">
        <v>13</v>
      </c>
      <c r="G3368">
        <v>2025</v>
      </c>
    </row>
    <row r="3369" spans="1:7" hidden="1" x14ac:dyDescent="0.2">
      <c r="A3369" t="s">
        <v>524</v>
      </c>
      <c r="B3369" t="s">
        <v>21</v>
      </c>
      <c r="C3369">
        <v>13</v>
      </c>
      <c r="D3369" t="s">
        <v>131</v>
      </c>
      <c r="E3369" t="s">
        <v>357</v>
      </c>
      <c r="F3369">
        <v>0</v>
      </c>
      <c r="G3369">
        <v>2025</v>
      </c>
    </row>
    <row r="3370" spans="1:7" hidden="1" x14ac:dyDescent="0.2">
      <c r="A3370" t="s">
        <v>524</v>
      </c>
      <c r="B3370" t="s">
        <v>21</v>
      </c>
      <c r="C3370">
        <v>13</v>
      </c>
      <c r="D3370" t="s">
        <v>130</v>
      </c>
      <c r="E3370" t="s">
        <v>591</v>
      </c>
      <c r="F3370">
        <v>3</v>
      </c>
      <c r="G3370">
        <v>2025</v>
      </c>
    </row>
    <row r="3371" spans="1:7" hidden="1" x14ac:dyDescent="0.2">
      <c r="A3371" t="s">
        <v>524</v>
      </c>
      <c r="B3371" t="s">
        <v>21</v>
      </c>
      <c r="C3371">
        <v>13</v>
      </c>
      <c r="D3371" t="s">
        <v>293</v>
      </c>
      <c r="E3371" t="s">
        <v>348</v>
      </c>
      <c r="F3371">
        <v>3.8</v>
      </c>
      <c r="G3371">
        <v>2025</v>
      </c>
    </row>
    <row r="3372" spans="1:7" hidden="1" x14ac:dyDescent="0.2">
      <c r="A3372" t="s">
        <v>525</v>
      </c>
      <c r="B3372" t="s">
        <v>36</v>
      </c>
      <c r="C3372">
        <v>13</v>
      </c>
      <c r="D3372" t="s">
        <v>125</v>
      </c>
      <c r="E3372" t="s">
        <v>427</v>
      </c>
      <c r="F3372">
        <v>11.62</v>
      </c>
      <c r="G3372">
        <v>2025</v>
      </c>
    </row>
    <row r="3373" spans="1:7" hidden="1" x14ac:dyDescent="0.2">
      <c r="A3373" t="s">
        <v>525</v>
      </c>
      <c r="B3373" t="s">
        <v>36</v>
      </c>
      <c r="C3373">
        <v>13</v>
      </c>
      <c r="D3373" t="s">
        <v>128</v>
      </c>
      <c r="E3373" t="s">
        <v>145</v>
      </c>
      <c r="F3373">
        <v>30.2</v>
      </c>
      <c r="G3373">
        <v>2025</v>
      </c>
    </row>
    <row r="3374" spans="1:7" hidden="1" x14ac:dyDescent="0.2">
      <c r="A3374" t="s">
        <v>525</v>
      </c>
      <c r="B3374" t="s">
        <v>36</v>
      </c>
      <c r="C3374">
        <v>13</v>
      </c>
      <c r="D3374" t="s">
        <v>128</v>
      </c>
      <c r="E3374" t="s">
        <v>161</v>
      </c>
      <c r="F3374">
        <v>12.7</v>
      </c>
      <c r="G3374">
        <v>2025</v>
      </c>
    </row>
    <row r="3375" spans="1:7" hidden="1" x14ac:dyDescent="0.2">
      <c r="A3375" t="s">
        <v>525</v>
      </c>
      <c r="B3375" t="s">
        <v>36</v>
      </c>
      <c r="C3375">
        <v>13</v>
      </c>
      <c r="D3375" t="s">
        <v>128</v>
      </c>
      <c r="E3375" t="s">
        <v>298</v>
      </c>
      <c r="F3375">
        <v>9.8000000000000007</v>
      </c>
      <c r="G3375">
        <v>2025</v>
      </c>
    </row>
    <row r="3376" spans="1:7" hidden="1" x14ac:dyDescent="0.2">
      <c r="A3376" t="s">
        <v>525</v>
      </c>
      <c r="B3376" t="s">
        <v>36</v>
      </c>
      <c r="C3376">
        <v>13</v>
      </c>
      <c r="D3376" t="s">
        <v>127</v>
      </c>
      <c r="E3376" t="s">
        <v>207</v>
      </c>
      <c r="F3376">
        <v>10.1</v>
      </c>
      <c r="G3376">
        <v>2025</v>
      </c>
    </row>
    <row r="3377" spans="1:7" hidden="1" x14ac:dyDescent="0.2">
      <c r="A3377" t="s">
        <v>525</v>
      </c>
      <c r="B3377" t="s">
        <v>36</v>
      </c>
      <c r="C3377">
        <v>13</v>
      </c>
      <c r="D3377" t="s">
        <v>127</v>
      </c>
      <c r="E3377" t="s">
        <v>235</v>
      </c>
      <c r="F3377">
        <v>2.5</v>
      </c>
      <c r="G3377">
        <v>2025</v>
      </c>
    </row>
    <row r="3378" spans="1:7" hidden="1" x14ac:dyDescent="0.2">
      <c r="A3378" t="s">
        <v>525</v>
      </c>
      <c r="B3378" t="s">
        <v>36</v>
      </c>
      <c r="C3378">
        <v>13</v>
      </c>
      <c r="D3378" t="s">
        <v>129</v>
      </c>
      <c r="E3378" t="s">
        <v>191</v>
      </c>
      <c r="F3378">
        <v>11.7</v>
      </c>
      <c r="G3378">
        <v>2025</v>
      </c>
    </row>
    <row r="3379" spans="1:7" hidden="1" x14ac:dyDescent="0.2">
      <c r="A3379" t="s">
        <v>525</v>
      </c>
      <c r="B3379" t="s">
        <v>36</v>
      </c>
      <c r="C3379">
        <v>13</v>
      </c>
      <c r="D3379" t="s">
        <v>131</v>
      </c>
      <c r="E3379" t="s">
        <v>192</v>
      </c>
      <c r="F3379">
        <v>19</v>
      </c>
      <c r="G3379">
        <v>2025</v>
      </c>
    </row>
    <row r="3380" spans="1:7" hidden="1" x14ac:dyDescent="0.2">
      <c r="A3380" t="s">
        <v>525</v>
      </c>
      <c r="B3380" t="s">
        <v>36</v>
      </c>
      <c r="C3380">
        <v>13</v>
      </c>
      <c r="D3380" t="s">
        <v>130</v>
      </c>
      <c r="E3380" t="s">
        <v>142</v>
      </c>
      <c r="F3380">
        <v>33</v>
      </c>
      <c r="G3380">
        <v>2025</v>
      </c>
    </row>
    <row r="3381" spans="1:7" hidden="1" x14ac:dyDescent="0.2">
      <c r="A3381" t="s">
        <v>525</v>
      </c>
      <c r="B3381" t="s">
        <v>36</v>
      </c>
      <c r="C3381">
        <v>13</v>
      </c>
      <c r="D3381" t="s">
        <v>294</v>
      </c>
      <c r="E3381" t="s">
        <v>527</v>
      </c>
      <c r="F3381">
        <v>6.2</v>
      </c>
      <c r="G3381">
        <v>2025</v>
      </c>
    </row>
    <row r="3382" spans="1:7" hidden="1" x14ac:dyDescent="0.2">
      <c r="A3382" t="s">
        <v>521</v>
      </c>
      <c r="B3382" t="s">
        <v>29</v>
      </c>
      <c r="C3382">
        <v>13</v>
      </c>
      <c r="D3382" t="s">
        <v>125</v>
      </c>
      <c r="E3382" t="s">
        <v>150</v>
      </c>
      <c r="F3382">
        <v>29.44</v>
      </c>
      <c r="G3382">
        <v>2025</v>
      </c>
    </row>
    <row r="3383" spans="1:7" hidden="1" x14ac:dyDescent="0.2">
      <c r="A3383" t="s">
        <v>521</v>
      </c>
      <c r="B3383" t="s">
        <v>29</v>
      </c>
      <c r="C3383">
        <v>13</v>
      </c>
      <c r="D3383" t="s">
        <v>128</v>
      </c>
      <c r="E3383" t="s">
        <v>151</v>
      </c>
      <c r="F3383">
        <v>19.8</v>
      </c>
      <c r="G3383">
        <v>2025</v>
      </c>
    </row>
    <row r="3384" spans="1:7" hidden="1" x14ac:dyDescent="0.2">
      <c r="A3384" t="s">
        <v>521</v>
      </c>
      <c r="B3384" t="s">
        <v>29</v>
      </c>
      <c r="C3384">
        <v>13</v>
      </c>
      <c r="D3384" t="s">
        <v>128</v>
      </c>
      <c r="E3384" t="s">
        <v>199</v>
      </c>
      <c r="F3384">
        <v>4.0999999999999996</v>
      </c>
      <c r="G3384">
        <v>2025</v>
      </c>
    </row>
    <row r="3385" spans="1:7" hidden="1" x14ac:dyDescent="0.2">
      <c r="A3385" t="s">
        <v>521</v>
      </c>
      <c r="B3385" t="s">
        <v>29</v>
      </c>
      <c r="C3385">
        <v>13</v>
      </c>
      <c r="D3385" t="s">
        <v>128</v>
      </c>
      <c r="E3385" t="s">
        <v>162</v>
      </c>
      <c r="F3385">
        <v>9.9</v>
      </c>
      <c r="G3385">
        <v>2025</v>
      </c>
    </row>
    <row r="3386" spans="1:7" hidden="1" x14ac:dyDescent="0.2">
      <c r="A3386" t="s">
        <v>521</v>
      </c>
      <c r="B3386" t="s">
        <v>29</v>
      </c>
      <c r="C3386">
        <v>13</v>
      </c>
      <c r="D3386" t="s">
        <v>127</v>
      </c>
      <c r="E3386" t="s">
        <v>198</v>
      </c>
      <c r="F3386">
        <v>13.6</v>
      </c>
      <c r="G3386">
        <v>2025</v>
      </c>
    </row>
    <row r="3387" spans="1:7" hidden="1" x14ac:dyDescent="0.2">
      <c r="A3387" t="s">
        <v>521</v>
      </c>
      <c r="B3387" t="s">
        <v>29</v>
      </c>
      <c r="C3387">
        <v>13</v>
      </c>
      <c r="D3387" t="s">
        <v>127</v>
      </c>
      <c r="E3387" t="s">
        <v>175</v>
      </c>
      <c r="F3387">
        <v>11.4</v>
      </c>
      <c r="G3387">
        <v>2025</v>
      </c>
    </row>
    <row r="3388" spans="1:7" hidden="1" x14ac:dyDescent="0.2">
      <c r="A3388" t="s">
        <v>521</v>
      </c>
      <c r="B3388" t="s">
        <v>29</v>
      </c>
      <c r="C3388">
        <v>13</v>
      </c>
      <c r="D3388" t="s">
        <v>129</v>
      </c>
      <c r="E3388" t="s">
        <v>196</v>
      </c>
      <c r="F3388">
        <v>6.7</v>
      </c>
      <c r="G3388">
        <v>2025</v>
      </c>
    </row>
    <row r="3389" spans="1:7" hidden="1" x14ac:dyDescent="0.2">
      <c r="A3389" t="s">
        <v>521</v>
      </c>
      <c r="B3389" t="s">
        <v>29</v>
      </c>
      <c r="C3389">
        <v>13</v>
      </c>
      <c r="D3389" t="s">
        <v>131</v>
      </c>
      <c r="E3389" t="s">
        <v>374</v>
      </c>
      <c r="F3389">
        <v>6</v>
      </c>
      <c r="G3389">
        <v>2025</v>
      </c>
    </row>
    <row r="3390" spans="1:7" hidden="1" x14ac:dyDescent="0.2">
      <c r="A3390" t="s">
        <v>521</v>
      </c>
      <c r="B3390" t="s">
        <v>29</v>
      </c>
      <c r="C3390">
        <v>13</v>
      </c>
      <c r="D3390" t="s">
        <v>130</v>
      </c>
      <c r="E3390" t="s">
        <v>251</v>
      </c>
      <c r="F3390">
        <v>2</v>
      </c>
      <c r="G3390">
        <v>2025</v>
      </c>
    </row>
    <row r="3391" spans="1:7" hidden="1" x14ac:dyDescent="0.2">
      <c r="A3391" t="s">
        <v>521</v>
      </c>
      <c r="B3391" t="s">
        <v>29</v>
      </c>
      <c r="C3391">
        <v>13</v>
      </c>
      <c r="D3391" t="s">
        <v>294</v>
      </c>
      <c r="E3391" t="s">
        <v>171</v>
      </c>
      <c r="F3391">
        <v>1.4</v>
      </c>
      <c r="G3391">
        <v>2025</v>
      </c>
    </row>
    <row r="3392" spans="1:7" hidden="1" x14ac:dyDescent="0.2">
      <c r="A3392" t="s">
        <v>26</v>
      </c>
      <c r="B3392" t="s">
        <v>28</v>
      </c>
      <c r="C3392">
        <v>13</v>
      </c>
      <c r="D3392" t="s">
        <v>125</v>
      </c>
      <c r="E3392" t="s">
        <v>203</v>
      </c>
      <c r="F3392">
        <v>25.76</v>
      </c>
      <c r="G3392">
        <v>2025</v>
      </c>
    </row>
    <row r="3393" spans="1:7" hidden="1" x14ac:dyDescent="0.2">
      <c r="A3393" t="s">
        <v>26</v>
      </c>
      <c r="B3393" t="s">
        <v>28</v>
      </c>
      <c r="C3393">
        <v>13</v>
      </c>
      <c r="D3393" t="s">
        <v>128</v>
      </c>
      <c r="E3393" t="s">
        <v>179</v>
      </c>
      <c r="F3393">
        <v>10.199999999999999</v>
      </c>
      <c r="G3393">
        <v>2025</v>
      </c>
    </row>
    <row r="3394" spans="1:7" hidden="1" x14ac:dyDescent="0.2">
      <c r="A3394" t="s">
        <v>26</v>
      </c>
      <c r="B3394" t="s">
        <v>28</v>
      </c>
      <c r="C3394">
        <v>13</v>
      </c>
      <c r="D3394" t="s">
        <v>128</v>
      </c>
      <c r="E3394" t="s">
        <v>257</v>
      </c>
      <c r="F3394">
        <v>9.4</v>
      </c>
      <c r="G3394">
        <v>2025</v>
      </c>
    </row>
    <row r="3395" spans="1:7" hidden="1" x14ac:dyDescent="0.2">
      <c r="A3395" t="s">
        <v>26</v>
      </c>
      <c r="B3395" t="s">
        <v>28</v>
      </c>
      <c r="C3395">
        <v>13</v>
      </c>
      <c r="D3395" t="s">
        <v>128</v>
      </c>
      <c r="E3395" t="s">
        <v>153</v>
      </c>
      <c r="F3395">
        <v>1</v>
      </c>
      <c r="G3395">
        <v>2025</v>
      </c>
    </row>
    <row r="3396" spans="1:7" hidden="1" x14ac:dyDescent="0.2">
      <c r="A3396" t="s">
        <v>26</v>
      </c>
      <c r="B3396" t="s">
        <v>28</v>
      </c>
      <c r="C3396">
        <v>13</v>
      </c>
      <c r="D3396" t="s">
        <v>127</v>
      </c>
      <c r="E3396" t="s">
        <v>545</v>
      </c>
      <c r="F3396">
        <v>14.4</v>
      </c>
      <c r="G3396">
        <v>2025</v>
      </c>
    </row>
    <row r="3397" spans="1:7" hidden="1" x14ac:dyDescent="0.2">
      <c r="A3397" t="s">
        <v>26</v>
      </c>
      <c r="B3397" t="s">
        <v>28</v>
      </c>
      <c r="C3397">
        <v>13</v>
      </c>
      <c r="D3397" t="s">
        <v>127</v>
      </c>
      <c r="E3397" t="s">
        <v>403</v>
      </c>
      <c r="F3397">
        <v>11.2</v>
      </c>
      <c r="G3397">
        <v>2025</v>
      </c>
    </row>
    <row r="3398" spans="1:7" hidden="1" x14ac:dyDescent="0.2">
      <c r="A3398" t="s">
        <v>26</v>
      </c>
      <c r="B3398" t="s">
        <v>28</v>
      </c>
      <c r="C3398">
        <v>13</v>
      </c>
      <c r="D3398" t="s">
        <v>129</v>
      </c>
      <c r="E3398" t="s">
        <v>376</v>
      </c>
      <c r="F3398">
        <v>8.9</v>
      </c>
      <c r="G3398">
        <v>2025</v>
      </c>
    </row>
    <row r="3399" spans="1:7" hidden="1" x14ac:dyDescent="0.2">
      <c r="A3399" t="s">
        <v>26</v>
      </c>
      <c r="B3399" t="s">
        <v>28</v>
      </c>
      <c r="C3399">
        <v>13</v>
      </c>
      <c r="D3399" t="s">
        <v>131</v>
      </c>
      <c r="E3399" t="s">
        <v>228</v>
      </c>
      <c r="F3399">
        <v>6</v>
      </c>
      <c r="G3399">
        <v>2025</v>
      </c>
    </row>
    <row r="3400" spans="1:7" x14ac:dyDescent="0.2">
      <c r="A3400" t="s">
        <v>26</v>
      </c>
      <c r="B3400" t="s">
        <v>28</v>
      </c>
      <c r="C3400">
        <v>13</v>
      </c>
      <c r="D3400" t="s">
        <v>130</v>
      </c>
      <c r="E3400" t="s">
        <v>281</v>
      </c>
      <c r="F3400">
        <v>4</v>
      </c>
      <c r="G3400">
        <v>2025</v>
      </c>
    </row>
    <row r="3401" spans="1:7" hidden="1" x14ac:dyDescent="0.2">
      <c r="A3401" t="s">
        <v>26</v>
      </c>
      <c r="B3401" t="s">
        <v>28</v>
      </c>
      <c r="C3401">
        <v>13</v>
      </c>
      <c r="D3401" t="s">
        <v>293</v>
      </c>
      <c r="E3401" t="s">
        <v>519</v>
      </c>
      <c r="F3401">
        <v>9.1</v>
      </c>
      <c r="G3401">
        <v>2025</v>
      </c>
    </row>
    <row r="3402" spans="1:7" hidden="1" x14ac:dyDescent="0.2">
      <c r="A3402" t="s">
        <v>77</v>
      </c>
      <c r="B3402" t="s">
        <v>45</v>
      </c>
      <c r="C3402">
        <v>13</v>
      </c>
      <c r="D3402" t="s">
        <v>125</v>
      </c>
      <c r="E3402" t="s">
        <v>241</v>
      </c>
      <c r="F3402">
        <v>14.46</v>
      </c>
      <c r="G3402">
        <v>2025</v>
      </c>
    </row>
    <row r="3403" spans="1:7" hidden="1" x14ac:dyDescent="0.2">
      <c r="A3403" t="s">
        <v>77</v>
      </c>
      <c r="B3403" t="s">
        <v>45</v>
      </c>
      <c r="C3403">
        <v>13</v>
      </c>
      <c r="D3403" t="s">
        <v>128</v>
      </c>
      <c r="E3403" t="s">
        <v>231</v>
      </c>
      <c r="F3403">
        <v>14.5</v>
      </c>
      <c r="G3403">
        <v>2025</v>
      </c>
    </row>
    <row r="3404" spans="1:7" hidden="1" x14ac:dyDescent="0.2">
      <c r="A3404" t="s">
        <v>77</v>
      </c>
      <c r="B3404" t="s">
        <v>45</v>
      </c>
      <c r="C3404">
        <v>13</v>
      </c>
      <c r="D3404" t="s">
        <v>128</v>
      </c>
      <c r="E3404" t="s">
        <v>220</v>
      </c>
      <c r="F3404">
        <v>10</v>
      </c>
      <c r="G3404">
        <v>2025</v>
      </c>
    </row>
    <row r="3405" spans="1:7" hidden="1" x14ac:dyDescent="0.2">
      <c r="A3405" t="s">
        <v>77</v>
      </c>
      <c r="B3405" t="s">
        <v>45</v>
      </c>
      <c r="C3405">
        <v>13</v>
      </c>
      <c r="D3405" t="s">
        <v>128</v>
      </c>
      <c r="E3405" t="s">
        <v>187</v>
      </c>
      <c r="F3405">
        <v>0</v>
      </c>
      <c r="G3405">
        <v>2025</v>
      </c>
    </row>
    <row r="3406" spans="1:7" hidden="1" x14ac:dyDescent="0.2">
      <c r="A3406" t="s">
        <v>77</v>
      </c>
      <c r="B3406" t="s">
        <v>45</v>
      </c>
      <c r="C3406">
        <v>13</v>
      </c>
      <c r="D3406" t="s">
        <v>127</v>
      </c>
      <c r="E3406" t="s">
        <v>136</v>
      </c>
      <c r="F3406">
        <v>15.5</v>
      </c>
      <c r="G3406">
        <v>2025</v>
      </c>
    </row>
    <row r="3407" spans="1:7" hidden="1" x14ac:dyDescent="0.2">
      <c r="A3407" t="s">
        <v>77</v>
      </c>
      <c r="B3407" t="s">
        <v>45</v>
      </c>
      <c r="C3407">
        <v>13</v>
      </c>
      <c r="D3407" t="s">
        <v>127</v>
      </c>
      <c r="E3407" t="s">
        <v>313</v>
      </c>
      <c r="F3407">
        <v>8.5</v>
      </c>
      <c r="G3407">
        <v>2025</v>
      </c>
    </row>
    <row r="3408" spans="1:7" hidden="1" x14ac:dyDescent="0.2">
      <c r="A3408" t="s">
        <v>77</v>
      </c>
      <c r="B3408" t="s">
        <v>45</v>
      </c>
      <c r="C3408">
        <v>13</v>
      </c>
      <c r="D3408" t="s">
        <v>129</v>
      </c>
      <c r="E3408" t="s">
        <v>165</v>
      </c>
      <c r="F3408">
        <v>9.3000000000000007</v>
      </c>
      <c r="G3408">
        <v>2025</v>
      </c>
    </row>
    <row r="3409" spans="1:7" hidden="1" x14ac:dyDescent="0.2">
      <c r="A3409" t="s">
        <v>77</v>
      </c>
      <c r="B3409" t="s">
        <v>45</v>
      </c>
      <c r="C3409">
        <v>13</v>
      </c>
      <c r="D3409" t="s">
        <v>131</v>
      </c>
      <c r="E3409" t="s">
        <v>532</v>
      </c>
      <c r="F3409">
        <v>6</v>
      </c>
      <c r="G3409">
        <v>2025</v>
      </c>
    </row>
    <row r="3410" spans="1:7" hidden="1" x14ac:dyDescent="0.2">
      <c r="A3410" t="s">
        <v>77</v>
      </c>
      <c r="B3410" t="s">
        <v>45</v>
      </c>
      <c r="C3410">
        <v>13</v>
      </c>
      <c r="D3410" t="s">
        <v>130</v>
      </c>
      <c r="E3410" t="s">
        <v>157</v>
      </c>
      <c r="F3410">
        <v>18</v>
      </c>
      <c r="G3410">
        <v>2025</v>
      </c>
    </row>
    <row r="3411" spans="1:7" hidden="1" x14ac:dyDescent="0.2">
      <c r="A3411" t="s">
        <v>77</v>
      </c>
      <c r="B3411" t="s">
        <v>45</v>
      </c>
      <c r="C3411">
        <v>13</v>
      </c>
      <c r="D3411" t="s">
        <v>293</v>
      </c>
      <c r="E3411" t="s">
        <v>560</v>
      </c>
      <c r="F3411">
        <v>5.5</v>
      </c>
      <c r="G3411">
        <v>2025</v>
      </c>
    </row>
    <row r="3412" spans="1:7" hidden="1" x14ac:dyDescent="0.2">
      <c r="A3412" t="s">
        <v>526</v>
      </c>
      <c r="B3412" t="s">
        <v>32</v>
      </c>
      <c r="C3412">
        <v>13</v>
      </c>
      <c r="D3412" t="s">
        <v>125</v>
      </c>
      <c r="E3412" t="s">
        <v>392</v>
      </c>
      <c r="F3412">
        <v>20.64</v>
      </c>
      <c r="G3412">
        <v>2025</v>
      </c>
    </row>
    <row r="3413" spans="1:7" hidden="1" x14ac:dyDescent="0.2">
      <c r="A3413" t="s">
        <v>526</v>
      </c>
      <c r="B3413" t="s">
        <v>32</v>
      </c>
      <c r="C3413">
        <v>13</v>
      </c>
      <c r="D3413" t="s">
        <v>128</v>
      </c>
      <c r="E3413" t="s">
        <v>186</v>
      </c>
      <c r="F3413">
        <v>11.9</v>
      </c>
      <c r="G3413">
        <v>2025</v>
      </c>
    </row>
    <row r="3414" spans="1:7" hidden="1" x14ac:dyDescent="0.2">
      <c r="A3414" t="s">
        <v>526</v>
      </c>
      <c r="B3414" t="s">
        <v>32</v>
      </c>
      <c r="C3414">
        <v>13</v>
      </c>
      <c r="D3414" t="s">
        <v>128</v>
      </c>
      <c r="E3414" t="s">
        <v>283</v>
      </c>
      <c r="F3414">
        <v>4.0999999999999996</v>
      </c>
      <c r="G3414">
        <v>2025</v>
      </c>
    </row>
    <row r="3415" spans="1:7" hidden="1" x14ac:dyDescent="0.2">
      <c r="A3415" t="s">
        <v>526</v>
      </c>
      <c r="B3415" t="s">
        <v>32</v>
      </c>
      <c r="C3415">
        <v>13</v>
      </c>
      <c r="D3415" t="s">
        <v>128</v>
      </c>
      <c r="E3415" t="s">
        <v>328</v>
      </c>
      <c r="F3415">
        <v>3.5</v>
      </c>
      <c r="G3415">
        <v>2025</v>
      </c>
    </row>
    <row r="3416" spans="1:7" hidden="1" x14ac:dyDescent="0.2">
      <c r="A3416" t="s">
        <v>526</v>
      </c>
      <c r="B3416" t="s">
        <v>32</v>
      </c>
      <c r="C3416">
        <v>13</v>
      </c>
      <c r="D3416" t="s">
        <v>127</v>
      </c>
      <c r="E3416" t="s">
        <v>226</v>
      </c>
      <c r="F3416">
        <v>14.6</v>
      </c>
      <c r="G3416">
        <v>2025</v>
      </c>
    </row>
    <row r="3417" spans="1:7" hidden="1" x14ac:dyDescent="0.2">
      <c r="A3417" t="s">
        <v>526</v>
      </c>
      <c r="B3417" t="s">
        <v>32</v>
      </c>
      <c r="C3417">
        <v>13</v>
      </c>
      <c r="D3417" t="s">
        <v>127</v>
      </c>
      <c r="E3417" t="s">
        <v>148</v>
      </c>
      <c r="F3417">
        <v>19.399999999999999</v>
      </c>
      <c r="G3417">
        <v>2025</v>
      </c>
    </row>
    <row r="3418" spans="1:7" hidden="1" x14ac:dyDescent="0.2">
      <c r="A3418" t="s">
        <v>526</v>
      </c>
      <c r="B3418" t="s">
        <v>32</v>
      </c>
      <c r="C3418">
        <v>13</v>
      </c>
      <c r="D3418" t="s">
        <v>129</v>
      </c>
      <c r="E3418" t="s">
        <v>572</v>
      </c>
      <c r="F3418">
        <v>4.4000000000000004</v>
      </c>
      <c r="G3418">
        <v>2025</v>
      </c>
    </row>
    <row r="3419" spans="1:7" hidden="1" x14ac:dyDescent="0.2">
      <c r="A3419" t="s">
        <v>526</v>
      </c>
      <c r="B3419" t="s">
        <v>32</v>
      </c>
      <c r="C3419">
        <v>13</v>
      </c>
      <c r="D3419" t="s">
        <v>131</v>
      </c>
      <c r="E3419" t="s">
        <v>210</v>
      </c>
      <c r="F3419">
        <v>11</v>
      </c>
      <c r="G3419">
        <v>2025</v>
      </c>
    </row>
    <row r="3420" spans="1:7" hidden="1" x14ac:dyDescent="0.2">
      <c r="A3420" t="s">
        <v>526</v>
      </c>
      <c r="B3420" t="s">
        <v>32</v>
      </c>
      <c r="C3420">
        <v>13</v>
      </c>
      <c r="D3420" t="s">
        <v>130</v>
      </c>
      <c r="E3420" t="s">
        <v>358</v>
      </c>
      <c r="F3420">
        <v>-2</v>
      </c>
      <c r="G3420">
        <v>2025</v>
      </c>
    </row>
    <row r="3421" spans="1:7" hidden="1" x14ac:dyDescent="0.2">
      <c r="A3421" t="s">
        <v>526</v>
      </c>
      <c r="B3421" t="s">
        <v>32</v>
      </c>
      <c r="C3421">
        <v>13</v>
      </c>
      <c r="D3421" t="s">
        <v>293</v>
      </c>
      <c r="E3421" t="s">
        <v>225</v>
      </c>
      <c r="F3421">
        <v>8.9</v>
      </c>
      <c r="G3421">
        <v>2025</v>
      </c>
    </row>
    <row r="3422" spans="1:7" hidden="1" x14ac:dyDescent="0.2">
      <c r="A3422" t="s">
        <v>35</v>
      </c>
      <c r="B3422" t="s">
        <v>49</v>
      </c>
      <c r="C3422">
        <v>13</v>
      </c>
      <c r="D3422" t="s">
        <v>125</v>
      </c>
      <c r="E3422" t="s">
        <v>168</v>
      </c>
      <c r="F3422">
        <v>16.3</v>
      </c>
      <c r="G3422">
        <v>2025</v>
      </c>
    </row>
    <row r="3423" spans="1:7" hidden="1" x14ac:dyDescent="0.2">
      <c r="A3423" t="s">
        <v>35</v>
      </c>
      <c r="B3423" t="s">
        <v>49</v>
      </c>
      <c r="C3423">
        <v>13</v>
      </c>
      <c r="D3423" t="s">
        <v>128</v>
      </c>
      <c r="E3423" t="s">
        <v>160</v>
      </c>
      <c r="F3423">
        <v>13.8</v>
      </c>
      <c r="G3423">
        <v>2025</v>
      </c>
    </row>
    <row r="3424" spans="1:7" hidden="1" x14ac:dyDescent="0.2">
      <c r="A3424" t="s">
        <v>35</v>
      </c>
      <c r="B3424" t="s">
        <v>49</v>
      </c>
      <c r="C3424">
        <v>13</v>
      </c>
      <c r="D3424" t="s">
        <v>128</v>
      </c>
      <c r="E3424" t="s">
        <v>147</v>
      </c>
      <c r="F3424">
        <v>25.4</v>
      </c>
      <c r="G3424">
        <v>2025</v>
      </c>
    </row>
    <row r="3425" spans="1:7" hidden="1" x14ac:dyDescent="0.2">
      <c r="A3425" t="s">
        <v>35</v>
      </c>
      <c r="B3425" t="s">
        <v>49</v>
      </c>
      <c r="C3425">
        <v>13</v>
      </c>
      <c r="D3425" t="s">
        <v>128</v>
      </c>
      <c r="E3425" t="s">
        <v>205</v>
      </c>
      <c r="F3425">
        <v>7.3</v>
      </c>
      <c r="G3425">
        <v>2025</v>
      </c>
    </row>
    <row r="3426" spans="1:7" hidden="1" x14ac:dyDescent="0.2">
      <c r="A3426" t="s">
        <v>35</v>
      </c>
      <c r="B3426" t="s">
        <v>49</v>
      </c>
      <c r="C3426">
        <v>13</v>
      </c>
      <c r="D3426" t="s">
        <v>127</v>
      </c>
      <c r="E3426" t="s">
        <v>256</v>
      </c>
      <c r="F3426">
        <v>13.2</v>
      </c>
      <c r="G3426">
        <v>2025</v>
      </c>
    </row>
    <row r="3427" spans="1:7" hidden="1" x14ac:dyDescent="0.2">
      <c r="A3427" t="s">
        <v>35</v>
      </c>
      <c r="B3427" t="s">
        <v>49</v>
      </c>
      <c r="C3427">
        <v>13</v>
      </c>
      <c r="D3427" t="s">
        <v>127</v>
      </c>
      <c r="E3427" t="s">
        <v>534</v>
      </c>
      <c r="F3427">
        <v>19.7</v>
      </c>
      <c r="G3427">
        <v>2025</v>
      </c>
    </row>
    <row r="3428" spans="1:7" hidden="1" x14ac:dyDescent="0.2">
      <c r="A3428" t="s">
        <v>35</v>
      </c>
      <c r="B3428" t="s">
        <v>49</v>
      </c>
      <c r="C3428">
        <v>13</v>
      </c>
      <c r="D3428" t="s">
        <v>129</v>
      </c>
      <c r="E3428" t="s">
        <v>137</v>
      </c>
      <c r="F3428">
        <v>18.2</v>
      </c>
      <c r="G3428">
        <v>2025</v>
      </c>
    </row>
    <row r="3429" spans="1:7" hidden="1" x14ac:dyDescent="0.2">
      <c r="A3429" t="s">
        <v>35</v>
      </c>
      <c r="B3429" t="s">
        <v>49</v>
      </c>
      <c r="C3429">
        <v>13</v>
      </c>
      <c r="D3429" t="s">
        <v>131</v>
      </c>
      <c r="E3429" t="s">
        <v>195</v>
      </c>
      <c r="F3429">
        <v>8</v>
      </c>
      <c r="G3429">
        <v>2025</v>
      </c>
    </row>
    <row r="3430" spans="1:7" hidden="1" x14ac:dyDescent="0.2">
      <c r="A3430" t="s">
        <v>35</v>
      </c>
      <c r="B3430" t="s">
        <v>49</v>
      </c>
      <c r="C3430">
        <v>13</v>
      </c>
      <c r="D3430" t="s">
        <v>130</v>
      </c>
      <c r="E3430" t="s">
        <v>323</v>
      </c>
      <c r="F3430">
        <v>0</v>
      </c>
      <c r="G3430">
        <v>2025</v>
      </c>
    </row>
    <row r="3431" spans="1:7" hidden="1" x14ac:dyDescent="0.2">
      <c r="A3431" t="s">
        <v>35</v>
      </c>
      <c r="B3431" t="s">
        <v>49</v>
      </c>
      <c r="C3431">
        <v>13</v>
      </c>
      <c r="D3431" t="s">
        <v>293</v>
      </c>
      <c r="E3431" t="s">
        <v>556</v>
      </c>
      <c r="F3431">
        <v>7.2</v>
      </c>
      <c r="G3431">
        <v>2025</v>
      </c>
    </row>
    <row r="3432" spans="1:7" hidden="1" x14ac:dyDescent="0.2">
      <c r="A3432" t="s">
        <v>46</v>
      </c>
      <c r="B3432" t="s">
        <v>47</v>
      </c>
      <c r="C3432">
        <v>13</v>
      </c>
      <c r="D3432" t="s">
        <v>125</v>
      </c>
      <c r="E3432" t="s">
        <v>126</v>
      </c>
      <c r="F3432">
        <v>21.66</v>
      </c>
      <c r="G3432">
        <v>2025</v>
      </c>
    </row>
    <row r="3433" spans="1:7" hidden="1" x14ac:dyDescent="0.2">
      <c r="A3433" t="s">
        <v>46</v>
      </c>
      <c r="B3433" t="s">
        <v>47</v>
      </c>
      <c r="C3433">
        <v>13</v>
      </c>
      <c r="D3433" t="s">
        <v>128</v>
      </c>
      <c r="E3433" t="s">
        <v>347</v>
      </c>
      <c r="F3433">
        <v>15.8</v>
      </c>
      <c r="G3433">
        <v>2025</v>
      </c>
    </row>
    <row r="3434" spans="1:7" hidden="1" x14ac:dyDescent="0.2">
      <c r="A3434" t="s">
        <v>46</v>
      </c>
      <c r="B3434" t="s">
        <v>47</v>
      </c>
      <c r="C3434">
        <v>13</v>
      </c>
      <c r="D3434" t="s">
        <v>128</v>
      </c>
      <c r="E3434" t="s">
        <v>178</v>
      </c>
      <c r="F3434">
        <v>5.5</v>
      </c>
      <c r="G3434">
        <v>2025</v>
      </c>
    </row>
    <row r="3435" spans="1:7" hidden="1" x14ac:dyDescent="0.2">
      <c r="A3435" t="s">
        <v>46</v>
      </c>
      <c r="B3435" t="s">
        <v>47</v>
      </c>
      <c r="C3435">
        <v>13</v>
      </c>
      <c r="D3435" t="s">
        <v>128</v>
      </c>
      <c r="E3435" t="s">
        <v>206</v>
      </c>
      <c r="F3435">
        <v>9.3000000000000007</v>
      </c>
      <c r="G3435">
        <v>2025</v>
      </c>
    </row>
    <row r="3436" spans="1:7" hidden="1" x14ac:dyDescent="0.2">
      <c r="A3436" t="s">
        <v>46</v>
      </c>
      <c r="B3436" t="s">
        <v>47</v>
      </c>
      <c r="C3436">
        <v>13</v>
      </c>
      <c r="D3436" t="s">
        <v>127</v>
      </c>
      <c r="E3436" t="s">
        <v>372</v>
      </c>
      <c r="F3436">
        <v>15.4</v>
      </c>
      <c r="G3436">
        <v>2025</v>
      </c>
    </row>
    <row r="3437" spans="1:7" hidden="1" x14ac:dyDescent="0.2">
      <c r="A3437" t="s">
        <v>46</v>
      </c>
      <c r="B3437" t="s">
        <v>47</v>
      </c>
      <c r="C3437">
        <v>13</v>
      </c>
      <c r="D3437" t="s">
        <v>127</v>
      </c>
      <c r="E3437" t="s">
        <v>278</v>
      </c>
      <c r="F3437">
        <v>20.3</v>
      </c>
      <c r="G3437">
        <v>2025</v>
      </c>
    </row>
    <row r="3438" spans="1:7" hidden="1" x14ac:dyDescent="0.2">
      <c r="A3438" t="s">
        <v>46</v>
      </c>
      <c r="B3438" t="s">
        <v>47</v>
      </c>
      <c r="C3438">
        <v>13</v>
      </c>
      <c r="D3438" t="s">
        <v>129</v>
      </c>
      <c r="E3438" t="s">
        <v>182</v>
      </c>
      <c r="F3438">
        <v>20.3</v>
      </c>
      <c r="G3438">
        <v>2025</v>
      </c>
    </row>
    <row r="3439" spans="1:7" hidden="1" x14ac:dyDescent="0.2">
      <c r="A3439" t="s">
        <v>46</v>
      </c>
      <c r="B3439" t="s">
        <v>47</v>
      </c>
      <c r="C3439">
        <v>13</v>
      </c>
      <c r="D3439" t="s">
        <v>131</v>
      </c>
      <c r="E3439" t="s">
        <v>242</v>
      </c>
      <c r="F3439">
        <v>1</v>
      </c>
      <c r="G3439">
        <v>2025</v>
      </c>
    </row>
    <row r="3440" spans="1:7" hidden="1" x14ac:dyDescent="0.2">
      <c r="A3440" t="s">
        <v>46</v>
      </c>
      <c r="B3440" t="s">
        <v>47</v>
      </c>
      <c r="C3440">
        <v>13</v>
      </c>
      <c r="D3440" t="s">
        <v>130</v>
      </c>
      <c r="E3440" t="s">
        <v>352</v>
      </c>
      <c r="F3440">
        <v>1</v>
      </c>
      <c r="G3440">
        <v>2025</v>
      </c>
    </row>
    <row r="3441" spans="1:7" hidden="1" x14ac:dyDescent="0.2">
      <c r="A3441" t="s">
        <v>46</v>
      </c>
      <c r="B3441" t="s">
        <v>47</v>
      </c>
      <c r="C3441">
        <v>13</v>
      </c>
      <c r="D3441" t="s">
        <v>293</v>
      </c>
      <c r="E3441" t="s">
        <v>255</v>
      </c>
      <c r="F3441">
        <v>15.1</v>
      </c>
      <c r="G3441">
        <v>2025</v>
      </c>
    </row>
    <row r="3442" spans="1:7" hidden="1" x14ac:dyDescent="0.2">
      <c r="A3442" t="s">
        <v>14</v>
      </c>
      <c r="B3442" t="s">
        <v>16</v>
      </c>
      <c r="C3442">
        <v>14</v>
      </c>
      <c r="D3442" t="s">
        <v>125</v>
      </c>
      <c r="E3442" t="s">
        <v>576</v>
      </c>
      <c r="F3442">
        <v>19.04</v>
      </c>
      <c r="G3442">
        <v>2025</v>
      </c>
    </row>
    <row r="3443" spans="1:7" hidden="1" x14ac:dyDescent="0.2">
      <c r="A3443" t="s">
        <v>14</v>
      </c>
      <c r="B3443" t="s">
        <v>16</v>
      </c>
      <c r="C3443">
        <v>14</v>
      </c>
      <c r="D3443" t="s">
        <v>128</v>
      </c>
      <c r="E3443" t="s">
        <v>329</v>
      </c>
      <c r="F3443">
        <v>31.7</v>
      </c>
      <c r="G3443">
        <v>2025</v>
      </c>
    </row>
    <row r="3444" spans="1:7" hidden="1" x14ac:dyDescent="0.2">
      <c r="A3444" t="s">
        <v>14</v>
      </c>
      <c r="B3444" t="s">
        <v>16</v>
      </c>
      <c r="C3444">
        <v>14</v>
      </c>
      <c r="D3444" t="s">
        <v>128</v>
      </c>
      <c r="E3444" t="s">
        <v>254</v>
      </c>
      <c r="F3444">
        <v>12.4</v>
      </c>
      <c r="G3444">
        <v>2025</v>
      </c>
    </row>
    <row r="3445" spans="1:7" hidden="1" x14ac:dyDescent="0.2">
      <c r="A3445" t="s">
        <v>14</v>
      </c>
      <c r="B3445" t="s">
        <v>16</v>
      </c>
      <c r="C3445">
        <v>14</v>
      </c>
      <c r="D3445" t="s">
        <v>128</v>
      </c>
      <c r="E3445" t="s">
        <v>223</v>
      </c>
      <c r="F3445">
        <v>22.9</v>
      </c>
      <c r="G3445">
        <v>2025</v>
      </c>
    </row>
    <row r="3446" spans="1:7" hidden="1" x14ac:dyDescent="0.2">
      <c r="A3446" t="s">
        <v>14</v>
      </c>
      <c r="B3446" t="s">
        <v>16</v>
      </c>
      <c r="C3446">
        <v>14</v>
      </c>
      <c r="D3446" t="s">
        <v>127</v>
      </c>
      <c r="E3446" t="s">
        <v>314</v>
      </c>
      <c r="F3446">
        <v>17</v>
      </c>
      <c r="G3446">
        <v>2025</v>
      </c>
    </row>
    <row r="3447" spans="1:7" hidden="1" x14ac:dyDescent="0.2">
      <c r="A3447" t="s">
        <v>14</v>
      </c>
      <c r="B3447" t="s">
        <v>16</v>
      </c>
      <c r="C3447">
        <v>14</v>
      </c>
      <c r="D3447" t="s">
        <v>127</v>
      </c>
      <c r="E3447" t="s">
        <v>189</v>
      </c>
      <c r="F3447">
        <v>20.7</v>
      </c>
      <c r="G3447">
        <v>2025</v>
      </c>
    </row>
    <row r="3448" spans="1:7" hidden="1" x14ac:dyDescent="0.2">
      <c r="A3448" t="s">
        <v>14</v>
      </c>
      <c r="B3448" t="s">
        <v>16</v>
      </c>
      <c r="C3448">
        <v>14</v>
      </c>
      <c r="D3448" t="s">
        <v>129</v>
      </c>
      <c r="E3448" t="s">
        <v>299</v>
      </c>
      <c r="F3448">
        <v>8.3000000000000007</v>
      </c>
      <c r="G3448">
        <v>2025</v>
      </c>
    </row>
    <row r="3449" spans="1:7" hidden="1" x14ac:dyDescent="0.2">
      <c r="A3449" t="s">
        <v>14</v>
      </c>
      <c r="B3449" t="s">
        <v>16</v>
      </c>
      <c r="C3449">
        <v>14</v>
      </c>
      <c r="D3449" t="s">
        <v>131</v>
      </c>
      <c r="E3449" t="s">
        <v>520</v>
      </c>
      <c r="F3449">
        <v>5</v>
      </c>
      <c r="G3449">
        <v>2025</v>
      </c>
    </row>
    <row r="3450" spans="1:7" hidden="1" x14ac:dyDescent="0.2">
      <c r="A3450" t="s">
        <v>14</v>
      </c>
      <c r="B3450" t="s">
        <v>16</v>
      </c>
      <c r="C3450">
        <v>14</v>
      </c>
      <c r="D3450" t="s">
        <v>130</v>
      </c>
      <c r="E3450" t="s">
        <v>273</v>
      </c>
      <c r="F3450">
        <v>6</v>
      </c>
      <c r="G3450">
        <v>2025</v>
      </c>
    </row>
    <row r="3451" spans="1:7" hidden="1" x14ac:dyDescent="0.2">
      <c r="A3451" t="s">
        <v>14</v>
      </c>
      <c r="B3451" t="s">
        <v>16</v>
      </c>
      <c r="C3451">
        <v>14</v>
      </c>
      <c r="D3451" t="s">
        <v>294</v>
      </c>
      <c r="E3451" t="s">
        <v>295</v>
      </c>
      <c r="F3451">
        <v>5.6</v>
      </c>
      <c r="G3451">
        <v>2025</v>
      </c>
    </row>
    <row r="3452" spans="1:7" hidden="1" x14ac:dyDescent="0.2">
      <c r="A3452" t="s">
        <v>525</v>
      </c>
      <c r="B3452" t="s">
        <v>36</v>
      </c>
      <c r="C3452">
        <v>14</v>
      </c>
      <c r="D3452" t="s">
        <v>125</v>
      </c>
      <c r="E3452" t="s">
        <v>427</v>
      </c>
      <c r="F3452">
        <v>23.24</v>
      </c>
      <c r="G3452">
        <v>2025</v>
      </c>
    </row>
    <row r="3453" spans="1:7" hidden="1" x14ac:dyDescent="0.2">
      <c r="A3453" t="s">
        <v>525</v>
      </c>
      <c r="B3453" t="s">
        <v>36</v>
      </c>
      <c r="C3453">
        <v>14</v>
      </c>
      <c r="D3453" t="s">
        <v>128</v>
      </c>
      <c r="E3453" t="s">
        <v>145</v>
      </c>
      <c r="F3453">
        <v>13</v>
      </c>
      <c r="G3453">
        <v>2025</v>
      </c>
    </row>
    <row r="3454" spans="1:7" hidden="1" x14ac:dyDescent="0.2">
      <c r="A3454" t="s">
        <v>525</v>
      </c>
      <c r="B3454" t="s">
        <v>36</v>
      </c>
      <c r="C3454">
        <v>14</v>
      </c>
      <c r="D3454" t="s">
        <v>128</v>
      </c>
      <c r="E3454" t="s">
        <v>161</v>
      </c>
      <c r="F3454">
        <v>4.5</v>
      </c>
      <c r="G3454">
        <v>2025</v>
      </c>
    </row>
    <row r="3455" spans="1:7" hidden="1" x14ac:dyDescent="0.2">
      <c r="A3455" t="s">
        <v>525</v>
      </c>
      <c r="B3455" t="s">
        <v>36</v>
      </c>
      <c r="C3455">
        <v>14</v>
      </c>
      <c r="D3455" t="s">
        <v>128</v>
      </c>
      <c r="E3455" t="s">
        <v>527</v>
      </c>
      <c r="F3455">
        <v>2.5</v>
      </c>
      <c r="G3455">
        <v>2025</v>
      </c>
    </row>
    <row r="3456" spans="1:7" hidden="1" x14ac:dyDescent="0.2">
      <c r="A3456" t="s">
        <v>525</v>
      </c>
      <c r="B3456" t="s">
        <v>36</v>
      </c>
      <c r="C3456">
        <v>14</v>
      </c>
      <c r="D3456" t="s">
        <v>127</v>
      </c>
      <c r="E3456" t="s">
        <v>207</v>
      </c>
      <c r="F3456">
        <v>33.5</v>
      </c>
      <c r="G3456">
        <v>2025</v>
      </c>
    </row>
    <row r="3457" spans="1:7" hidden="1" x14ac:dyDescent="0.2">
      <c r="A3457" t="s">
        <v>525</v>
      </c>
      <c r="B3457" t="s">
        <v>36</v>
      </c>
      <c r="C3457">
        <v>14</v>
      </c>
      <c r="D3457" t="s">
        <v>127</v>
      </c>
      <c r="E3457" t="s">
        <v>235</v>
      </c>
      <c r="F3457">
        <v>7.6</v>
      </c>
      <c r="G3457">
        <v>2025</v>
      </c>
    </row>
    <row r="3458" spans="1:7" hidden="1" x14ac:dyDescent="0.2">
      <c r="A3458" t="s">
        <v>525</v>
      </c>
      <c r="B3458" t="s">
        <v>36</v>
      </c>
      <c r="C3458">
        <v>14</v>
      </c>
      <c r="D3458" t="s">
        <v>129</v>
      </c>
      <c r="E3458" t="s">
        <v>191</v>
      </c>
      <c r="F3458">
        <v>12</v>
      </c>
      <c r="G3458">
        <v>2025</v>
      </c>
    </row>
    <row r="3459" spans="1:7" hidden="1" x14ac:dyDescent="0.2">
      <c r="A3459" t="s">
        <v>525</v>
      </c>
      <c r="B3459" t="s">
        <v>36</v>
      </c>
      <c r="C3459">
        <v>14</v>
      </c>
      <c r="D3459" t="s">
        <v>131</v>
      </c>
      <c r="E3459" t="s">
        <v>192</v>
      </c>
      <c r="F3459">
        <v>13</v>
      </c>
      <c r="G3459">
        <v>2025</v>
      </c>
    </row>
    <row r="3460" spans="1:7" hidden="1" x14ac:dyDescent="0.2">
      <c r="A3460" t="s">
        <v>525</v>
      </c>
      <c r="B3460" t="s">
        <v>36</v>
      </c>
      <c r="C3460">
        <v>14</v>
      </c>
      <c r="D3460" t="s">
        <v>130</v>
      </c>
      <c r="E3460" t="s">
        <v>142</v>
      </c>
      <c r="F3460">
        <v>20</v>
      </c>
      <c r="G3460">
        <v>2025</v>
      </c>
    </row>
    <row r="3461" spans="1:7" hidden="1" x14ac:dyDescent="0.2">
      <c r="A3461" t="s">
        <v>525</v>
      </c>
      <c r="B3461" t="s">
        <v>36</v>
      </c>
      <c r="C3461">
        <v>14</v>
      </c>
      <c r="D3461" t="s">
        <v>294</v>
      </c>
      <c r="E3461" t="s">
        <v>298</v>
      </c>
      <c r="F3461">
        <v>1.8</v>
      </c>
      <c r="G3461">
        <v>2025</v>
      </c>
    </row>
    <row r="3462" spans="1:7" hidden="1" x14ac:dyDescent="0.2">
      <c r="A3462" t="s">
        <v>42</v>
      </c>
      <c r="B3462" t="s">
        <v>17</v>
      </c>
      <c r="C3462">
        <v>14</v>
      </c>
      <c r="D3462" t="s">
        <v>125</v>
      </c>
      <c r="E3462" t="s">
        <v>141</v>
      </c>
      <c r="F3462">
        <v>18.440000000000001</v>
      </c>
      <c r="G3462">
        <v>2025</v>
      </c>
    </row>
    <row r="3463" spans="1:7" hidden="1" x14ac:dyDescent="0.2">
      <c r="A3463" t="s">
        <v>42</v>
      </c>
      <c r="B3463" t="s">
        <v>17</v>
      </c>
      <c r="C3463">
        <v>14</v>
      </c>
      <c r="D3463" t="s">
        <v>128</v>
      </c>
      <c r="E3463" t="s">
        <v>232</v>
      </c>
      <c r="F3463">
        <v>14.1</v>
      </c>
      <c r="G3463">
        <v>2025</v>
      </c>
    </row>
    <row r="3464" spans="1:7" hidden="1" x14ac:dyDescent="0.2">
      <c r="A3464" t="s">
        <v>42</v>
      </c>
      <c r="B3464" t="s">
        <v>17</v>
      </c>
      <c r="C3464">
        <v>14</v>
      </c>
      <c r="D3464" t="s">
        <v>128</v>
      </c>
      <c r="E3464" t="s">
        <v>277</v>
      </c>
      <c r="F3464">
        <v>10.199999999999999</v>
      </c>
      <c r="G3464">
        <v>2025</v>
      </c>
    </row>
    <row r="3465" spans="1:7" hidden="1" x14ac:dyDescent="0.2">
      <c r="A3465" t="s">
        <v>42</v>
      </c>
      <c r="B3465" t="s">
        <v>17</v>
      </c>
      <c r="C3465">
        <v>14</v>
      </c>
      <c r="D3465" t="s">
        <v>128</v>
      </c>
      <c r="E3465" t="s">
        <v>146</v>
      </c>
      <c r="F3465">
        <v>4.7</v>
      </c>
      <c r="G3465">
        <v>2025</v>
      </c>
    </row>
    <row r="3466" spans="1:7" hidden="1" x14ac:dyDescent="0.2">
      <c r="A3466" t="s">
        <v>42</v>
      </c>
      <c r="B3466" t="s">
        <v>17</v>
      </c>
      <c r="C3466">
        <v>14</v>
      </c>
      <c r="D3466" t="s">
        <v>127</v>
      </c>
      <c r="E3466" t="s">
        <v>180</v>
      </c>
      <c r="F3466">
        <v>16.2</v>
      </c>
      <c r="G3466">
        <v>2025</v>
      </c>
    </row>
    <row r="3467" spans="1:7" hidden="1" x14ac:dyDescent="0.2">
      <c r="A3467" t="s">
        <v>42</v>
      </c>
      <c r="B3467" t="s">
        <v>17</v>
      </c>
      <c r="C3467">
        <v>14</v>
      </c>
      <c r="D3467" t="s">
        <v>127</v>
      </c>
      <c r="E3467" t="s">
        <v>590</v>
      </c>
      <c r="F3467">
        <v>14.9</v>
      </c>
      <c r="G3467">
        <v>2025</v>
      </c>
    </row>
    <row r="3468" spans="1:7" hidden="1" x14ac:dyDescent="0.2">
      <c r="A3468" t="s">
        <v>42</v>
      </c>
      <c r="B3468" t="s">
        <v>17</v>
      </c>
      <c r="C3468">
        <v>14</v>
      </c>
      <c r="D3468" t="s">
        <v>129</v>
      </c>
      <c r="E3468" t="s">
        <v>245</v>
      </c>
      <c r="F3468">
        <v>3.7</v>
      </c>
      <c r="G3468">
        <v>2025</v>
      </c>
    </row>
    <row r="3469" spans="1:7" hidden="1" x14ac:dyDescent="0.2">
      <c r="A3469" t="s">
        <v>42</v>
      </c>
      <c r="B3469" t="s">
        <v>17</v>
      </c>
      <c r="C3469">
        <v>14</v>
      </c>
      <c r="D3469" t="s">
        <v>131</v>
      </c>
      <c r="E3469" t="s">
        <v>339</v>
      </c>
      <c r="F3469">
        <v>9</v>
      </c>
      <c r="G3469">
        <v>2025</v>
      </c>
    </row>
    <row r="3470" spans="1:7" hidden="1" x14ac:dyDescent="0.2">
      <c r="A3470" t="s">
        <v>42</v>
      </c>
      <c r="B3470" t="s">
        <v>17</v>
      </c>
      <c r="C3470">
        <v>14</v>
      </c>
      <c r="D3470" t="s">
        <v>130</v>
      </c>
      <c r="E3470" t="s">
        <v>260</v>
      </c>
      <c r="F3470">
        <v>-1</v>
      </c>
      <c r="G3470">
        <v>2025</v>
      </c>
    </row>
    <row r="3471" spans="1:7" hidden="1" x14ac:dyDescent="0.2">
      <c r="A3471" t="s">
        <v>42</v>
      </c>
      <c r="B3471" t="s">
        <v>17</v>
      </c>
      <c r="C3471">
        <v>14</v>
      </c>
      <c r="D3471" t="s">
        <v>293</v>
      </c>
      <c r="E3471" t="s">
        <v>568</v>
      </c>
      <c r="F3471">
        <v>10.9</v>
      </c>
      <c r="G3471">
        <v>2025</v>
      </c>
    </row>
    <row r="3472" spans="1:7" hidden="1" x14ac:dyDescent="0.2">
      <c r="A3472" t="s">
        <v>35</v>
      </c>
      <c r="B3472" t="s">
        <v>49</v>
      </c>
      <c r="C3472">
        <v>14</v>
      </c>
      <c r="D3472" t="s">
        <v>125</v>
      </c>
      <c r="E3472" t="s">
        <v>168</v>
      </c>
      <c r="F3472">
        <v>0.4</v>
      </c>
      <c r="G3472">
        <v>2025</v>
      </c>
    </row>
    <row r="3473" spans="1:7" hidden="1" x14ac:dyDescent="0.2">
      <c r="A3473" t="s">
        <v>35</v>
      </c>
      <c r="B3473" t="s">
        <v>49</v>
      </c>
      <c r="C3473">
        <v>14</v>
      </c>
      <c r="D3473" t="s">
        <v>128</v>
      </c>
      <c r="E3473" t="s">
        <v>160</v>
      </c>
      <c r="F3473">
        <v>6.2</v>
      </c>
      <c r="G3473">
        <v>2025</v>
      </c>
    </row>
    <row r="3474" spans="1:7" hidden="1" x14ac:dyDescent="0.2">
      <c r="A3474" t="s">
        <v>35</v>
      </c>
      <c r="B3474" t="s">
        <v>49</v>
      </c>
      <c r="C3474">
        <v>14</v>
      </c>
      <c r="D3474" t="s">
        <v>128</v>
      </c>
      <c r="E3474" t="s">
        <v>147</v>
      </c>
      <c r="F3474">
        <v>5.4</v>
      </c>
      <c r="G3474">
        <v>2025</v>
      </c>
    </row>
    <row r="3475" spans="1:7" hidden="1" x14ac:dyDescent="0.2">
      <c r="A3475" t="s">
        <v>35</v>
      </c>
      <c r="B3475" t="s">
        <v>49</v>
      </c>
      <c r="C3475">
        <v>14</v>
      </c>
      <c r="D3475" t="s">
        <v>128</v>
      </c>
      <c r="E3475" t="s">
        <v>205</v>
      </c>
      <c r="F3475">
        <v>5.7</v>
      </c>
      <c r="G3475">
        <v>2025</v>
      </c>
    </row>
    <row r="3476" spans="1:7" hidden="1" x14ac:dyDescent="0.2">
      <c r="A3476" t="s">
        <v>35</v>
      </c>
      <c r="B3476" t="s">
        <v>49</v>
      </c>
      <c r="C3476">
        <v>14</v>
      </c>
      <c r="D3476" t="s">
        <v>127</v>
      </c>
      <c r="E3476" t="s">
        <v>256</v>
      </c>
      <c r="F3476">
        <v>16.7</v>
      </c>
      <c r="G3476">
        <v>2025</v>
      </c>
    </row>
    <row r="3477" spans="1:7" hidden="1" x14ac:dyDescent="0.2">
      <c r="A3477" t="s">
        <v>35</v>
      </c>
      <c r="B3477" t="s">
        <v>49</v>
      </c>
      <c r="C3477">
        <v>14</v>
      </c>
      <c r="D3477" t="s">
        <v>127</v>
      </c>
      <c r="E3477" t="s">
        <v>534</v>
      </c>
      <c r="F3477">
        <v>19</v>
      </c>
      <c r="G3477">
        <v>2025</v>
      </c>
    </row>
    <row r="3478" spans="1:7" hidden="1" x14ac:dyDescent="0.2">
      <c r="A3478" t="s">
        <v>35</v>
      </c>
      <c r="B3478" t="s">
        <v>49</v>
      </c>
      <c r="C3478">
        <v>14</v>
      </c>
      <c r="D3478" t="s">
        <v>129</v>
      </c>
      <c r="E3478" t="s">
        <v>137</v>
      </c>
      <c r="F3478">
        <v>8.3000000000000007</v>
      </c>
      <c r="G3478">
        <v>2025</v>
      </c>
    </row>
    <row r="3479" spans="1:7" hidden="1" x14ac:dyDescent="0.2">
      <c r="A3479" t="s">
        <v>35</v>
      </c>
      <c r="B3479" t="s">
        <v>49</v>
      </c>
      <c r="C3479">
        <v>14</v>
      </c>
      <c r="D3479" t="s">
        <v>131</v>
      </c>
      <c r="E3479" t="s">
        <v>195</v>
      </c>
      <c r="F3479">
        <v>7</v>
      </c>
      <c r="G3479">
        <v>2025</v>
      </c>
    </row>
    <row r="3480" spans="1:7" hidden="1" x14ac:dyDescent="0.2">
      <c r="A3480" t="s">
        <v>35</v>
      </c>
      <c r="B3480" t="s">
        <v>49</v>
      </c>
      <c r="C3480">
        <v>14</v>
      </c>
      <c r="D3480" t="s">
        <v>130</v>
      </c>
      <c r="E3480" t="s">
        <v>323</v>
      </c>
      <c r="F3480">
        <v>12</v>
      </c>
      <c r="G3480">
        <v>2025</v>
      </c>
    </row>
    <row r="3481" spans="1:7" hidden="1" x14ac:dyDescent="0.2">
      <c r="A3481" t="s">
        <v>35</v>
      </c>
      <c r="B3481" t="s">
        <v>49</v>
      </c>
      <c r="C3481">
        <v>14</v>
      </c>
      <c r="D3481" t="s">
        <v>293</v>
      </c>
      <c r="E3481" t="s">
        <v>556</v>
      </c>
      <c r="F3481">
        <v>14.6</v>
      </c>
      <c r="G3481">
        <v>2025</v>
      </c>
    </row>
    <row r="3482" spans="1:7" hidden="1" x14ac:dyDescent="0.2">
      <c r="A3482" t="s">
        <v>524</v>
      </c>
      <c r="B3482" t="s">
        <v>21</v>
      </c>
      <c r="C3482">
        <v>14</v>
      </c>
      <c r="D3482" t="s">
        <v>125</v>
      </c>
      <c r="E3482" t="s">
        <v>212</v>
      </c>
      <c r="F3482">
        <v>37.840000000000003</v>
      </c>
      <c r="G3482">
        <v>2025</v>
      </c>
    </row>
    <row r="3483" spans="1:7" hidden="1" x14ac:dyDescent="0.2">
      <c r="A3483" t="s">
        <v>524</v>
      </c>
      <c r="B3483" t="s">
        <v>21</v>
      </c>
      <c r="C3483">
        <v>14</v>
      </c>
      <c r="D3483" t="s">
        <v>128</v>
      </c>
      <c r="E3483" t="s">
        <v>177</v>
      </c>
      <c r="F3483">
        <v>15.1</v>
      </c>
      <c r="G3483">
        <v>2025</v>
      </c>
    </row>
    <row r="3484" spans="1:7" hidden="1" x14ac:dyDescent="0.2">
      <c r="A3484" t="s">
        <v>524</v>
      </c>
      <c r="B3484" t="s">
        <v>21</v>
      </c>
      <c r="C3484">
        <v>14</v>
      </c>
      <c r="D3484" t="s">
        <v>128</v>
      </c>
      <c r="E3484" t="s">
        <v>222</v>
      </c>
      <c r="F3484">
        <v>13.8</v>
      </c>
      <c r="G3484">
        <v>2025</v>
      </c>
    </row>
    <row r="3485" spans="1:7" hidden="1" x14ac:dyDescent="0.2">
      <c r="A3485" t="s">
        <v>524</v>
      </c>
      <c r="B3485" t="s">
        <v>21</v>
      </c>
      <c r="C3485">
        <v>14</v>
      </c>
      <c r="D3485" t="s">
        <v>128</v>
      </c>
      <c r="E3485" t="s">
        <v>552</v>
      </c>
      <c r="F3485">
        <v>2.6</v>
      </c>
      <c r="G3485">
        <v>2025</v>
      </c>
    </row>
    <row r="3486" spans="1:7" hidden="1" x14ac:dyDescent="0.2">
      <c r="A3486" t="s">
        <v>524</v>
      </c>
      <c r="B3486" t="s">
        <v>21</v>
      </c>
      <c r="C3486">
        <v>14</v>
      </c>
      <c r="D3486" t="s">
        <v>127</v>
      </c>
      <c r="E3486" t="s">
        <v>216</v>
      </c>
      <c r="F3486">
        <v>18.2</v>
      </c>
      <c r="G3486">
        <v>2025</v>
      </c>
    </row>
    <row r="3487" spans="1:7" hidden="1" x14ac:dyDescent="0.2">
      <c r="A3487" t="s">
        <v>524</v>
      </c>
      <c r="B3487" t="s">
        <v>21</v>
      </c>
      <c r="C3487">
        <v>14</v>
      </c>
      <c r="D3487" t="s">
        <v>127</v>
      </c>
      <c r="E3487" t="s">
        <v>181</v>
      </c>
      <c r="F3487">
        <v>13.8</v>
      </c>
      <c r="G3487">
        <v>2025</v>
      </c>
    </row>
    <row r="3488" spans="1:7" hidden="1" x14ac:dyDescent="0.2">
      <c r="A3488" t="s">
        <v>524</v>
      </c>
      <c r="B3488" t="s">
        <v>21</v>
      </c>
      <c r="C3488">
        <v>14</v>
      </c>
      <c r="D3488" t="s">
        <v>129</v>
      </c>
      <c r="E3488" t="s">
        <v>249</v>
      </c>
      <c r="F3488">
        <v>1.3</v>
      </c>
      <c r="G3488">
        <v>2025</v>
      </c>
    </row>
    <row r="3489" spans="1:7" hidden="1" x14ac:dyDescent="0.2">
      <c r="A3489" t="s">
        <v>524</v>
      </c>
      <c r="B3489" t="s">
        <v>21</v>
      </c>
      <c r="C3489">
        <v>14</v>
      </c>
      <c r="D3489" t="s">
        <v>131</v>
      </c>
      <c r="E3489" t="s">
        <v>350</v>
      </c>
      <c r="F3489">
        <v>20</v>
      </c>
      <c r="G3489">
        <v>2025</v>
      </c>
    </row>
    <row r="3490" spans="1:7" hidden="1" x14ac:dyDescent="0.2">
      <c r="A3490" t="s">
        <v>524</v>
      </c>
      <c r="B3490" t="s">
        <v>21</v>
      </c>
      <c r="C3490">
        <v>14</v>
      </c>
      <c r="D3490" t="s">
        <v>130</v>
      </c>
      <c r="E3490" t="s">
        <v>289</v>
      </c>
      <c r="F3490">
        <v>17</v>
      </c>
      <c r="G3490">
        <v>2025</v>
      </c>
    </row>
    <row r="3491" spans="1:7" hidden="1" x14ac:dyDescent="0.2">
      <c r="A3491" t="s">
        <v>524</v>
      </c>
      <c r="B3491" t="s">
        <v>21</v>
      </c>
      <c r="C3491">
        <v>14</v>
      </c>
      <c r="D3491" t="s">
        <v>293</v>
      </c>
      <c r="E3491" t="s">
        <v>529</v>
      </c>
      <c r="F3491">
        <v>13.7</v>
      </c>
      <c r="G3491">
        <v>2025</v>
      </c>
    </row>
    <row r="3492" spans="1:7" hidden="1" x14ac:dyDescent="0.2">
      <c r="A3492" t="s">
        <v>77</v>
      </c>
      <c r="B3492" t="s">
        <v>45</v>
      </c>
      <c r="C3492">
        <v>14</v>
      </c>
      <c r="D3492" t="s">
        <v>125</v>
      </c>
      <c r="E3492" t="s">
        <v>241</v>
      </c>
      <c r="F3492">
        <v>11.08</v>
      </c>
      <c r="G3492">
        <v>2025</v>
      </c>
    </row>
    <row r="3493" spans="1:7" hidden="1" x14ac:dyDescent="0.2">
      <c r="A3493" t="s">
        <v>77</v>
      </c>
      <c r="B3493" t="s">
        <v>45</v>
      </c>
      <c r="C3493">
        <v>14</v>
      </c>
      <c r="D3493" t="s">
        <v>128</v>
      </c>
      <c r="E3493" t="s">
        <v>187</v>
      </c>
      <c r="F3493">
        <v>12.2</v>
      </c>
      <c r="G3493">
        <v>2025</v>
      </c>
    </row>
    <row r="3494" spans="1:7" hidden="1" x14ac:dyDescent="0.2">
      <c r="A3494" t="s">
        <v>77</v>
      </c>
      <c r="B3494" t="s">
        <v>45</v>
      </c>
      <c r="C3494">
        <v>14</v>
      </c>
      <c r="D3494" t="s">
        <v>128</v>
      </c>
      <c r="E3494" t="s">
        <v>231</v>
      </c>
      <c r="F3494">
        <v>7.7</v>
      </c>
      <c r="G3494">
        <v>2025</v>
      </c>
    </row>
    <row r="3495" spans="1:7" hidden="1" x14ac:dyDescent="0.2">
      <c r="A3495" t="s">
        <v>77</v>
      </c>
      <c r="B3495" t="s">
        <v>45</v>
      </c>
      <c r="C3495">
        <v>14</v>
      </c>
      <c r="D3495" t="s">
        <v>128</v>
      </c>
      <c r="E3495" t="s">
        <v>220</v>
      </c>
      <c r="F3495">
        <v>0</v>
      </c>
      <c r="G3495">
        <v>2025</v>
      </c>
    </row>
    <row r="3496" spans="1:7" hidden="1" x14ac:dyDescent="0.2">
      <c r="A3496" t="s">
        <v>77</v>
      </c>
      <c r="B3496" t="s">
        <v>45</v>
      </c>
      <c r="C3496">
        <v>14</v>
      </c>
      <c r="D3496" t="s">
        <v>127</v>
      </c>
      <c r="E3496" t="s">
        <v>136</v>
      </c>
      <c r="F3496">
        <v>13.7</v>
      </c>
      <c r="G3496">
        <v>2025</v>
      </c>
    </row>
    <row r="3497" spans="1:7" hidden="1" x14ac:dyDescent="0.2">
      <c r="A3497" t="s">
        <v>77</v>
      </c>
      <c r="B3497" t="s">
        <v>45</v>
      </c>
      <c r="C3497">
        <v>14</v>
      </c>
      <c r="D3497" t="s">
        <v>127</v>
      </c>
      <c r="E3497" t="s">
        <v>560</v>
      </c>
      <c r="F3497">
        <v>13.2</v>
      </c>
      <c r="G3497">
        <v>2025</v>
      </c>
    </row>
    <row r="3498" spans="1:7" hidden="1" x14ac:dyDescent="0.2">
      <c r="A3498" t="s">
        <v>77</v>
      </c>
      <c r="B3498" t="s">
        <v>45</v>
      </c>
      <c r="C3498">
        <v>14</v>
      </c>
      <c r="D3498" t="s">
        <v>129</v>
      </c>
      <c r="E3498" t="s">
        <v>317</v>
      </c>
      <c r="F3498">
        <v>1.6</v>
      </c>
      <c r="G3498">
        <v>2025</v>
      </c>
    </row>
    <row r="3499" spans="1:7" hidden="1" x14ac:dyDescent="0.2">
      <c r="A3499" t="s">
        <v>77</v>
      </c>
      <c r="B3499" t="s">
        <v>45</v>
      </c>
      <c r="C3499">
        <v>14</v>
      </c>
      <c r="D3499" t="s">
        <v>131</v>
      </c>
      <c r="E3499" t="s">
        <v>532</v>
      </c>
      <c r="F3499">
        <v>6</v>
      </c>
      <c r="G3499">
        <v>2025</v>
      </c>
    </row>
    <row r="3500" spans="1:7" hidden="1" x14ac:dyDescent="0.2">
      <c r="A3500" t="s">
        <v>77</v>
      </c>
      <c r="B3500" t="s">
        <v>45</v>
      </c>
      <c r="C3500">
        <v>14</v>
      </c>
      <c r="D3500" t="s">
        <v>130</v>
      </c>
      <c r="E3500" t="s">
        <v>157</v>
      </c>
      <c r="F3500">
        <v>9</v>
      </c>
      <c r="G3500">
        <v>2025</v>
      </c>
    </row>
    <row r="3501" spans="1:7" hidden="1" x14ac:dyDescent="0.2">
      <c r="A3501" t="s">
        <v>77</v>
      </c>
      <c r="B3501" t="s">
        <v>45</v>
      </c>
      <c r="C3501">
        <v>14</v>
      </c>
      <c r="D3501" t="s">
        <v>293</v>
      </c>
      <c r="E3501" t="s">
        <v>313</v>
      </c>
      <c r="F3501">
        <v>9</v>
      </c>
      <c r="G3501">
        <v>2025</v>
      </c>
    </row>
    <row r="3502" spans="1:7" hidden="1" x14ac:dyDescent="0.2">
      <c r="A3502" t="s">
        <v>521</v>
      </c>
      <c r="B3502" t="s">
        <v>29</v>
      </c>
      <c r="C3502">
        <v>14</v>
      </c>
      <c r="D3502" t="s">
        <v>125</v>
      </c>
      <c r="E3502" t="s">
        <v>150</v>
      </c>
      <c r="F3502">
        <v>5.8</v>
      </c>
      <c r="G3502">
        <v>2025</v>
      </c>
    </row>
    <row r="3503" spans="1:7" hidden="1" x14ac:dyDescent="0.2">
      <c r="A3503" t="s">
        <v>521</v>
      </c>
      <c r="B3503" t="s">
        <v>29</v>
      </c>
      <c r="C3503">
        <v>14</v>
      </c>
      <c r="D3503" t="s">
        <v>128</v>
      </c>
      <c r="E3503" t="s">
        <v>171</v>
      </c>
      <c r="F3503">
        <v>2.1</v>
      </c>
      <c r="G3503">
        <v>2025</v>
      </c>
    </row>
    <row r="3504" spans="1:7" hidden="1" x14ac:dyDescent="0.2">
      <c r="A3504" t="s">
        <v>521</v>
      </c>
      <c r="B3504" t="s">
        <v>29</v>
      </c>
      <c r="C3504">
        <v>14</v>
      </c>
      <c r="D3504" t="s">
        <v>128</v>
      </c>
      <c r="E3504" t="s">
        <v>151</v>
      </c>
      <c r="F3504">
        <v>4.9000000000000004</v>
      </c>
      <c r="G3504">
        <v>2025</v>
      </c>
    </row>
    <row r="3505" spans="1:7" hidden="1" x14ac:dyDescent="0.2">
      <c r="A3505" t="s">
        <v>521</v>
      </c>
      <c r="B3505" t="s">
        <v>29</v>
      </c>
      <c r="C3505">
        <v>14</v>
      </c>
      <c r="D3505" t="s">
        <v>128</v>
      </c>
      <c r="E3505" t="s">
        <v>162</v>
      </c>
      <c r="F3505">
        <v>0</v>
      </c>
      <c r="G3505">
        <v>2025</v>
      </c>
    </row>
    <row r="3506" spans="1:7" hidden="1" x14ac:dyDescent="0.2">
      <c r="A3506" t="s">
        <v>521</v>
      </c>
      <c r="B3506" t="s">
        <v>29</v>
      </c>
      <c r="C3506">
        <v>14</v>
      </c>
      <c r="D3506" t="s">
        <v>127</v>
      </c>
      <c r="E3506" t="s">
        <v>343</v>
      </c>
      <c r="F3506">
        <v>28.1</v>
      </c>
      <c r="G3506">
        <v>2025</v>
      </c>
    </row>
    <row r="3507" spans="1:7" hidden="1" x14ac:dyDescent="0.2">
      <c r="A3507" t="s">
        <v>521</v>
      </c>
      <c r="B3507" t="s">
        <v>29</v>
      </c>
      <c r="C3507">
        <v>14</v>
      </c>
      <c r="D3507" t="s">
        <v>127</v>
      </c>
      <c r="E3507" t="s">
        <v>175</v>
      </c>
      <c r="F3507">
        <v>13.7</v>
      </c>
      <c r="G3507">
        <v>2025</v>
      </c>
    </row>
    <row r="3508" spans="1:7" hidden="1" x14ac:dyDescent="0.2">
      <c r="A3508" t="s">
        <v>521</v>
      </c>
      <c r="B3508" t="s">
        <v>29</v>
      </c>
      <c r="C3508">
        <v>14</v>
      </c>
      <c r="D3508" t="s">
        <v>129</v>
      </c>
      <c r="E3508" t="s">
        <v>196</v>
      </c>
      <c r="F3508">
        <v>1.4</v>
      </c>
      <c r="G3508">
        <v>2025</v>
      </c>
    </row>
    <row r="3509" spans="1:7" hidden="1" x14ac:dyDescent="0.2">
      <c r="A3509" t="s">
        <v>521</v>
      </c>
      <c r="B3509" t="s">
        <v>29</v>
      </c>
      <c r="C3509">
        <v>14</v>
      </c>
      <c r="D3509" t="s">
        <v>131</v>
      </c>
      <c r="E3509" t="s">
        <v>374</v>
      </c>
      <c r="F3509">
        <v>16</v>
      </c>
      <c r="G3509">
        <v>2025</v>
      </c>
    </row>
    <row r="3510" spans="1:7" hidden="1" x14ac:dyDescent="0.2">
      <c r="A3510" t="s">
        <v>521</v>
      </c>
      <c r="B3510" t="s">
        <v>29</v>
      </c>
      <c r="C3510">
        <v>14</v>
      </c>
      <c r="D3510" t="s">
        <v>130</v>
      </c>
      <c r="E3510" t="s">
        <v>251</v>
      </c>
      <c r="F3510">
        <v>3</v>
      </c>
      <c r="G3510">
        <v>2025</v>
      </c>
    </row>
    <row r="3511" spans="1:7" hidden="1" x14ac:dyDescent="0.2">
      <c r="A3511" t="s">
        <v>521</v>
      </c>
      <c r="B3511" t="s">
        <v>29</v>
      </c>
      <c r="C3511">
        <v>14</v>
      </c>
      <c r="D3511" t="s">
        <v>293</v>
      </c>
      <c r="E3511" t="s">
        <v>198</v>
      </c>
      <c r="F3511">
        <v>11.4</v>
      </c>
      <c r="G3511">
        <v>2025</v>
      </c>
    </row>
    <row r="3512" spans="1:7" hidden="1" x14ac:dyDescent="0.2">
      <c r="A3512" t="s">
        <v>18</v>
      </c>
      <c r="B3512" t="s">
        <v>20</v>
      </c>
      <c r="C3512">
        <v>14</v>
      </c>
      <c r="D3512" t="s">
        <v>125</v>
      </c>
      <c r="E3512" t="s">
        <v>230</v>
      </c>
      <c r="F3512">
        <v>23.36</v>
      </c>
      <c r="G3512">
        <v>2025</v>
      </c>
    </row>
    <row r="3513" spans="1:7" hidden="1" x14ac:dyDescent="0.2">
      <c r="A3513" t="s">
        <v>18</v>
      </c>
      <c r="B3513" t="s">
        <v>20</v>
      </c>
      <c r="C3513">
        <v>14</v>
      </c>
      <c r="D3513" t="s">
        <v>128</v>
      </c>
      <c r="E3513" t="s">
        <v>134</v>
      </c>
      <c r="F3513">
        <v>16.600000000000001</v>
      </c>
      <c r="G3513">
        <v>2025</v>
      </c>
    </row>
    <row r="3514" spans="1:7" hidden="1" x14ac:dyDescent="0.2">
      <c r="A3514" t="s">
        <v>18</v>
      </c>
      <c r="B3514" t="s">
        <v>20</v>
      </c>
      <c r="C3514">
        <v>14</v>
      </c>
      <c r="D3514" t="s">
        <v>128</v>
      </c>
      <c r="E3514" t="s">
        <v>248</v>
      </c>
      <c r="F3514">
        <v>24.6</v>
      </c>
      <c r="G3514">
        <v>2025</v>
      </c>
    </row>
    <row r="3515" spans="1:7" hidden="1" x14ac:dyDescent="0.2">
      <c r="A3515" t="s">
        <v>18</v>
      </c>
      <c r="B3515" t="s">
        <v>20</v>
      </c>
      <c r="C3515">
        <v>14</v>
      </c>
      <c r="D3515" t="s">
        <v>128</v>
      </c>
      <c r="E3515" t="s">
        <v>276</v>
      </c>
      <c r="F3515">
        <v>24.2</v>
      </c>
      <c r="G3515">
        <v>2025</v>
      </c>
    </row>
    <row r="3516" spans="1:7" hidden="1" x14ac:dyDescent="0.2">
      <c r="A3516" t="s">
        <v>18</v>
      </c>
      <c r="B3516" t="s">
        <v>20</v>
      </c>
      <c r="C3516">
        <v>14</v>
      </c>
      <c r="D3516" t="s">
        <v>127</v>
      </c>
      <c r="E3516" t="s">
        <v>154</v>
      </c>
      <c r="F3516">
        <v>10.7</v>
      </c>
      <c r="G3516">
        <v>2025</v>
      </c>
    </row>
    <row r="3517" spans="1:7" hidden="1" x14ac:dyDescent="0.2">
      <c r="A3517" t="s">
        <v>18</v>
      </c>
      <c r="B3517" t="s">
        <v>20</v>
      </c>
      <c r="C3517">
        <v>14</v>
      </c>
      <c r="D3517" t="s">
        <v>127</v>
      </c>
      <c r="E3517" t="s">
        <v>208</v>
      </c>
      <c r="F3517">
        <v>10.1</v>
      </c>
      <c r="G3517">
        <v>2025</v>
      </c>
    </row>
    <row r="3518" spans="1:7" hidden="1" x14ac:dyDescent="0.2">
      <c r="A3518" t="s">
        <v>18</v>
      </c>
      <c r="B3518" t="s">
        <v>20</v>
      </c>
      <c r="C3518">
        <v>14</v>
      </c>
      <c r="D3518" t="s">
        <v>129</v>
      </c>
      <c r="E3518" t="s">
        <v>535</v>
      </c>
      <c r="F3518">
        <v>4.2</v>
      </c>
      <c r="G3518">
        <v>2025</v>
      </c>
    </row>
    <row r="3519" spans="1:7" hidden="1" x14ac:dyDescent="0.2">
      <c r="A3519" t="s">
        <v>18</v>
      </c>
      <c r="B3519" t="s">
        <v>20</v>
      </c>
      <c r="C3519">
        <v>14</v>
      </c>
      <c r="D3519" t="s">
        <v>131</v>
      </c>
      <c r="E3519" t="s">
        <v>533</v>
      </c>
      <c r="F3519">
        <v>11</v>
      </c>
      <c r="G3519">
        <v>2025</v>
      </c>
    </row>
    <row r="3520" spans="1:7" hidden="1" x14ac:dyDescent="0.2">
      <c r="A3520" t="s">
        <v>18</v>
      </c>
      <c r="B3520" t="s">
        <v>20</v>
      </c>
      <c r="C3520">
        <v>14</v>
      </c>
      <c r="D3520" t="s">
        <v>130</v>
      </c>
      <c r="E3520" t="s">
        <v>302</v>
      </c>
      <c r="F3520">
        <v>3</v>
      </c>
      <c r="G3520">
        <v>2025</v>
      </c>
    </row>
    <row r="3521" spans="1:7" hidden="1" x14ac:dyDescent="0.2">
      <c r="A3521" t="s">
        <v>18</v>
      </c>
      <c r="B3521" t="s">
        <v>20</v>
      </c>
      <c r="C3521">
        <v>14</v>
      </c>
      <c r="D3521" t="s">
        <v>294</v>
      </c>
      <c r="E3521" t="s">
        <v>303</v>
      </c>
      <c r="F3521">
        <v>12.8</v>
      </c>
      <c r="G3521">
        <v>2025</v>
      </c>
    </row>
    <row r="3522" spans="1:7" hidden="1" x14ac:dyDescent="0.2">
      <c r="A3522" t="s">
        <v>31</v>
      </c>
      <c r="B3522" t="s">
        <v>33</v>
      </c>
      <c r="C3522">
        <v>14</v>
      </c>
      <c r="D3522" t="s">
        <v>125</v>
      </c>
      <c r="E3522" t="s">
        <v>334</v>
      </c>
      <c r="F3522">
        <v>0.8</v>
      </c>
      <c r="G3522">
        <v>2025</v>
      </c>
    </row>
    <row r="3523" spans="1:7" hidden="1" x14ac:dyDescent="0.2">
      <c r="A3523" t="s">
        <v>31</v>
      </c>
      <c r="B3523" t="s">
        <v>33</v>
      </c>
      <c r="C3523">
        <v>14</v>
      </c>
      <c r="D3523" t="s">
        <v>128</v>
      </c>
      <c r="E3523" t="s">
        <v>219</v>
      </c>
      <c r="F3523">
        <v>18.3</v>
      </c>
      <c r="G3523">
        <v>2025</v>
      </c>
    </row>
    <row r="3524" spans="1:7" hidden="1" x14ac:dyDescent="0.2">
      <c r="A3524" t="s">
        <v>31</v>
      </c>
      <c r="B3524" t="s">
        <v>33</v>
      </c>
      <c r="C3524">
        <v>14</v>
      </c>
      <c r="D3524" t="s">
        <v>128</v>
      </c>
      <c r="E3524" t="s">
        <v>537</v>
      </c>
      <c r="F3524">
        <v>4</v>
      </c>
      <c r="G3524">
        <v>2025</v>
      </c>
    </row>
    <row r="3525" spans="1:7" hidden="1" x14ac:dyDescent="0.2">
      <c r="A3525" t="s">
        <v>31</v>
      </c>
      <c r="B3525" t="s">
        <v>33</v>
      </c>
      <c r="C3525">
        <v>14</v>
      </c>
      <c r="D3525" t="s">
        <v>128</v>
      </c>
      <c r="E3525" t="s">
        <v>389</v>
      </c>
      <c r="F3525">
        <v>5.5</v>
      </c>
      <c r="G3525">
        <v>2025</v>
      </c>
    </row>
    <row r="3526" spans="1:7" hidden="1" x14ac:dyDescent="0.2">
      <c r="A3526" t="s">
        <v>31</v>
      </c>
      <c r="B3526" t="s">
        <v>33</v>
      </c>
      <c r="C3526">
        <v>14</v>
      </c>
      <c r="D3526" t="s">
        <v>127</v>
      </c>
      <c r="E3526" t="s">
        <v>174</v>
      </c>
      <c r="F3526">
        <v>8.4</v>
      </c>
      <c r="G3526">
        <v>2025</v>
      </c>
    </row>
    <row r="3527" spans="1:7" hidden="1" x14ac:dyDescent="0.2">
      <c r="A3527" t="s">
        <v>31</v>
      </c>
      <c r="B3527" t="s">
        <v>33</v>
      </c>
      <c r="C3527">
        <v>14</v>
      </c>
      <c r="D3527" t="s">
        <v>127</v>
      </c>
      <c r="E3527" t="s">
        <v>155</v>
      </c>
      <c r="F3527">
        <v>5.7</v>
      </c>
      <c r="G3527">
        <v>2025</v>
      </c>
    </row>
    <row r="3528" spans="1:7" hidden="1" x14ac:dyDescent="0.2">
      <c r="A3528" t="s">
        <v>31</v>
      </c>
      <c r="B3528" t="s">
        <v>33</v>
      </c>
      <c r="C3528">
        <v>14</v>
      </c>
      <c r="D3528" t="s">
        <v>129</v>
      </c>
      <c r="E3528" t="s">
        <v>536</v>
      </c>
      <c r="F3528">
        <v>5.8</v>
      </c>
      <c r="G3528">
        <v>2025</v>
      </c>
    </row>
    <row r="3529" spans="1:7" hidden="1" x14ac:dyDescent="0.2">
      <c r="A3529" t="s">
        <v>31</v>
      </c>
      <c r="B3529" t="s">
        <v>33</v>
      </c>
      <c r="C3529">
        <v>14</v>
      </c>
      <c r="D3529" t="s">
        <v>131</v>
      </c>
      <c r="E3529" t="s">
        <v>183</v>
      </c>
      <c r="F3529">
        <v>16</v>
      </c>
      <c r="G3529">
        <v>2025</v>
      </c>
    </row>
    <row r="3530" spans="1:7" hidden="1" x14ac:dyDescent="0.2">
      <c r="A3530" t="s">
        <v>31</v>
      </c>
      <c r="B3530" t="s">
        <v>33</v>
      </c>
      <c r="C3530">
        <v>14</v>
      </c>
      <c r="D3530" t="s">
        <v>130</v>
      </c>
      <c r="E3530" t="s">
        <v>385</v>
      </c>
      <c r="F3530">
        <v>2</v>
      </c>
      <c r="G3530">
        <v>2025</v>
      </c>
    </row>
    <row r="3531" spans="1:7" hidden="1" x14ac:dyDescent="0.2">
      <c r="A3531" t="s">
        <v>31</v>
      </c>
      <c r="B3531" t="s">
        <v>33</v>
      </c>
      <c r="C3531">
        <v>14</v>
      </c>
      <c r="D3531" t="s">
        <v>297</v>
      </c>
      <c r="E3531" t="s">
        <v>530</v>
      </c>
      <c r="F3531">
        <v>2.7</v>
      </c>
      <c r="G3531">
        <v>2025</v>
      </c>
    </row>
    <row r="3532" spans="1:7" hidden="1" x14ac:dyDescent="0.2">
      <c r="A3532" t="s">
        <v>26</v>
      </c>
      <c r="B3532" t="s">
        <v>28</v>
      </c>
      <c r="C3532">
        <v>14</v>
      </c>
      <c r="D3532" t="s">
        <v>125</v>
      </c>
      <c r="E3532" t="s">
        <v>203</v>
      </c>
      <c r="F3532">
        <v>19.260000000000002</v>
      </c>
      <c r="G3532">
        <v>2025</v>
      </c>
    </row>
    <row r="3533" spans="1:7" hidden="1" x14ac:dyDescent="0.2">
      <c r="A3533" t="s">
        <v>26</v>
      </c>
      <c r="B3533" t="s">
        <v>28</v>
      </c>
      <c r="C3533">
        <v>14</v>
      </c>
      <c r="D3533" t="s">
        <v>128</v>
      </c>
      <c r="E3533" t="s">
        <v>179</v>
      </c>
      <c r="F3533">
        <v>32.200000000000003</v>
      </c>
      <c r="G3533">
        <v>2025</v>
      </c>
    </row>
    <row r="3534" spans="1:7" hidden="1" x14ac:dyDescent="0.2">
      <c r="A3534" t="s">
        <v>26</v>
      </c>
      <c r="B3534" t="s">
        <v>28</v>
      </c>
      <c r="C3534">
        <v>14</v>
      </c>
      <c r="D3534" t="s">
        <v>128</v>
      </c>
      <c r="E3534" t="s">
        <v>153</v>
      </c>
      <c r="F3534">
        <v>8.6</v>
      </c>
      <c r="G3534">
        <v>2025</v>
      </c>
    </row>
    <row r="3535" spans="1:7" hidden="1" x14ac:dyDescent="0.2">
      <c r="A3535" t="s">
        <v>26</v>
      </c>
      <c r="B3535" t="s">
        <v>28</v>
      </c>
      <c r="C3535">
        <v>14</v>
      </c>
      <c r="D3535" t="s">
        <v>128</v>
      </c>
      <c r="E3535" t="s">
        <v>288</v>
      </c>
      <c r="F3535">
        <v>9.1999999999999993</v>
      </c>
      <c r="G3535">
        <v>2025</v>
      </c>
    </row>
    <row r="3536" spans="1:7" hidden="1" x14ac:dyDescent="0.2">
      <c r="A3536" t="s">
        <v>26</v>
      </c>
      <c r="B3536" t="s">
        <v>28</v>
      </c>
      <c r="C3536">
        <v>14</v>
      </c>
      <c r="D3536" t="s">
        <v>127</v>
      </c>
      <c r="E3536" t="s">
        <v>403</v>
      </c>
      <c r="F3536">
        <v>7.6</v>
      </c>
      <c r="G3536">
        <v>2025</v>
      </c>
    </row>
    <row r="3537" spans="1:7" hidden="1" x14ac:dyDescent="0.2">
      <c r="A3537" t="s">
        <v>26</v>
      </c>
      <c r="B3537" t="s">
        <v>28</v>
      </c>
      <c r="C3537">
        <v>14</v>
      </c>
      <c r="D3537" t="s">
        <v>127</v>
      </c>
      <c r="E3537" t="s">
        <v>545</v>
      </c>
      <c r="F3537">
        <v>8.9</v>
      </c>
      <c r="G3537">
        <v>2025</v>
      </c>
    </row>
    <row r="3538" spans="1:7" hidden="1" x14ac:dyDescent="0.2">
      <c r="A3538" t="s">
        <v>26</v>
      </c>
      <c r="B3538" t="s">
        <v>28</v>
      </c>
      <c r="C3538">
        <v>14</v>
      </c>
      <c r="D3538" t="s">
        <v>129</v>
      </c>
      <c r="E3538" t="s">
        <v>542</v>
      </c>
      <c r="F3538">
        <v>21.4</v>
      </c>
      <c r="G3538">
        <v>2025</v>
      </c>
    </row>
    <row r="3539" spans="1:7" hidden="1" x14ac:dyDescent="0.2">
      <c r="A3539" t="s">
        <v>26</v>
      </c>
      <c r="B3539" t="s">
        <v>28</v>
      </c>
      <c r="C3539">
        <v>14</v>
      </c>
      <c r="D3539" t="s">
        <v>131</v>
      </c>
      <c r="E3539" t="s">
        <v>228</v>
      </c>
      <c r="F3539">
        <v>8</v>
      </c>
      <c r="G3539">
        <v>2025</v>
      </c>
    </row>
    <row r="3540" spans="1:7" x14ac:dyDescent="0.2">
      <c r="A3540" t="s">
        <v>26</v>
      </c>
      <c r="B3540" t="s">
        <v>28</v>
      </c>
      <c r="C3540">
        <v>14</v>
      </c>
      <c r="D3540" t="s">
        <v>130</v>
      </c>
      <c r="E3540" t="s">
        <v>184</v>
      </c>
      <c r="F3540">
        <v>0</v>
      </c>
      <c r="G3540">
        <v>2025</v>
      </c>
    </row>
    <row r="3541" spans="1:7" hidden="1" x14ac:dyDescent="0.2">
      <c r="A3541" t="s">
        <v>26</v>
      </c>
      <c r="B3541" t="s">
        <v>28</v>
      </c>
      <c r="C3541">
        <v>14</v>
      </c>
      <c r="D3541" t="s">
        <v>293</v>
      </c>
      <c r="E3541" t="s">
        <v>519</v>
      </c>
      <c r="F3541">
        <v>4.8</v>
      </c>
      <c r="G3541">
        <v>2025</v>
      </c>
    </row>
    <row r="3542" spans="1:7" hidden="1" x14ac:dyDescent="0.2">
      <c r="A3542" t="s">
        <v>526</v>
      </c>
      <c r="B3542" t="s">
        <v>32</v>
      </c>
      <c r="C3542">
        <v>14</v>
      </c>
      <c r="D3542" t="s">
        <v>125</v>
      </c>
      <c r="E3542" t="s">
        <v>392</v>
      </c>
      <c r="F3542">
        <v>16.16</v>
      </c>
      <c r="G3542">
        <v>2025</v>
      </c>
    </row>
    <row r="3543" spans="1:7" hidden="1" x14ac:dyDescent="0.2">
      <c r="A3543" t="s">
        <v>526</v>
      </c>
      <c r="B3543" t="s">
        <v>32</v>
      </c>
      <c r="C3543">
        <v>14</v>
      </c>
      <c r="D3543" t="s">
        <v>128</v>
      </c>
      <c r="E3543" t="s">
        <v>186</v>
      </c>
      <c r="F3543">
        <v>1.7</v>
      </c>
      <c r="G3543">
        <v>2025</v>
      </c>
    </row>
    <row r="3544" spans="1:7" hidden="1" x14ac:dyDescent="0.2">
      <c r="A3544" t="s">
        <v>526</v>
      </c>
      <c r="B3544" t="s">
        <v>32</v>
      </c>
      <c r="C3544">
        <v>14</v>
      </c>
      <c r="D3544" t="s">
        <v>128</v>
      </c>
      <c r="E3544" t="s">
        <v>283</v>
      </c>
      <c r="F3544">
        <v>15.1</v>
      </c>
      <c r="G3544">
        <v>2025</v>
      </c>
    </row>
    <row r="3545" spans="1:7" hidden="1" x14ac:dyDescent="0.2">
      <c r="A3545" t="s">
        <v>526</v>
      </c>
      <c r="B3545" t="s">
        <v>32</v>
      </c>
      <c r="C3545">
        <v>14</v>
      </c>
      <c r="D3545" t="s">
        <v>128</v>
      </c>
      <c r="E3545" t="s">
        <v>328</v>
      </c>
      <c r="F3545">
        <v>1.1000000000000001</v>
      </c>
      <c r="G3545">
        <v>2025</v>
      </c>
    </row>
    <row r="3546" spans="1:7" hidden="1" x14ac:dyDescent="0.2">
      <c r="A3546" t="s">
        <v>526</v>
      </c>
      <c r="B3546" t="s">
        <v>32</v>
      </c>
      <c r="C3546">
        <v>14</v>
      </c>
      <c r="D3546" t="s">
        <v>127</v>
      </c>
      <c r="E3546" t="s">
        <v>226</v>
      </c>
      <c r="F3546">
        <v>4.3</v>
      </c>
      <c r="G3546">
        <v>2025</v>
      </c>
    </row>
    <row r="3547" spans="1:7" hidden="1" x14ac:dyDescent="0.2">
      <c r="A3547" t="s">
        <v>526</v>
      </c>
      <c r="B3547" t="s">
        <v>32</v>
      </c>
      <c r="C3547">
        <v>14</v>
      </c>
      <c r="D3547" t="s">
        <v>127</v>
      </c>
      <c r="E3547" t="s">
        <v>148</v>
      </c>
      <c r="F3547">
        <v>17</v>
      </c>
      <c r="G3547">
        <v>2025</v>
      </c>
    </row>
    <row r="3548" spans="1:7" hidden="1" x14ac:dyDescent="0.2">
      <c r="A3548" t="s">
        <v>526</v>
      </c>
      <c r="B3548" t="s">
        <v>32</v>
      </c>
      <c r="C3548">
        <v>14</v>
      </c>
      <c r="D3548" t="s">
        <v>129</v>
      </c>
      <c r="E3548" t="s">
        <v>558</v>
      </c>
      <c r="F3548">
        <v>2.2000000000000002</v>
      </c>
      <c r="G3548">
        <v>2025</v>
      </c>
    </row>
    <row r="3549" spans="1:7" hidden="1" x14ac:dyDescent="0.2">
      <c r="A3549" t="s">
        <v>526</v>
      </c>
      <c r="B3549" t="s">
        <v>32</v>
      </c>
      <c r="C3549">
        <v>14</v>
      </c>
      <c r="D3549" t="s">
        <v>131</v>
      </c>
      <c r="E3549" t="s">
        <v>210</v>
      </c>
      <c r="F3549">
        <v>22</v>
      </c>
      <c r="G3549">
        <v>2025</v>
      </c>
    </row>
    <row r="3550" spans="1:7" hidden="1" x14ac:dyDescent="0.2">
      <c r="A3550" t="s">
        <v>526</v>
      </c>
      <c r="B3550" t="s">
        <v>32</v>
      </c>
      <c r="C3550">
        <v>14</v>
      </c>
      <c r="D3550" t="s">
        <v>130</v>
      </c>
      <c r="E3550" t="s">
        <v>358</v>
      </c>
      <c r="F3550">
        <v>6</v>
      </c>
      <c r="G3550">
        <v>2025</v>
      </c>
    </row>
    <row r="3551" spans="1:7" hidden="1" x14ac:dyDescent="0.2">
      <c r="A3551" t="s">
        <v>526</v>
      </c>
      <c r="B3551" t="s">
        <v>32</v>
      </c>
      <c r="C3551">
        <v>14</v>
      </c>
      <c r="D3551" t="s">
        <v>293</v>
      </c>
      <c r="E3551" t="s">
        <v>225</v>
      </c>
      <c r="F3551">
        <v>3.3</v>
      </c>
      <c r="G3551">
        <v>2025</v>
      </c>
    </row>
    <row r="3552" spans="1:7" hidden="1" x14ac:dyDescent="0.2">
      <c r="A3552" t="s">
        <v>46</v>
      </c>
      <c r="B3552" t="s">
        <v>47</v>
      </c>
      <c r="C3552">
        <v>14</v>
      </c>
      <c r="D3552" t="s">
        <v>125</v>
      </c>
      <c r="E3552" t="s">
        <v>126</v>
      </c>
      <c r="F3552">
        <v>19.36</v>
      </c>
      <c r="G3552">
        <v>2025</v>
      </c>
    </row>
    <row r="3553" spans="1:7" hidden="1" x14ac:dyDescent="0.2">
      <c r="A3553" t="s">
        <v>46</v>
      </c>
      <c r="B3553" t="s">
        <v>47</v>
      </c>
      <c r="C3553">
        <v>14</v>
      </c>
      <c r="D3553" t="s">
        <v>128</v>
      </c>
      <c r="E3553" t="s">
        <v>347</v>
      </c>
      <c r="F3553">
        <v>10.5</v>
      </c>
      <c r="G3553">
        <v>2025</v>
      </c>
    </row>
    <row r="3554" spans="1:7" hidden="1" x14ac:dyDescent="0.2">
      <c r="A3554" t="s">
        <v>46</v>
      </c>
      <c r="B3554" t="s">
        <v>47</v>
      </c>
      <c r="C3554">
        <v>14</v>
      </c>
      <c r="D3554" t="s">
        <v>128</v>
      </c>
      <c r="E3554" t="s">
        <v>178</v>
      </c>
      <c r="F3554">
        <v>15.6</v>
      </c>
      <c r="G3554">
        <v>2025</v>
      </c>
    </row>
    <row r="3555" spans="1:7" hidden="1" x14ac:dyDescent="0.2">
      <c r="A3555" t="s">
        <v>46</v>
      </c>
      <c r="B3555" t="s">
        <v>47</v>
      </c>
      <c r="C3555">
        <v>14</v>
      </c>
      <c r="D3555" t="s">
        <v>128</v>
      </c>
      <c r="E3555" t="s">
        <v>206</v>
      </c>
      <c r="F3555">
        <v>8</v>
      </c>
      <c r="G3555">
        <v>2025</v>
      </c>
    </row>
    <row r="3556" spans="1:7" hidden="1" x14ac:dyDescent="0.2">
      <c r="A3556" t="s">
        <v>46</v>
      </c>
      <c r="B3556" t="s">
        <v>47</v>
      </c>
      <c r="C3556">
        <v>14</v>
      </c>
      <c r="D3556" t="s">
        <v>127</v>
      </c>
      <c r="E3556" t="s">
        <v>278</v>
      </c>
      <c r="F3556">
        <v>9.6999999999999993</v>
      </c>
      <c r="G3556">
        <v>2025</v>
      </c>
    </row>
    <row r="3557" spans="1:7" hidden="1" x14ac:dyDescent="0.2">
      <c r="A3557" t="s">
        <v>46</v>
      </c>
      <c r="B3557" t="s">
        <v>47</v>
      </c>
      <c r="C3557">
        <v>14</v>
      </c>
      <c r="D3557" t="s">
        <v>127</v>
      </c>
      <c r="E3557" t="s">
        <v>255</v>
      </c>
      <c r="F3557">
        <v>15.1</v>
      </c>
      <c r="G3557">
        <v>2025</v>
      </c>
    </row>
    <row r="3558" spans="1:7" hidden="1" x14ac:dyDescent="0.2">
      <c r="A3558" t="s">
        <v>46</v>
      </c>
      <c r="B3558" t="s">
        <v>47</v>
      </c>
      <c r="C3558">
        <v>14</v>
      </c>
      <c r="D3558" t="s">
        <v>129</v>
      </c>
      <c r="E3558" t="s">
        <v>182</v>
      </c>
      <c r="F3558">
        <v>12.6</v>
      </c>
      <c r="G3558">
        <v>2025</v>
      </c>
    </row>
    <row r="3559" spans="1:7" hidden="1" x14ac:dyDescent="0.2">
      <c r="A3559" t="s">
        <v>46</v>
      </c>
      <c r="B3559" t="s">
        <v>47</v>
      </c>
      <c r="C3559">
        <v>14</v>
      </c>
      <c r="D3559" t="s">
        <v>131</v>
      </c>
      <c r="E3559" t="s">
        <v>242</v>
      </c>
      <c r="F3559">
        <v>7</v>
      </c>
      <c r="G3559">
        <v>2025</v>
      </c>
    </row>
    <row r="3560" spans="1:7" hidden="1" x14ac:dyDescent="0.2">
      <c r="A3560" t="s">
        <v>46</v>
      </c>
      <c r="B3560" t="s">
        <v>47</v>
      </c>
      <c r="C3560">
        <v>14</v>
      </c>
      <c r="D3560" t="s">
        <v>130</v>
      </c>
      <c r="E3560" t="s">
        <v>352</v>
      </c>
      <c r="F3560">
        <v>5</v>
      </c>
      <c r="G3560">
        <v>2025</v>
      </c>
    </row>
    <row r="3561" spans="1:7" hidden="1" x14ac:dyDescent="0.2">
      <c r="A3561" t="s">
        <v>46</v>
      </c>
      <c r="B3561" t="s">
        <v>47</v>
      </c>
      <c r="C3561">
        <v>14</v>
      </c>
      <c r="D3561" t="s">
        <v>294</v>
      </c>
      <c r="E3561" t="s">
        <v>549</v>
      </c>
      <c r="F3561">
        <v>4.9000000000000004</v>
      </c>
      <c r="G3561">
        <v>2025</v>
      </c>
    </row>
    <row r="3562" spans="1:7" hidden="1" x14ac:dyDescent="0.2">
      <c r="A3562" t="s">
        <v>524</v>
      </c>
      <c r="B3562" t="s">
        <v>21</v>
      </c>
      <c r="C3562">
        <v>15</v>
      </c>
      <c r="D3562" t="s">
        <v>125</v>
      </c>
      <c r="E3562" t="s">
        <v>212</v>
      </c>
      <c r="F3562">
        <v>24.52</v>
      </c>
      <c r="G3562">
        <v>2025</v>
      </c>
    </row>
    <row r="3563" spans="1:7" hidden="1" x14ac:dyDescent="0.2">
      <c r="A3563" t="s">
        <v>524</v>
      </c>
      <c r="B3563" t="s">
        <v>21</v>
      </c>
      <c r="C3563">
        <v>15</v>
      </c>
      <c r="D3563" t="s">
        <v>128</v>
      </c>
      <c r="E3563" t="s">
        <v>177</v>
      </c>
      <c r="F3563">
        <v>14.1</v>
      </c>
      <c r="G3563">
        <v>2025</v>
      </c>
    </row>
    <row r="3564" spans="1:7" hidden="1" x14ac:dyDescent="0.2">
      <c r="A3564" t="s">
        <v>524</v>
      </c>
      <c r="B3564" t="s">
        <v>21</v>
      </c>
      <c r="C3564">
        <v>15</v>
      </c>
      <c r="D3564" t="s">
        <v>128</v>
      </c>
      <c r="E3564" t="s">
        <v>222</v>
      </c>
      <c r="F3564">
        <v>22.9</v>
      </c>
      <c r="G3564">
        <v>2025</v>
      </c>
    </row>
    <row r="3565" spans="1:7" hidden="1" x14ac:dyDescent="0.2">
      <c r="A3565" t="s">
        <v>524</v>
      </c>
      <c r="B3565" t="s">
        <v>21</v>
      </c>
      <c r="C3565">
        <v>15</v>
      </c>
      <c r="D3565" t="s">
        <v>128</v>
      </c>
      <c r="E3565" t="s">
        <v>363</v>
      </c>
      <c r="F3565">
        <v>12.6</v>
      </c>
      <c r="G3565">
        <v>2025</v>
      </c>
    </row>
    <row r="3566" spans="1:7" hidden="1" x14ac:dyDescent="0.2">
      <c r="A3566" t="s">
        <v>524</v>
      </c>
      <c r="B3566" t="s">
        <v>21</v>
      </c>
      <c r="C3566">
        <v>15</v>
      </c>
      <c r="D3566" t="s">
        <v>127</v>
      </c>
      <c r="E3566" t="s">
        <v>216</v>
      </c>
      <c r="F3566">
        <v>16.2</v>
      </c>
      <c r="G3566">
        <v>2025</v>
      </c>
    </row>
    <row r="3567" spans="1:7" hidden="1" x14ac:dyDescent="0.2">
      <c r="A3567" t="s">
        <v>524</v>
      </c>
      <c r="B3567" t="s">
        <v>21</v>
      </c>
      <c r="C3567">
        <v>15</v>
      </c>
      <c r="D3567" t="s">
        <v>127</v>
      </c>
      <c r="E3567" t="s">
        <v>528</v>
      </c>
      <c r="F3567">
        <v>29.1</v>
      </c>
      <c r="G3567">
        <v>2025</v>
      </c>
    </row>
    <row r="3568" spans="1:7" hidden="1" x14ac:dyDescent="0.2">
      <c r="A3568" t="s">
        <v>524</v>
      </c>
      <c r="B3568" t="s">
        <v>21</v>
      </c>
      <c r="C3568">
        <v>15</v>
      </c>
      <c r="D3568" t="s">
        <v>129</v>
      </c>
      <c r="E3568" t="s">
        <v>249</v>
      </c>
      <c r="F3568">
        <v>10.5</v>
      </c>
      <c r="G3568">
        <v>2025</v>
      </c>
    </row>
    <row r="3569" spans="1:7" hidden="1" x14ac:dyDescent="0.2">
      <c r="A3569" t="s">
        <v>524</v>
      </c>
      <c r="B3569" t="s">
        <v>21</v>
      </c>
      <c r="C3569">
        <v>15</v>
      </c>
      <c r="D3569" t="s">
        <v>131</v>
      </c>
      <c r="E3569" t="s">
        <v>350</v>
      </c>
      <c r="F3569">
        <v>11</v>
      </c>
      <c r="G3569">
        <v>2025</v>
      </c>
    </row>
    <row r="3570" spans="1:7" hidden="1" x14ac:dyDescent="0.2">
      <c r="A3570" t="s">
        <v>524</v>
      </c>
      <c r="B3570" t="s">
        <v>21</v>
      </c>
      <c r="C3570">
        <v>15</v>
      </c>
      <c r="D3570" t="s">
        <v>130</v>
      </c>
      <c r="E3570" t="s">
        <v>289</v>
      </c>
      <c r="F3570">
        <v>1</v>
      </c>
      <c r="G3570">
        <v>2025</v>
      </c>
    </row>
    <row r="3571" spans="1:7" hidden="1" x14ac:dyDescent="0.2">
      <c r="A3571" t="s">
        <v>524</v>
      </c>
      <c r="B3571" t="s">
        <v>21</v>
      </c>
      <c r="C3571">
        <v>15</v>
      </c>
      <c r="D3571" t="s">
        <v>293</v>
      </c>
      <c r="E3571" t="s">
        <v>529</v>
      </c>
      <c r="F3571">
        <v>7</v>
      </c>
      <c r="G3571">
        <v>2025</v>
      </c>
    </row>
    <row r="3572" spans="1:7" hidden="1" x14ac:dyDescent="0.2">
      <c r="A3572" t="s">
        <v>46</v>
      </c>
      <c r="B3572" t="s">
        <v>47</v>
      </c>
      <c r="C3572">
        <v>15</v>
      </c>
      <c r="D3572" t="s">
        <v>125</v>
      </c>
      <c r="E3572" t="s">
        <v>126</v>
      </c>
      <c r="F3572">
        <v>44.3</v>
      </c>
      <c r="G3572">
        <v>2025</v>
      </c>
    </row>
    <row r="3573" spans="1:7" hidden="1" x14ac:dyDescent="0.2">
      <c r="A3573" t="s">
        <v>46</v>
      </c>
      <c r="B3573" t="s">
        <v>47</v>
      </c>
      <c r="C3573">
        <v>15</v>
      </c>
      <c r="D3573" t="s">
        <v>128</v>
      </c>
      <c r="E3573" t="s">
        <v>206</v>
      </c>
      <c r="F3573">
        <v>12</v>
      </c>
      <c r="G3573">
        <v>2025</v>
      </c>
    </row>
    <row r="3574" spans="1:7" hidden="1" x14ac:dyDescent="0.2">
      <c r="A3574" t="s">
        <v>46</v>
      </c>
      <c r="B3574" t="s">
        <v>47</v>
      </c>
      <c r="C3574">
        <v>15</v>
      </c>
      <c r="D3574" t="s">
        <v>128</v>
      </c>
      <c r="E3574" t="s">
        <v>178</v>
      </c>
      <c r="F3574">
        <v>3.6</v>
      </c>
      <c r="G3574">
        <v>2025</v>
      </c>
    </row>
    <row r="3575" spans="1:7" hidden="1" x14ac:dyDescent="0.2">
      <c r="A3575" t="s">
        <v>46</v>
      </c>
      <c r="B3575" t="s">
        <v>47</v>
      </c>
      <c r="C3575">
        <v>15</v>
      </c>
      <c r="D3575" t="s">
        <v>128</v>
      </c>
      <c r="E3575" t="s">
        <v>347</v>
      </c>
      <c r="F3575">
        <v>2.1</v>
      </c>
      <c r="G3575">
        <v>2025</v>
      </c>
    </row>
    <row r="3576" spans="1:7" hidden="1" x14ac:dyDescent="0.2">
      <c r="A3576" t="s">
        <v>46</v>
      </c>
      <c r="B3576" t="s">
        <v>47</v>
      </c>
      <c r="C3576">
        <v>15</v>
      </c>
      <c r="D3576" t="s">
        <v>127</v>
      </c>
      <c r="E3576" t="s">
        <v>372</v>
      </c>
      <c r="F3576">
        <v>15.2</v>
      </c>
      <c r="G3576">
        <v>2025</v>
      </c>
    </row>
    <row r="3577" spans="1:7" hidden="1" x14ac:dyDescent="0.2">
      <c r="A3577" t="s">
        <v>46</v>
      </c>
      <c r="B3577" t="s">
        <v>47</v>
      </c>
      <c r="C3577">
        <v>15</v>
      </c>
      <c r="D3577" t="s">
        <v>127</v>
      </c>
      <c r="E3577" t="s">
        <v>278</v>
      </c>
      <c r="F3577">
        <v>22.1</v>
      </c>
      <c r="G3577">
        <v>2025</v>
      </c>
    </row>
    <row r="3578" spans="1:7" hidden="1" x14ac:dyDescent="0.2">
      <c r="A3578" t="s">
        <v>46</v>
      </c>
      <c r="B3578" t="s">
        <v>47</v>
      </c>
      <c r="C3578">
        <v>15</v>
      </c>
      <c r="D3578" t="s">
        <v>129</v>
      </c>
      <c r="E3578" t="s">
        <v>182</v>
      </c>
      <c r="F3578">
        <v>5.8</v>
      </c>
      <c r="G3578">
        <v>2025</v>
      </c>
    </row>
    <row r="3579" spans="1:7" hidden="1" x14ac:dyDescent="0.2">
      <c r="A3579" t="s">
        <v>46</v>
      </c>
      <c r="B3579" t="s">
        <v>47</v>
      </c>
      <c r="C3579">
        <v>15</v>
      </c>
      <c r="D3579" t="s">
        <v>131</v>
      </c>
      <c r="E3579" t="s">
        <v>242</v>
      </c>
      <c r="F3579">
        <v>4</v>
      </c>
      <c r="G3579">
        <v>2025</v>
      </c>
    </row>
    <row r="3580" spans="1:7" hidden="1" x14ac:dyDescent="0.2">
      <c r="A3580" t="s">
        <v>46</v>
      </c>
      <c r="B3580" t="s">
        <v>47</v>
      </c>
      <c r="C3580">
        <v>15</v>
      </c>
      <c r="D3580" t="s">
        <v>130</v>
      </c>
      <c r="E3580" t="s">
        <v>193</v>
      </c>
      <c r="F3580">
        <v>6</v>
      </c>
      <c r="G3580">
        <v>2025</v>
      </c>
    </row>
    <row r="3581" spans="1:7" hidden="1" x14ac:dyDescent="0.2">
      <c r="A3581" t="s">
        <v>46</v>
      </c>
      <c r="B3581" t="s">
        <v>47</v>
      </c>
      <c r="C3581">
        <v>15</v>
      </c>
      <c r="D3581" t="s">
        <v>293</v>
      </c>
      <c r="E3581" t="s">
        <v>255</v>
      </c>
      <c r="F3581">
        <v>7.6</v>
      </c>
      <c r="G3581">
        <v>2025</v>
      </c>
    </row>
    <row r="3582" spans="1:7" hidden="1" x14ac:dyDescent="0.2">
      <c r="A3582" t="s">
        <v>521</v>
      </c>
      <c r="B3582" t="s">
        <v>29</v>
      </c>
      <c r="C3582">
        <v>15</v>
      </c>
      <c r="D3582" t="s">
        <v>125</v>
      </c>
      <c r="E3582" t="s">
        <v>150</v>
      </c>
      <c r="F3582">
        <v>13.06</v>
      </c>
      <c r="G3582">
        <v>2025</v>
      </c>
    </row>
    <row r="3583" spans="1:7" hidden="1" x14ac:dyDescent="0.2">
      <c r="A3583" t="s">
        <v>521</v>
      </c>
      <c r="B3583" t="s">
        <v>29</v>
      </c>
      <c r="C3583">
        <v>15</v>
      </c>
      <c r="D3583" t="s">
        <v>128</v>
      </c>
      <c r="E3583" t="s">
        <v>171</v>
      </c>
      <c r="F3583">
        <v>3.2</v>
      </c>
      <c r="G3583">
        <v>2025</v>
      </c>
    </row>
    <row r="3584" spans="1:7" hidden="1" x14ac:dyDescent="0.2">
      <c r="A3584" t="s">
        <v>521</v>
      </c>
      <c r="B3584" t="s">
        <v>29</v>
      </c>
      <c r="C3584">
        <v>15</v>
      </c>
      <c r="D3584" t="s">
        <v>128</v>
      </c>
      <c r="E3584" t="s">
        <v>151</v>
      </c>
      <c r="F3584">
        <v>9.1</v>
      </c>
      <c r="G3584">
        <v>2025</v>
      </c>
    </row>
    <row r="3585" spans="1:7" hidden="1" x14ac:dyDescent="0.2">
      <c r="A3585" t="s">
        <v>521</v>
      </c>
      <c r="B3585" t="s">
        <v>29</v>
      </c>
      <c r="C3585">
        <v>15</v>
      </c>
      <c r="D3585" t="s">
        <v>128</v>
      </c>
      <c r="E3585" t="s">
        <v>199</v>
      </c>
      <c r="F3585">
        <v>4.0999999999999996</v>
      </c>
      <c r="G3585">
        <v>2025</v>
      </c>
    </row>
    <row r="3586" spans="1:7" hidden="1" x14ac:dyDescent="0.2">
      <c r="A3586" t="s">
        <v>521</v>
      </c>
      <c r="B3586" t="s">
        <v>29</v>
      </c>
      <c r="C3586">
        <v>15</v>
      </c>
      <c r="D3586" t="s">
        <v>127</v>
      </c>
      <c r="E3586" t="s">
        <v>198</v>
      </c>
      <c r="F3586">
        <v>11.6</v>
      </c>
      <c r="G3586">
        <v>2025</v>
      </c>
    </row>
    <row r="3587" spans="1:7" hidden="1" x14ac:dyDescent="0.2">
      <c r="A3587" t="s">
        <v>521</v>
      </c>
      <c r="B3587" t="s">
        <v>29</v>
      </c>
      <c r="C3587">
        <v>15</v>
      </c>
      <c r="D3587" t="s">
        <v>127</v>
      </c>
      <c r="E3587" t="s">
        <v>343</v>
      </c>
      <c r="F3587">
        <v>17.7</v>
      </c>
      <c r="G3587">
        <v>2025</v>
      </c>
    </row>
    <row r="3588" spans="1:7" hidden="1" x14ac:dyDescent="0.2">
      <c r="A3588" t="s">
        <v>521</v>
      </c>
      <c r="B3588" t="s">
        <v>29</v>
      </c>
      <c r="C3588">
        <v>15</v>
      </c>
      <c r="D3588" t="s">
        <v>129</v>
      </c>
      <c r="E3588" t="s">
        <v>209</v>
      </c>
      <c r="F3588">
        <v>4.9000000000000004</v>
      </c>
      <c r="G3588">
        <v>2025</v>
      </c>
    </row>
    <row r="3589" spans="1:7" hidden="1" x14ac:dyDescent="0.2">
      <c r="A3589" t="s">
        <v>521</v>
      </c>
      <c r="B3589" t="s">
        <v>29</v>
      </c>
      <c r="C3589">
        <v>15</v>
      </c>
      <c r="D3589" t="s">
        <v>131</v>
      </c>
      <c r="E3589" t="s">
        <v>374</v>
      </c>
      <c r="F3589">
        <v>9</v>
      </c>
      <c r="G3589">
        <v>2025</v>
      </c>
    </row>
    <row r="3590" spans="1:7" hidden="1" x14ac:dyDescent="0.2">
      <c r="A3590" t="s">
        <v>521</v>
      </c>
      <c r="B3590" t="s">
        <v>29</v>
      </c>
      <c r="C3590">
        <v>15</v>
      </c>
      <c r="D3590" t="s">
        <v>130</v>
      </c>
      <c r="E3590" t="s">
        <v>251</v>
      </c>
      <c r="F3590">
        <v>1</v>
      </c>
      <c r="G3590">
        <v>2025</v>
      </c>
    </row>
    <row r="3591" spans="1:7" hidden="1" x14ac:dyDescent="0.2">
      <c r="A3591" t="s">
        <v>521</v>
      </c>
      <c r="B3591" t="s">
        <v>29</v>
      </c>
      <c r="C3591">
        <v>15</v>
      </c>
      <c r="D3591" t="s">
        <v>293</v>
      </c>
      <c r="E3591" t="s">
        <v>175</v>
      </c>
      <c r="F3591">
        <v>6.3</v>
      </c>
      <c r="G3591">
        <v>2025</v>
      </c>
    </row>
    <row r="3592" spans="1:7" hidden="1" x14ac:dyDescent="0.2">
      <c r="A3592" t="s">
        <v>31</v>
      </c>
      <c r="B3592" t="s">
        <v>33</v>
      </c>
      <c r="C3592">
        <v>15</v>
      </c>
      <c r="D3592" t="s">
        <v>125</v>
      </c>
      <c r="E3592" t="s">
        <v>592</v>
      </c>
      <c r="F3592">
        <v>18.079999999999998</v>
      </c>
      <c r="G3592">
        <v>2025</v>
      </c>
    </row>
    <row r="3593" spans="1:7" hidden="1" x14ac:dyDescent="0.2">
      <c r="A3593" t="s">
        <v>31</v>
      </c>
      <c r="B3593" t="s">
        <v>33</v>
      </c>
      <c r="C3593">
        <v>15</v>
      </c>
      <c r="D3593" t="s">
        <v>128</v>
      </c>
      <c r="E3593" t="s">
        <v>219</v>
      </c>
      <c r="F3593">
        <v>13</v>
      </c>
      <c r="G3593">
        <v>2025</v>
      </c>
    </row>
    <row r="3594" spans="1:7" hidden="1" x14ac:dyDescent="0.2">
      <c r="A3594" t="s">
        <v>31</v>
      </c>
      <c r="B3594" t="s">
        <v>33</v>
      </c>
      <c r="C3594">
        <v>15</v>
      </c>
      <c r="D3594" t="s">
        <v>128</v>
      </c>
      <c r="E3594" t="s">
        <v>292</v>
      </c>
      <c r="F3594">
        <v>17.2</v>
      </c>
      <c r="G3594">
        <v>2025</v>
      </c>
    </row>
    <row r="3595" spans="1:7" hidden="1" x14ac:dyDescent="0.2">
      <c r="A3595" t="s">
        <v>31</v>
      </c>
      <c r="B3595" t="s">
        <v>33</v>
      </c>
      <c r="C3595">
        <v>15</v>
      </c>
      <c r="D3595" t="s">
        <v>128</v>
      </c>
      <c r="E3595" t="s">
        <v>390</v>
      </c>
      <c r="F3595">
        <v>3.5</v>
      </c>
      <c r="G3595">
        <v>2025</v>
      </c>
    </row>
    <row r="3596" spans="1:7" hidden="1" x14ac:dyDescent="0.2">
      <c r="A3596" t="s">
        <v>31</v>
      </c>
      <c r="B3596" t="s">
        <v>33</v>
      </c>
      <c r="C3596">
        <v>15</v>
      </c>
      <c r="D3596" t="s">
        <v>127</v>
      </c>
      <c r="E3596" t="s">
        <v>174</v>
      </c>
      <c r="F3596">
        <v>25.5</v>
      </c>
      <c r="G3596">
        <v>2025</v>
      </c>
    </row>
    <row r="3597" spans="1:7" hidden="1" x14ac:dyDescent="0.2">
      <c r="A3597" t="s">
        <v>31</v>
      </c>
      <c r="B3597" t="s">
        <v>33</v>
      </c>
      <c r="C3597">
        <v>15</v>
      </c>
      <c r="D3597" t="s">
        <v>127</v>
      </c>
      <c r="E3597" t="s">
        <v>318</v>
      </c>
      <c r="F3597">
        <v>11.9</v>
      </c>
      <c r="G3597">
        <v>2025</v>
      </c>
    </row>
    <row r="3598" spans="1:7" hidden="1" x14ac:dyDescent="0.2">
      <c r="A3598" t="s">
        <v>31</v>
      </c>
      <c r="B3598" t="s">
        <v>33</v>
      </c>
      <c r="C3598">
        <v>15</v>
      </c>
      <c r="D3598" t="s">
        <v>129</v>
      </c>
      <c r="E3598" t="s">
        <v>536</v>
      </c>
      <c r="F3598">
        <v>5</v>
      </c>
      <c r="G3598">
        <v>2025</v>
      </c>
    </row>
    <row r="3599" spans="1:7" hidden="1" x14ac:dyDescent="0.2">
      <c r="A3599" t="s">
        <v>31</v>
      </c>
      <c r="B3599" t="s">
        <v>33</v>
      </c>
      <c r="C3599">
        <v>15</v>
      </c>
      <c r="D3599" t="s">
        <v>131</v>
      </c>
      <c r="E3599" t="s">
        <v>183</v>
      </c>
      <c r="F3599">
        <v>6</v>
      </c>
      <c r="G3599">
        <v>2025</v>
      </c>
    </row>
    <row r="3600" spans="1:7" hidden="1" x14ac:dyDescent="0.2">
      <c r="A3600" t="s">
        <v>31</v>
      </c>
      <c r="B3600" t="s">
        <v>33</v>
      </c>
      <c r="C3600">
        <v>15</v>
      </c>
      <c r="D3600" t="s">
        <v>130</v>
      </c>
      <c r="E3600" t="s">
        <v>215</v>
      </c>
      <c r="F3600">
        <v>-1</v>
      </c>
      <c r="G3600">
        <v>2025</v>
      </c>
    </row>
    <row r="3601" spans="1:7" hidden="1" x14ac:dyDescent="0.2">
      <c r="A3601" t="s">
        <v>31</v>
      </c>
      <c r="B3601" t="s">
        <v>33</v>
      </c>
      <c r="C3601">
        <v>15</v>
      </c>
      <c r="D3601" t="s">
        <v>294</v>
      </c>
      <c r="E3601" t="s">
        <v>280</v>
      </c>
      <c r="F3601">
        <v>0</v>
      </c>
      <c r="G3601">
        <v>2025</v>
      </c>
    </row>
    <row r="3602" spans="1:7" hidden="1" x14ac:dyDescent="0.2">
      <c r="A3602" t="s">
        <v>524</v>
      </c>
      <c r="B3602" t="s">
        <v>21</v>
      </c>
      <c r="C3602">
        <v>16</v>
      </c>
      <c r="D3602" t="s">
        <v>125</v>
      </c>
      <c r="E3602" t="s">
        <v>212</v>
      </c>
      <c r="F3602">
        <v>6.9</v>
      </c>
      <c r="G3602">
        <v>2025</v>
      </c>
    </row>
    <row r="3603" spans="1:7" hidden="1" x14ac:dyDescent="0.2">
      <c r="A3603" t="s">
        <v>524</v>
      </c>
      <c r="B3603" t="s">
        <v>21</v>
      </c>
      <c r="C3603">
        <v>16</v>
      </c>
      <c r="D3603" t="s">
        <v>128</v>
      </c>
      <c r="E3603" t="s">
        <v>177</v>
      </c>
      <c r="F3603">
        <v>8.1</v>
      </c>
      <c r="G3603">
        <v>2025</v>
      </c>
    </row>
    <row r="3604" spans="1:7" hidden="1" x14ac:dyDescent="0.2">
      <c r="A3604" t="s">
        <v>524</v>
      </c>
      <c r="B3604" t="s">
        <v>21</v>
      </c>
      <c r="C3604">
        <v>16</v>
      </c>
      <c r="D3604" t="s">
        <v>128</v>
      </c>
      <c r="E3604" t="s">
        <v>222</v>
      </c>
      <c r="F3604">
        <v>9.5</v>
      </c>
      <c r="G3604">
        <v>2025</v>
      </c>
    </row>
    <row r="3605" spans="1:7" hidden="1" x14ac:dyDescent="0.2">
      <c r="A3605" t="s">
        <v>524</v>
      </c>
      <c r="B3605" t="s">
        <v>21</v>
      </c>
      <c r="C3605">
        <v>16</v>
      </c>
      <c r="D3605" t="s">
        <v>128</v>
      </c>
      <c r="E3605" t="s">
        <v>132</v>
      </c>
      <c r="F3605">
        <v>5.6</v>
      </c>
      <c r="G3605">
        <v>2025</v>
      </c>
    </row>
    <row r="3606" spans="1:7" hidden="1" x14ac:dyDescent="0.2">
      <c r="A3606" t="s">
        <v>524</v>
      </c>
      <c r="B3606" t="s">
        <v>21</v>
      </c>
      <c r="C3606">
        <v>16</v>
      </c>
      <c r="D3606" t="s">
        <v>127</v>
      </c>
      <c r="E3606" t="s">
        <v>216</v>
      </c>
      <c r="F3606">
        <v>21.2</v>
      </c>
      <c r="G3606">
        <v>2025</v>
      </c>
    </row>
    <row r="3607" spans="1:7" hidden="1" x14ac:dyDescent="0.2">
      <c r="A3607" t="s">
        <v>524</v>
      </c>
      <c r="B3607" t="s">
        <v>21</v>
      </c>
      <c r="C3607">
        <v>16</v>
      </c>
      <c r="D3607" t="s">
        <v>127</v>
      </c>
      <c r="E3607" t="s">
        <v>529</v>
      </c>
      <c r="F3607">
        <v>16</v>
      </c>
      <c r="G3607">
        <v>2025</v>
      </c>
    </row>
    <row r="3608" spans="1:7" hidden="1" x14ac:dyDescent="0.2">
      <c r="A3608" t="s">
        <v>524</v>
      </c>
      <c r="B3608" t="s">
        <v>21</v>
      </c>
      <c r="C3608">
        <v>16</v>
      </c>
      <c r="D3608" t="s">
        <v>129</v>
      </c>
      <c r="E3608" t="s">
        <v>249</v>
      </c>
      <c r="F3608">
        <v>1.1000000000000001</v>
      </c>
      <c r="G3608">
        <v>2025</v>
      </c>
    </row>
    <row r="3609" spans="1:7" hidden="1" x14ac:dyDescent="0.2">
      <c r="A3609" t="s">
        <v>524</v>
      </c>
      <c r="B3609" t="s">
        <v>21</v>
      </c>
      <c r="C3609">
        <v>16</v>
      </c>
      <c r="D3609" t="s">
        <v>131</v>
      </c>
      <c r="E3609" t="s">
        <v>350</v>
      </c>
      <c r="F3609">
        <v>9</v>
      </c>
      <c r="G3609">
        <v>2025</v>
      </c>
    </row>
    <row r="3610" spans="1:7" hidden="1" x14ac:dyDescent="0.2">
      <c r="A3610" t="s">
        <v>524</v>
      </c>
      <c r="B3610" t="s">
        <v>21</v>
      </c>
      <c r="C3610">
        <v>16</v>
      </c>
      <c r="D3610" t="s">
        <v>130</v>
      </c>
      <c r="E3610" t="s">
        <v>167</v>
      </c>
      <c r="F3610">
        <v>14</v>
      </c>
      <c r="G3610">
        <v>2025</v>
      </c>
    </row>
    <row r="3611" spans="1:7" hidden="1" x14ac:dyDescent="0.2">
      <c r="A3611" t="s">
        <v>524</v>
      </c>
      <c r="B3611" t="s">
        <v>21</v>
      </c>
      <c r="C3611">
        <v>16</v>
      </c>
      <c r="D3611" t="s">
        <v>293</v>
      </c>
      <c r="E3611" t="s">
        <v>528</v>
      </c>
      <c r="F3611">
        <v>1.7</v>
      </c>
      <c r="G3611">
        <v>2025</v>
      </c>
    </row>
    <row r="3612" spans="1:7" hidden="1" x14ac:dyDescent="0.2">
      <c r="A3612" t="s">
        <v>35</v>
      </c>
      <c r="B3612" t="s">
        <v>49</v>
      </c>
      <c r="C3612">
        <v>16</v>
      </c>
      <c r="D3612" t="s">
        <v>125</v>
      </c>
      <c r="E3612" t="s">
        <v>168</v>
      </c>
      <c r="F3612">
        <v>19.399999999999999</v>
      </c>
      <c r="G3612">
        <v>2025</v>
      </c>
    </row>
    <row r="3613" spans="1:7" hidden="1" x14ac:dyDescent="0.2">
      <c r="A3613" t="s">
        <v>35</v>
      </c>
      <c r="B3613" t="s">
        <v>49</v>
      </c>
      <c r="C3613">
        <v>16</v>
      </c>
      <c r="D3613" t="s">
        <v>128</v>
      </c>
      <c r="E3613" t="s">
        <v>160</v>
      </c>
      <c r="F3613">
        <v>22.5</v>
      </c>
      <c r="G3613">
        <v>2025</v>
      </c>
    </row>
    <row r="3614" spans="1:7" hidden="1" x14ac:dyDescent="0.2">
      <c r="A3614" t="s">
        <v>35</v>
      </c>
      <c r="B3614" t="s">
        <v>49</v>
      </c>
      <c r="C3614">
        <v>16</v>
      </c>
      <c r="D3614" t="s">
        <v>128</v>
      </c>
      <c r="E3614" t="s">
        <v>152</v>
      </c>
      <c r="F3614">
        <v>11.6</v>
      </c>
      <c r="G3614">
        <v>2025</v>
      </c>
    </row>
    <row r="3615" spans="1:7" hidden="1" x14ac:dyDescent="0.2">
      <c r="A3615" t="s">
        <v>35</v>
      </c>
      <c r="B3615" t="s">
        <v>49</v>
      </c>
      <c r="C3615">
        <v>16</v>
      </c>
      <c r="D3615" t="s">
        <v>128</v>
      </c>
      <c r="E3615" t="s">
        <v>205</v>
      </c>
      <c r="F3615">
        <v>13.2</v>
      </c>
      <c r="G3615">
        <v>2025</v>
      </c>
    </row>
    <row r="3616" spans="1:7" hidden="1" x14ac:dyDescent="0.2">
      <c r="A3616" t="s">
        <v>35</v>
      </c>
      <c r="B3616" t="s">
        <v>49</v>
      </c>
      <c r="C3616">
        <v>16</v>
      </c>
      <c r="D3616" t="s">
        <v>127</v>
      </c>
      <c r="E3616" t="s">
        <v>534</v>
      </c>
      <c r="F3616">
        <v>20.100000000000001</v>
      </c>
      <c r="G3616">
        <v>2025</v>
      </c>
    </row>
    <row r="3617" spans="1:7" hidden="1" x14ac:dyDescent="0.2">
      <c r="A3617" t="s">
        <v>35</v>
      </c>
      <c r="B3617" t="s">
        <v>49</v>
      </c>
      <c r="C3617">
        <v>16</v>
      </c>
      <c r="D3617" t="s">
        <v>127</v>
      </c>
      <c r="E3617" t="s">
        <v>256</v>
      </c>
      <c r="F3617">
        <v>10</v>
      </c>
      <c r="G3617">
        <v>2025</v>
      </c>
    </row>
    <row r="3618" spans="1:7" hidden="1" x14ac:dyDescent="0.2">
      <c r="A3618" t="s">
        <v>35</v>
      </c>
      <c r="B3618" t="s">
        <v>49</v>
      </c>
      <c r="C3618">
        <v>16</v>
      </c>
      <c r="D3618" t="s">
        <v>129</v>
      </c>
      <c r="E3618" t="s">
        <v>137</v>
      </c>
      <c r="F3618">
        <v>4.7</v>
      </c>
      <c r="G3618">
        <v>2025</v>
      </c>
    </row>
    <row r="3619" spans="1:7" hidden="1" x14ac:dyDescent="0.2">
      <c r="A3619" t="s">
        <v>35</v>
      </c>
      <c r="B3619" t="s">
        <v>49</v>
      </c>
      <c r="C3619">
        <v>16</v>
      </c>
      <c r="D3619" t="s">
        <v>131</v>
      </c>
      <c r="E3619" t="s">
        <v>195</v>
      </c>
      <c r="F3619">
        <v>16</v>
      </c>
      <c r="G3619">
        <v>2025</v>
      </c>
    </row>
    <row r="3620" spans="1:7" hidden="1" x14ac:dyDescent="0.2">
      <c r="A3620" t="s">
        <v>35</v>
      </c>
      <c r="B3620" t="s">
        <v>49</v>
      </c>
      <c r="C3620">
        <v>16</v>
      </c>
      <c r="D3620" t="s">
        <v>130</v>
      </c>
      <c r="E3620" t="s">
        <v>229</v>
      </c>
      <c r="F3620">
        <v>22</v>
      </c>
      <c r="G3620">
        <v>2025</v>
      </c>
    </row>
    <row r="3621" spans="1:7" hidden="1" x14ac:dyDescent="0.2">
      <c r="A3621" t="s">
        <v>35</v>
      </c>
      <c r="B3621" t="s">
        <v>49</v>
      </c>
      <c r="C3621">
        <v>16</v>
      </c>
      <c r="D3621" t="s">
        <v>294</v>
      </c>
      <c r="E3621" t="s">
        <v>188</v>
      </c>
      <c r="F3621">
        <v>4.2</v>
      </c>
      <c r="G3621">
        <v>2025</v>
      </c>
    </row>
    <row r="3622" spans="1:7" hidden="1" x14ac:dyDescent="0.2">
      <c r="A3622" t="s">
        <v>18</v>
      </c>
      <c r="B3622" t="s">
        <v>20</v>
      </c>
      <c r="C3622">
        <v>16</v>
      </c>
      <c r="D3622" t="s">
        <v>125</v>
      </c>
      <c r="E3622" t="s">
        <v>230</v>
      </c>
      <c r="F3622">
        <v>28.96</v>
      </c>
      <c r="G3622">
        <v>2025</v>
      </c>
    </row>
    <row r="3623" spans="1:7" hidden="1" x14ac:dyDescent="0.2">
      <c r="A3623" t="s">
        <v>18</v>
      </c>
      <c r="B3623" t="s">
        <v>20</v>
      </c>
      <c r="C3623">
        <v>16</v>
      </c>
      <c r="D3623" t="s">
        <v>128</v>
      </c>
      <c r="E3623" t="s">
        <v>134</v>
      </c>
      <c r="F3623">
        <v>17.7</v>
      </c>
      <c r="G3623">
        <v>2025</v>
      </c>
    </row>
    <row r="3624" spans="1:7" hidden="1" x14ac:dyDescent="0.2">
      <c r="A3624" t="s">
        <v>18</v>
      </c>
      <c r="B3624" t="s">
        <v>20</v>
      </c>
      <c r="C3624">
        <v>16</v>
      </c>
      <c r="D3624" t="s">
        <v>128</v>
      </c>
      <c r="E3624" t="s">
        <v>248</v>
      </c>
      <c r="F3624">
        <v>19.600000000000001</v>
      </c>
      <c r="G3624">
        <v>2025</v>
      </c>
    </row>
    <row r="3625" spans="1:7" hidden="1" x14ac:dyDescent="0.2">
      <c r="A3625" t="s">
        <v>18</v>
      </c>
      <c r="B3625" t="s">
        <v>20</v>
      </c>
      <c r="C3625">
        <v>16</v>
      </c>
      <c r="D3625" t="s">
        <v>128</v>
      </c>
      <c r="E3625" t="s">
        <v>276</v>
      </c>
      <c r="F3625">
        <v>12.8</v>
      </c>
      <c r="G3625">
        <v>2025</v>
      </c>
    </row>
    <row r="3626" spans="1:7" hidden="1" x14ac:dyDescent="0.2">
      <c r="A3626" t="s">
        <v>18</v>
      </c>
      <c r="B3626" t="s">
        <v>20</v>
      </c>
      <c r="C3626">
        <v>16</v>
      </c>
      <c r="D3626" t="s">
        <v>127</v>
      </c>
      <c r="E3626" t="s">
        <v>154</v>
      </c>
      <c r="F3626">
        <v>22.8</v>
      </c>
      <c r="G3626">
        <v>2025</v>
      </c>
    </row>
    <row r="3627" spans="1:7" hidden="1" x14ac:dyDescent="0.2">
      <c r="A3627" t="s">
        <v>18</v>
      </c>
      <c r="B3627" t="s">
        <v>20</v>
      </c>
      <c r="C3627">
        <v>16</v>
      </c>
      <c r="D3627" t="s">
        <v>127</v>
      </c>
      <c r="E3627" t="s">
        <v>208</v>
      </c>
      <c r="F3627">
        <v>25.9</v>
      </c>
      <c r="G3627">
        <v>2025</v>
      </c>
    </row>
    <row r="3628" spans="1:7" hidden="1" x14ac:dyDescent="0.2">
      <c r="A3628" t="s">
        <v>18</v>
      </c>
      <c r="B3628" t="s">
        <v>20</v>
      </c>
      <c r="C3628">
        <v>16</v>
      </c>
      <c r="D3628" t="s">
        <v>129</v>
      </c>
      <c r="E3628" t="s">
        <v>227</v>
      </c>
      <c r="F3628">
        <v>10.7</v>
      </c>
      <c r="G3628">
        <v>2025</v>
      </c>
    </row>
    <row r="3629" spans="1:7" hidden="1" x14ac:dyDescent="0.2">
      <c r="A3629" t="s">
        <v>18</v>
      </c>
      <c r="B3629" t="s">
        <v>20</v>
      </c>
      <c r="C3629">
        <v>16</v>
      </c>
      <c r="D3629" t="s">
        <v>131</v>
      </c>
      <c r="E3629" t="s">
        <v>533</v>
      </c>
      <c r="F3629">
        <v>10</v>
      </c>
      <c r="G3629">
        <v>2025</v>
      </c>
    </row>
    <row r="3630" spans="1:7" hidden="1" x14ac:dyDescent="0.2">
      <c r="A3630" t="s">
        <v>18</v>
      </c>
      <c r="B3630" t="s">
        <v>20</v>
      </c>
      <c r="C3630">
        <v>16</v>
      </c>
      <c r="D3630" t="s">
        <v>130</v>
      </c>
      <c r="E3630" t="s">
        <v>287</v>
      </c>
      <c r="F3630">
        <v>1</v>
      </c>
      <c r="G3630">
        <v>2025</v>
      </c>
    </row>
    <row r="3631" spans="1:7" hidden="1" x14ac:dyDescent="0.2">
      <c r="A3631" t="s">
        <v>18</v>
      </c>
      <c r="B3631" t="s">
        <v>20</v>
      </c>
      <c r="C3631">
        <v>16</v>
      </c>
      <c r="D3631" t="s">
        <v>294</v>
      </c>
      <c r="E3631" t="s">
        <v>303</v>
      </c>
      <c r="F3631">
        <v>6.6</v>
      </c>
      <c r="G3631">
        <v>2025</v>
      </c>
    </row>
    <row r="3632" spans="1:7" hidden="1" x14ac:dyDescent="0.2">
      <c r="A3632" t="s">
        <v>31</v>
      </c>
      <c r="B3632" t="s">
        <v>33</v>
      </c>
      <c r="C3632">
        <v>16</v>
      </c>
      <c r="D3632" t="s">
        <v>125</v>
      </c>
      <c r="E3632" t="s">
        <v>592</v>
      </c>
      <c r="F3632">
        <v>17.12</v>
      </c>
      <c r="G3632">
        <v>2025</v>
      </c>
    </row>
    <row r="3633" spans="1:7" hidden="1" x14ac:dyDescent="0.2">
      <c r="A3633" t="s">
        <v>31</v>
      </c>
      <c r="B3633" t="s">
        <v>33</v>
      </c>
      <c r="C3633">
        <v>16</v>
      </c>
      <c r="D3633" t="s">
        <v>128</v>
      </c>
      <c r="E3633" t="s">
        <v>219</v>
      </c>
      <c r="F3633">
        <v>6.2</v>
      </c>
      <c r="G3633">
        <v>2025</v>
      </c>
    </row>
    <row r="3634" spans="1:7" hidden="1" x14ac:dyDescent="0.2">
      <c r="A3634" t="s">
        <v>31</v>
      </c>
      <c r="B3634" t="s">
        <v>33</v>
      </c>
      <c r="C3634">
        <v>16</v>
      </c>
      <c r="D3634" t="s">
        <v>128</v>
      </c>
      <c r="E3634" t="s">
        <v>292</v>
      </c>
      <c r="F3634">
        <v>15.6</v>
      </c>
      <c r="G3634">
        <v>2025</v>
      </c>
    </row>
    <row r="3635" spans="1:7" hidden="1" x14ac:dyDescent="0.2">
      <c r="A3635" t="s">
        <v>31</v>
      </c>
      <c r="B3635" t="s">
        <v>33</v>
      </c>
      <c r="C3635">
        <v>16</v>
      </c>
      <c r="D3635" t="s">
        <v>128</v>
      </c>
      <c r="E3635" t="s">
        <v>593</v>
      </c>
      <c r="F3635">
        <v>6.2</v>
      </c>
      <c r="G3635">
        <v>2025</v>
      </c>
    </row>
    <row r="3636" spans="1:7" hidden="1" x14ac:dyDescent="0.2">
      <c r="A3636" t="s">
        <v>31</v>
      </c>
      <c r="B3636" t="s">
        <v>33</v>
      </c>
      <c r="C3636">
        <v>16</v>
      </c>
      <c r="D3636" t="s">
        <v>127</v>
      </c>
      <c r="E3636" t="s">
        <v>174</v>
      </c>
      <c r="F3636">
        <v>26.3</v>
      </c>
      <c r="G3636">
        <v>2025</v>
      </c>
    </row>
    <row r="3637" spans="1:7" hidden="1" x14ac:dyDescent="0.2">
      <c r="A3637" t="s">
        <v>31</v>
      </c>
      <c r="B3637" t="s">
        <v>33</v>
      </c>
      <c r="C3637">
        <v>16</v>
      </c>
      <c r="D3637" t="s">
        <v>127</v>
      </c>
      <c r="E3637" t="s">
        <v>318</v>
      </c>
      <c r="F3637">
        <v>6.3</v>
      </c>
      <c r="G3637">
        <v>2025</v>
      </c>
    </row>
    <row r="3638" spans="1:7" hidden="1" x14ac:dyDescent="0.2">
      <c r="A3638" t="s">
        <v>31</v>
      </c>
      <c r="B3638" t="s">
        <v>33</v>
      </c>
      <c r="C3638">
        <v>16</v>
      </c>
      <c r="D3638" t="s">
        <v>129</v>
      </c>
      <c r="E3638" t="s">
        <v>536</v>
      </c>
      <c r="F3638">
        <v>12.9</v>
      </c>
      <c r="G3638">
        <v>2025</v>
      </c>
    </row>
    <row r="3639" spans="1:7" hidden="1" x14ac:dyDescent="0.2">
      <c r="A3639" t="s">
        <v>31</v>
      </c>
      <c r="B3639" t="s">
        <v>33</v>
      </c>
      <c r="C3639">
        <v>16</v>
      </c>
      <c r="D3639" t="s">
        <v>131</v>
      </c>
      <c r="E3639" t="s">
        <v>183</v>
      </c>
      <c r="F3639">
        <v>2</v>
      </c>
      <c r="G3639">
        <v>2025</v>
      </c>
    </row>
    <row r="3640" spans="1:7" hidden="1" x14ac:dyDescent="0.2">
      <c r="A3640" t="s">
        <v>31</v>
      </c>
      <c r="B3640" t="s">
        <v>33</v>
      </c>
      <c r="C3640">
        <v>16</v>
      </c>
      <c r="D3640" t="s">
        <v>130</v>
      </c>
      <c r="E3640" t="s">
        <v>215</v>
      </c>
      <c r="F3640">
        <v>11</v>
      </c>
      <c r="G3640">
        <v>2025</v>
      </c>
    </row>
    <row r="3641" spans="1:7" hidden="1" x14ac:dyDescent="0.2">
      <c r="A3641" t="s">
        <v>31</v>
      </c>
      <c r="B3641" t="s">
        <v>33</v>
      </c>
      <c r="C3641">
        <v>16</v>
      </c>
      <c r="D3641" t="s">
        <v>294</v>
      </c>
      <c r="E3641" t="s">
        <v>390</v>
      </c>
      <c r="F3641">
        <v>2.1</v>
      </c>
      <c r="G3641">
        <v>2025</v>
      </c>
    </row>
    <row r="3642" spans="1:7" hidden="1" x14ac:dyDescent="0.2">
      <c r="A3642" t="s">
        <v>18</v>
      </c>
      <c r="B3642" t="s">
        <v>20</v>
      </c>
      <c r="C3642">
        <v>17</v>
      </c>
      <c r="D3642" t="s">
        <v>125</v>
      </c>
      <c r="E3642" t="s">
        <v>230</v>
      </c>
      <c r="F3642">
        <v>20.399999999999999</v>
      </c>
      <c r="G3642">
        <v>2025</v>
      </c>
    </row>
    <row r="3643" spans="1:7" hidden="1" x14ac:dyDescent="0.2">
      <c r="A3643" t="s">
        <v>18</v>
      </c>
      <c r="B3643" t="s">
        <v>20</v>
      </c>
      <c r="C3643">
        <v>17</v>
      </c>
      <c r="D3643" t="s">
        <v>128</v>
      </c>
      <c r="E3643" t="s">
        <v>134</v>
      </c>
      <c r="F3643">
        <v>11</v>
      </c>
      <c r="G3643">
        <v>2025</v>
      </c>
    </row>
    <row r="3644" spans="1:7" hidden="1" x14ac:dyDescent="0.2">
      <c r="A3644" t="s">
        <v>18</v>
      </c>
      <c r="B3644" t="s">
        <v>20</v>
      </c>
      <c r="C3644">
        <v>17</v>
      </c>
      <c r="D3644" t="s">
        <v>128</v>
      </c>
      <c r="E3644" t="s">
        <v>248</v>
      </c>
      <c r="F3644">
        <v>11.7</v>
      </c>
      <c r="G3644">
        <v>2025</v>
      </c>
    </row>
    <row r="3645" spans="1:7" hidden="1" x14ac:dyDescent="0.2">
      <c r="A3645" t="s">
        <v>18</v>
      </c>
      <c r="B3645" t="s">
        <v>20</v>
      </c>
      <c r="C3645">
        <v>17</v>
      </c>
      <c r="D3645" t="s">
        <v>128</v>
      </c>
      <c r="E3645" t="s">
        <v>276</v>
      </c>
      <c r="F3645">
        <v>7.9</v>
      </c>
      <c r="G3645">
        <v>2025</v>
      </c>
    </row>
    <row r="3646" spans="1:7" hidden="1" x14ac:dyDescent="0.2">
      <c r="A3646" t="s">
        <v>18</v>
      </c>
      <c r="B3646" t="s">
        <v>20</v>
      </c>
      <c r="C3646">
        <v>17</v>
      </c>
      <c r="D3646" t="s">
        <v>127</v>
      </c>
      <c r="E3646" t="s">
        <v>154</v>
      </c>
      <c r="F3646">
        <v>45.6</v>
      </c>
      <c r="G3646">
        <v>2025</v>
      </c>
    </row>
    <row r="3647" spans="1:7" hidden="1" x14ac:dyDescent="0.2">
      <c r="A3647" t="s">
        <v>18</v>
      </c>
      <c r="B3647" t="s">
        <v>20</v>
      </c>
      <c r="C3647">
        <v>17</v>
      </c>
      <c r="D3647" t="s">
        <v>127</v>
      </c>
      <c r="E3647" t="s">
        <v>208</v>
      </c>
      <c r="F3647">
        <v>8.1999999999999993</v>
      </c>
      <c r="G3647">
        <v>2025</v>
      </c>
    </row>
    <row r="3648" spans="1:7" hidden="1" x14ac:dyDescent="0.2">
      <c r="A3648" t="s">
        <v>18</v>
      </c>
      <c r="B3648" t="s">
        <v>20</v>
      </c>
      <c r="C3648">
        <v>17</v>
      </c>
      <c r="D3648" t="s">
        <v>129</v>
      </c>
      <c r="E3648" t="s">
        <v>227</v>
      </c>
      <c r="F3648">
        <v>8.3000000000000007</v>
      </c>
      <c r="G3648">
        <v>2025</v>
      </c>
    </row>
    <row r="3649" spans="1:7" hidden="1" x14ac:dyDescent="0.2">
      <c r="A3649" t="s">
        <v>18</v>
      </c>
      <c r="B3649" t="s">
        <v>20</v>
      </c>
      <c r="C3649">
        <v>17</v>
      </c>
      <c r="D3649" t="s">
        <v>131</v>
      </c>
      <c r="E3649" t="s">
        <v>533</v>
      </c>
      <c r="F3649">
        <v>14</v>
      </c>
      <c r="G3649">
        <v>2025</v>
      </c>
    </row>
    <row r="3650" spans="1:7" hidden="1" x14ac:dyDescent="0.2">
      <c r="A3650" t="s">
        <v>18</v>
      </c>
      <c r="B3650" t="s">
        <v>20</v>
      </c>
      <c r="C3650">
        <v>17</v>
      </c>
      <c r="D3650" t="s">
        <v>130</v>
      </c>
      <c r="E3650" t="s">
        <v>307</v>
      </c>
      <c r="F3650">
        <v>6</v>
      </c>
      <c r="G3650">
        <v>2025</v>
      </c>
    </row>
    <row r="3651" spans="1:7" hidden="1" x14ac:dyDescent="0.2">
      <c r="A3651" t="s">
        <v>18</v>
      </c>
      <c r="B3651" t="s">
        <v>20</v>
      </c>
      <c r="C3651">
        <v>17</v>
      </c>
      <c r="D3651" t="s">
        <v>294</v>
      </c>
      <c r="E3651" t="s">
        <v>303</v>
      </c>
      <c r="F3651">
        <v>4.9000000000000004</v>
      </c>
      <c r="G3651">
        <v>2025</v>
      </c>
    </row>
    <row r="3652" spans="1:7" hidden="1" x14ac:dyDescent="0.2">
      <c r="A3652" t="s">
        <v>35</v>
      </c>
      <c r="B3652" t="s">
        <v>49</v>
      </c>
      <c r="C3652">
        <v>17</v>
      </c>
      <c r="D3652" t="s">
        <v>125</v>
      </c>
      <c r="E3652" t="s">
        <v>168</v>
      </c>
      <c r="F3652">
        <v>8.9</v>
      </c>
      <c r="G3652">
        <v>2025</v>
      </c>
    </row>
    <row r="3653" spans="1:7" hidden="1" x14ac:dyDescent="0.2">
      <c r="A3653" t="s">
        <v>35</v>
      </c>
      <c r="B3653" t="s">
        <v>49</v>
      </c>
      <c r="C3653">
        <v>17</v>
      </c>
      <c r="D3653" t="s">
        <v>128</v>
      </c>
      <c r="E3653" t="s">
        <v>160</v>
      </c>
      <c r="F3653">
        <v>9.8000000000000007</v>
      </c>
      <c r="G3653">
        <v>2025</v>
      </c>
    </row>
    <row r="3654" spans="1:7" hidden="1" x14ac:dyDescent="0.2">
      <c r="A3654" t="s">
        <v>35</v>
      </c>
      <c r="B3654" t="s">
        <v>49</v>
      </c>
      <c r="C3654">
        <v>17</v>
      </c>
      <c r="D3654" t="s">
        <v>128</v>
      </c>
      <c r="E3654" t="s">
        <v>205</v>
      </c>
      <c r="F3654">
        <v>3.5</v>
      </c>
      <c r="G3654">
        <v>2025</v>
      </c>
    </row>
    <row r="3655" spans="1:7" hidden="1" x14ac:dyDescent="0.2">
      <c r="A3655" t="s">
        <v>35</v>
      </c>
      <c r="B3655" t="s">
        <v>49</v>
      </c>
      <c r="C3655">
        <v>17</v>
      </c>
      <c r="D3655" t="s">
        <v>128</v>
      </c>
      <c r="E3655" t="s">
        <v>152</v>
      </c>
      <c r="F3655">
        <v>10.6</v>
      </c>
      <c r="G3655">
        <v>2025</v>
      </c>
    </row>
    <row r="3656" spans="1:7" hidden="1" x14ac:dyDescent="0.2">
      <c r="A3656" t="s">
        <v>35</v>
      </c>
      <c r="B3656" t="s">
        <v>49</v>
      </c>
      <c r="C3656">
        <v>17</v>
      </c>
      <c r="D3656" t="s">
        <v>127</v>
      </c>
      <c r="E3656" t="s">
        <v>256</v>
      </c>
      <c r="F3656">
        <v>14.5</v>
      </c>
      <c r="G3656">
        <v>2025</v>
      </c>
    </row>
    <row r="3657" spans="1:7" hidden="1" x14ac:dyDescent="0.2">
      <c r="A3657" t="s">
        <v>35</v>
      </c>
      <c r="B3657" t="s">
        <v>49</v>
      </c>
      <c r="C3657">
        <v>17</v>
      </c>
      <c r="D3657" t="s">
        <v>127</v>
      </c>
      <c r="E3657" t="s">
        <v>534</v>
      </c>
      <c r="F3657">
        <v>16.100000000000001</v>
      </c>
      <c r="G3657">
        <v>2025</v>
      </c>
    </row>
    <row r="3658" spans="1:7" hidden="1" x14ac:dyDescent="0.2">
      <c r="A3658" t="s">
        <v>35</v>
      </c>
      <c r="B3658" t="s">
        <v>49</v>
      </c>
      <c r="C3658">
        <v>17</v>
      </c>
      <c r="D3658" t="s">
        <v>129</v>
      </c>
      <c r="E3658" t="s">
        <v>137</v>
      </c>
      <c r="F3658">
        <v>18.600000000000001</v>
      </c>
      <c r="G3658">
        <v>2025</v>
      </c>
    </row>
    <row r="3659" spans="1:7" hidden="1" x14ac:dyDescent="0.2">
      <c r="A3659" t="s">
        <v>35</v>
      </c>
      <c r="B3659" t="s">
        <v>49</v>
      </c>
      <c r="C3659">
        <v>17</v>
      </c>
      <c r="D3659" t="s">
        <v>131</v>
      </c>
      <c r="E3659" t="s">
        <v>195</v>
      </c>
      <c r="F3659">
        <v>10</v>
      </c>
      <c r="G3659">
        <v>2025</v>
      </c>
    </row>
    <row r="3660" spans="1:7" hidden="1" x14ac:dyDescent="0.2">
      <c r="A3660" t="s">
        <v>35</v>
      </c>
      <c r="B3660" t="s">
        <v>49</v>
      </c>
      <c r="C3660">
        <v>17</v>
      </c>
      <c r="D3660" t="s">
        <v>130</v>
      </c>
      <c r="E3660" t="s">
        <v>323</v>
      </c>
      <c r="F3660">
        <v>8</v>
      </c>
      <c r="G3660">
        <v>2025</v>
      </c>
    </row>
    <row r="3661" spans="1:7" hidden="1" x14ac:dyDescent="0.2">
      <c r="A3661" t="s">
        <v>35</v>
      </c>
      <c r="B3661" t="s">
        <v>49</v>
      </c>
      <c r="C3661">
        <v>17</v>
      </c>
      <c r="D3661" t="s">
        <v>294</v>
      </c>
      <c r="E3661" t="s">
        <v>188</v>
      </c>
      <c r="F3661">
        <v>0.9</v>
      </c>
      <c r="G3661">
        <v>2025</v>
      </c>
    </row>
    <row r="3662" spans="1:7" hidden="1" x14ac:dyDescent="0.2">
      <c r="A3662" t="s">
        <v>524</v>
      </c>
      <c r="B3662" t="s">
        <v>21</v>
      </c>
      <c r="C3662">
        <v>17</v>
      </c>
      <c r="D3662" t="s">
        <v>125</v>
      </c>
      <c r="E3662" t="s">
        <v>212</v>
      </c>
      <c r="F3662">
        <v>23.18</v>
      </c>
      <c r="G3662">
        <v>2025</v>
      </c>
    </row>
    <row r="3663" spans="1:7" hidden="1" x14ac:dyDescent="0.2">
      <c r="A3663" t="s">
        <v>524</v>
      </c>
      <c r="B3663" t="s">
        <v>21</v>
      </c>
      <c r="C3663">
        <v>17</v>
      </c>
      <c r="D3663" t="s">
        <v>128</v>
      </c>
      <c r="E3663" t="s">
        <v>177</v>
      </c>
      <c r="F3663">
        <v>7.1</v>
      </c>
      <c r="G3663">
        <v>2025</v>
      </c>
    </row>
    <row r="3664" spans="1:7" hidden="1" x14ac:dyDescent="0.2">
      <c r="A3664" t="s">
        <v>524</v>
      </c>
      <c r="B3664" t="s">
        <v>21</v>
      </c>
      <c r="C3664">
        <v>17</v>
      </c>
      <c r="D3664" t="s">
        <v>128</v>
      </c>
      <c r="E3664" t="s">
        <v>222</v>
      </c>
      <c r="F3664">
        <v>4.7</v>
      </c>
      <c r="G3664">
        <v>2025</v>
      </c>
    </row>
    <row r="3665" spans="1:7" hidden="1" x14ac:dyDescent="0.2">
      <c r="A3665" t="s">
        <v>524</v>
      </c>
      <c r="B3665" t="s">
        <v>21</v>
      </c>
      <c r="C3665">
        <v>17</v>
      </c>
      <c r="D3665" t="s">
        <v>128</v>
      </c>
      <c r="E3665" t="s">
        <v>552</v>
      </c>
      <c r="F3665">
        <v>3.7</v>
      </c>
      <c r="G3665">
        <v>2025</v>
      </c>
    </row>
    <row r="3666" spans="1:7" hidden="1" x14ac:dyDescent="0.2">
      <c r="A3666" t="s">
        <v>524</v>
      </c>
      <c r="B3666" t="s">
        <v>21</v>
      </c>
      <c r="C3666">
        <v>17</v>
      </c>
      <c r="D3666" t="s">
        <v>127</v>
      </c>
      <c r="E3666" t="s">
        <v>216</v>
      </c>
      <c r="F3666">
        <v>6.8</v>
      </c>
      <c r="G3666">
        <v>2025</v>
      </c>
    </row>
    <row r="3667" spans="1:7" hidden="1" x14ac:dyDescent="0.2">
      <c r="A3667" t="s">
        <v>524</v>
      </c>
      <c r="B3667" t="s">
        <v>21</v>
      </c>
      <c r="C3667">
        <v>17</v>
      </c>
      <c r="D3667" t="s">
        <v>127</v>
      </c>
      <c r="E3667" t="s">
        <v>529</v>
      </c>
      <c r="F3667">
        <v>16</v>
      </c>
      <c r="G3667">
        <v>2025</v>
      </c>
    </row>
    <row r="3668" spans="1:7" hidden="1" x14ac:dyDescent="0.2">
      <c r="A3668" t="s">
        <v>524</v>
      </c>
      <c r="B3668" t="s">
        <v>21</v>
      </c>
      <c r="C3668">
        <v>17</v>
      </c>
      <c r="D3668" t="s">
        <v>129</v>
      </c>
      <c r="E3668" t="s">
        <v>249</v>
      </c>
      <c r="F3668">
        <v>6.1</v>
      </c>
      <c r="G3668">
        <v>2025</v>
      </c>
    </row>
    <row r="3669" spans="1:7" hidden="1" x14ac:dyDescent="0.2">
      <c r="A3669" t="s">
        <v>524</v>
      </c>
      <c r="B3669" t="s">
        <v>21</v>
      </c>
      <c r="C3669">
        <v>17</v>
      </c>
      <c r="D3669" t="s">
        <v>131</v>
      </c>
      <c r="E3669" t="s">
        <v>350</v>
      </c>
      <c r="F3669">
        <v>1</v>
      </c>
      <c r="G3669">
        <v>2025</v>
      </c>
    </row>
    <row r="3670" spans="1:7" hidden="1" x14ac:dyDescent="0.2">
      <c r="A3670" t="s">
        <v>524</v>
      </c>
      <c r="B3670" t="s">
        <v>21</v>
      </c>
      <c r="C3670">
        <v>17</v>
      </c>
      <c r="D3670" t="s">
        <v>130</v>
      </c>
      <c r="E3670" t="s">
        <v>167</v>
      </c>
      <c r="F3670">
        <v>22</v>
      </c>
      <c r="G3670">
        <v>2025</v>
      </c>
    </row>
    <row r="3671" spans="1:7" hidden="1" x14ac:dyDescent="0.2">
      <c r="A3671" t="s">
        <v>524</v>
      </c>
      <c r="B3671" t="s">
        <v>21</v>
      </c>
      <c r="C3671">
        <v>17</v>
      </c>
      <c r="D3671" t="s">
        <v>293</v>
      </c>
      <c r="E3671" t="s">
        <v>348</v>
      </c>
      <c r="F3671">
        <v>6.2</v>
      </c>
      <c r="G3671">
        <v>2025</v>
      </c>
    </row>
    <row r="3672" spans="1:7" hidden="1" x14ac:dyDescent="0.2">
      <c r="A3672" t="s">
        <v>31</v>
      </c>
      <c r="B3672" t="s">
        <v>33</v>
      </c>
      <c r="C3672">
        <v>17</v>
      </c>
      <c r="D3672" t="s">
        <v>125</v>
      </c>
      <c r="E3672" t="s">
        <v>592</v>
      </c>
      <c r="F3672">
        <v>21.92</v>
      </c>
      <c r="G3672">
        <v>2025</v>
      </c>
    </row>
    <row r="3673" spans="1:7" hidden="1" x14ac:dyDescent="0.2">
      <c r="A3673" t="s">
        <v>31</v>
      </c>
      <c r="B3673" t="s">
        <v>33</v>
      </c>
      <c r="C3673">
        <v>17</v>
      </c>
      <c r="D3673" t="s">
        <v>128</v>
      </c>
      <c r="E3673" t="s">
        <v>292</v>
      </c>
      <c r="F3673">
        <v>11.2</v>
      </c>
      <c r="G3673">
        <v>2025</v>
      </c>
    </row>
    <row r="3674" spans="1:7" hidden="1" x14ac:dyDescent="0.2">
      <c r="A3674" t="s">
        <v>31</v>
      </c>
      <c r="B3674" t="s">
        <v>33</v>
      </c>
      <c r="C3674">
        <v>17</v>
      </c>
      <c r="D3674" t="s">
        <v>128</v>
      </c>
      <c r="E3674" t="s">
        <v>593</v>
      </c>
      <c r="F3674">
        <v>2.6</v>
      </c>
      <c r="G3674">
        <v>2025</v>
      </c>
    </row>
    <row r="3675" spans="1:7" hidden="1" x14ac:dyDescent="0.2">
      <c r="A3675" t="s">
        <v>31</v>
      </c>
      <c r="B3675" t="s">
        <v>33</v>
      </c>
      <c r="C3675">
        <v>17</v>
      </c>
      <c r="D3675" t="s">
        <v>128</v>
      </c>
      <c r="E3675" t="s">
        <v>390</v>
      </c>
      <c r="F3675">
        <v>0</v>
      </c>
      <c r="G3675">
        <v>2025</v>
      </c>
    </row>
    <row r="3676" spans="1:7" hidden="1" x14ac:dyDescent="0.2">
      <c r="A3676" t="s">
        <v>31</v>
      </c>
      <c r="B3676" t="s">
        <v>33</v>
      </c>
      <c r="C3676">
        <v>17</v>
      </c>
      <c r="D3676" t="s">
        <v>127</v>
      </c>
      <c r="E3676" t="s">
        <v>174</v>
      </c>
      <c r="F3676">
        <v>37.4</v>
      </c>
      <c r="G3676">
        <v>2025</v>
      </c>
    </row>
    <row r="3677" spans="1:7" hidden="1" x14ac:dyDescent="0.2">
      <c r="A3677" t="s">
        <v>31</v>
      </c>
      <c r="B3677" t="s">
        <v>33</v>
      </c>
      <c r="C3677">
        <v>17</v>
      </c>
      <c r="D3677" t="s">
        <v>127</v>
      </c>
      <c r="E3677" t="s">
        <v>318</v>
      </c>
      <c r="F3677">
        <v>7.8</v>
      </c>
      <c r="G3677">
        <v>2025</v>
      </c>
    </row>
    <row r="3678" spans="1:7" hidden="1" x14ac:dyDescent="0.2">
      <c r="A3678" t="s">
        <v>31</v>
      </c>
      <c r="B3678" t="s">
        <v>33</v>
      </c>
      <c r="C3678">
        <v>17</v>
      </c>
      <c r="D3678" t="s">
        <v>129</v>
      </c>
      <c r="E3678" t="s">
        <v>536</v>
      </c>
      <c r="F3678">
        <v>11.5</v>
      </c>
      <c r="G3678">
        <v>2025</v>
      </c>
    </row>
    <row r="3679" spans="1:7" hidden="1" x14ac:dyDescent="0.2">
      <c r="A3679" t="s">
        <v>31</v>
      </c>
      <c r="B3679" t="s">
        <v>33</v>
      </c>
      <c r="C3679">
        <v>17</v>
      </c>
      <c r="D3679" t="s">
        <v>131</v>
      </c>
      <c r="E3679" t="s">
        <v>183</v>
      </c>
      <c r="F3679">
        <v>7</v>
      </c>
      <c r="G3679">
        <v>2025</v>
      </c>
    </row>
    <row r="3680" spans="1:7" hidden="1" x14ac:dyDescent="0.2">
      <c r="A3680" t="s">
        <v>31</v>
      </c>
      <c r="B3680" t="s">
        <v>33</v>
      </c>
      <c r="C3680">
        <v>17</v>
      </c>
      <c r="D3680" t="s">
        <v>130</v>
      </c>
      <c r="E3680" t="s">
        <v>215</v>
      </c>
      <c r="F3680">
        <v>-5</v>
      </c>
      <c r="G3680">
        <v>2025</v>
      </c>
    </row>
    <row r="3681" spans="1:7" hidden="1" x14ac:dyDescent="0.2">
      <c r="A3681" t="s">
        <v>31</v>
      </c>
      <c r="B3681" t="s">
        <v>33</v>
      </c>
      <c r="C3681">
        <v>17</v>
      </c>
      <c r="D3681" t="s">
        <v>294</v>
      </c>
      <c r="E3681" t="s">
        <v>219</v>
      </c>
      <c r="F3681">
        <v>0</v>
      </c>
      <c r="G3681">
        <v>2025</v>
      </c>
    </row>
  </sheetData>
  <autoFilter ref="A1:G3681" xr:uid="{00000000-0009-0000-0000-000012000000}">
    <filterColumn colId="1">
      <filters>
        <filter val="Tommy"/>
      </filters>
    </filterColumn>
    <filterColumn colId="3">
      <filters>
        <filter val="DEF"/>
      </filters>
    </filterColumn>
    <filterColumn colId="6">
      <filters>
        <filter val="2025"/>
      </filters>
    </filterColumn>
    <sortState xmlns:xlrd2="http://schemas.microsoft.com/office/spreadsheetml/2017/richdata2" ref="A2:G1655">
      <sortCondition ref="C1:C1765"/>
    </sortState>
  </autoFilter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B3C0-AE0C-B148-BFA1-4FD167A6E018}">
  <dimension ref="A6:L80"/>
  <sheetViews>
    <sheetView topLeftCell="A51" zoomScale="110" zoomScaleNormal="110" zoomScalePageLayoutView="90" workbookViewId="0">
      <selection activeCell="J76" sqref="J76"/>
    </sheetView>
  </sheetViews>
  <sheetFormatPr baseColWidth="10" defaultRowHeight="16" x14ac:dyDescent="0.2"/>
  <cols>
    <col min="2" max="2" width="26.6640625" customWidth="1"/>
    <col min="10" max="10" width="12" customWidth="1"/>
    <col min="11" max="11" width="10.5" customWidth="1"/>
  </cols>
  <sheetData>
    <row r="6" spans="2:11" x14ac:dyDescent="0.2">
      <c r="B6" t="s">
        <v>78</v>
      </c>
      <c r="C6" s="9" t="s">
        <v>130</v>
      </c>
      <c r="D6" s="9" t="s">
        <v>131</v>
      </c>
      <c r="E6" s="9" t="s">
        <v>125</v>
      </c>
      <c r="F6" s="9" t="s">
        <v>127</v>
      </c>
      <c r="G6" s="9" t="s">
        <v>129</v>
      </c>
      <c r="H6" s="9" t="s">
        <v>128</v>
      </c>
      <c r="I6" s="11" t="s">
        <v>6</v>
      </c>
      <c r="J6" s="11" t="s">
        <v>267</v>
      </c>
    </row>
    <row r="7" spans="2:11" x14ac:dyDescent="0.2">
      <c r="B7" s="7" t="s">
        <v>521</v>
      </c>
      <c r="C7" s="8">
        <v>101</v>
      </c>
      <c r="D7" s="8">
        <v>127</v>
      </c>
      <c r="E7" s="8">
        <v>273.14</v>
      </c>
      <c r="F7" s="8">
        <v>484.00000000000011</v>
      </c>
      <c r="G7" s="8">
        <v>104</v>
      </c>
      <c r="H7" s="8">
        <v>514.40000000000009</v>
      </c>
      <c r="I7" s="4">
        <f>SUM(C7:H7)</f>
        <v>1603.5400000000002</v>
      </c>
      <c r="J7" s="4">
        <f>I7/$L$21</f>
        <v>114.53857142857144</v>
      </c>
      <c r="K7" s="4">
        <f>J7-$I$20</f>
        <v>7.7853571428571655</v>
      </c>
    </row>
    <row r="8" spans="2:11" x14ac:dyDescent="0.2">
      <c r="B8" s="7" t="s">
        <v>524</v>
      </c>
      <c r="C8" s="8">
        <v>101</v>
      </c>
      <c r="D8" s="8">
        <v>118</v>
      </c>
      <c r="E8" s="8">
        <v>349.98</v>
      </c>
      <c r="F8" s="8">
        <v>375.31999999999994</v>
      </c>
      <c r="G8" s="8">
        <v>149</v>
      </c>
      <c r="H8" s="8">
        <v>444.30000000000007</v>
      </c>
      <c r="I8" s="4">
        <f t="shared" ref="I8:I20" si="0">SUM(C8:H8)</f>
        <v>1537.6</v>
      </c>
      <c r="J8" s="4">
        <f t="shared" ref="J8:J18" si="1">I8/$L$21</f>
        <v>109.82857142857142</v>
      </c>
      <c r="K8" s="4">
        <f t="shared" ref="K8:K18" si="2">J8-$I$20</f>
        <v>3.0753571428571433</v>
      </c>
    </row>
    <row r="9" spans="2:11" x14ac:dyDescent="0.2">
      <c r="B9" s="7" t="s">
        <v>14</v>
      </c>
      <c r="C9" s="8">
        <v>85</v>
      </c>
      <c r="D9" s="8">
        <v>113</v>
      </c>
      <c r="E9" s="8">
        <v>246.68</v>
      </c>
      <c r="F9" s="8">
        <v>384.60000000000008</v>
      </c>
      <c r="G9" s="8">
        <v>177.09999999999997</v>
      </c>
      <c r="H9" s="8">
        <v>449.40000000000009</v>
      </c>
      <c r="I9" s="4">
        <f t="shared" si="0"/>
        <v>1455.7800000000002</v>
      </c>
      <c r="J9" s="4">
        <f t="shared" si="1"/>
        <v>103.98428571428573</v>
      </c>
      <c r="K9" s="4">
        <f t="shared" si="2"/>
        <v>-2.7689285714285461</v>
      </c>
    </row>
    <row r="10" spans="2:11" x14ac:dyDescent="0.2">
      <c r="B10" s="7" t="s">
        <v>18</v>
      </c>
      <c r="C10" s="8">
        <v>103</v>
      </c>
      <c r="D10" s="8">
        <v>137</v>
      </c>
      <c r="E10" s="8">
        <v>227.95999999999998</v>
      </c>
      <c r="F10" s="8">
        <v>456.4</v>
      </c>
      <c r="G10" s="8">
        <v>131.20000000000002</v>
      </c>
      <c r="H10" s="8">
        <v>586.1</v>
      </c>
      <c r="I10" s="4">
        <f t="shared" si="0"/>
        <v>1641.6599999999999</v>
      </c>
      <c r="J10" s="4">
        <f t="shared" si="1"/>
        <v>117.26142857142857</v>
      </c>
      <c r="K10" s="4">
        <f t="shared" si="2"/>
        <v>10.508214285714288</v>
      </c>
    </row>
    <row r="11" spans="2:11" x14ac:dyDescent="0.2">
      <c r="B11" s="7" t="s">
        <v>77</v>
      </c>
      <c r="C11" s="8">
        <v>92</v>
      </c>
      <c r="D11" s="8">
        <v>91</v>
      </c>
      <c r="E11" s="8">
        <v>200.2</v>
      </c>
      <c r="F11" s="8">
        <v>336.8</v>
      </c>
      <c r="G11" s="8">
        <v>126</v>
      </c>
      <c r="H11" s="8">
        <v>526.9</v>
      </c>
      <c r="I11" s="4">
        <f t="shared" si="0"/>
        <v>1372.9</v>
      </c>
      <c r="J11" s="4">
        <f t="shared" si="1"/>
        <v>98.064285714285717</v>
      </c>
      <c r="K11" s="4">
        <f t="shared" si="2"/>
        <v>-8.688928571428562</v>
      </c>
    </row>
    <row r="12" spans="2:11" x14ac:dyDescent="0.2">
      <c r="B12" s="7" t="s">
        <v>35</v>
      </c>
      <c r="C12" s="8">
        <v>91</v>
      </c>
      <c r="D12" s="8">
        <v>118</v>
      </c>
      <c r="E12" s="8">
        <v>272.7</v>
      </c>
      <c r="F12" s="8">
        <v>320.69999999999993</v>
      </c>
      <c r="G12" s="8">
        <v>194.2</v>
      </c>
      <c r="H12" s="8">
        <v>632.79999999999984</v>
      </c>
      <c r="I12" s="4">
        <f t="shared" si="0"/>
        <v>1629.3999999999996</v>
      </c>
      <c r="J12" s="4">
        <f t="shared" si="1"/>
        <v>116.38571428571426</v>
      </c>
      <c r="K12" s="4">
        <f t="shared" si="2"/>
        <v>9.632499999999979</v>
      </c>
    </row>
    <row r="13" spans="2:11" x14ac:dyDescent="0.2">
      <c r="B13" s="7" t="s">
        <v>31</v>
      </c>
      <c r="C13" s="8">
        <v>113</v>
      </c>
      <c r="D13" s="8">
        <v>119</v>
      </c>
      <c r="E13" s="8">
        <v>214.12</v>
      </c>
      <c r="F13" s="8">
        <v>484.89999999999992</v>
      </c>
      <c r="G13" s="8">
        <v>137.79999999999998</v>
      </c>
      <c r="H13" s="8">
        <v>337.60000000000008</v>
      </c>
      <c r="I13" s="4">
        <f t="shared" si="0"/>
        <v>1406.42</v>
      </c>
      <c r="J13" s="4">
        <f t="shared" si="1"/>
        <v>100.45857142857143</v>
      </c>
      <c r="K13" s="4">
        <f t="shared" si="2"/>
        <v>-6.294642857142847</v>
      </c>
    </row>
    <row r="14" spans="2:11" x14ac:dyDescent="0.2">
      <c r="B14" s="7" t="s">
        <v>526</v>
      </c>
      <c r="C14" s="8">
        <v>77</v>
      </c>
      <c r="D14" s="8">
        <v>136</v>
      </c>
      <c r="E14" s="8">
        <v>281.45999999999998</v>
      </c>
      <c r="F14" s="8">
        <v>442.76000000000005</v>
      </c>
      <c r="G14" s="8">
        <v>68.099999999999994</v>
      </c>
      <c r="H14" s="8">
        <v>376.7999999999999</v>
      </c>
      <c r="I14" s="4">
        <f t="shared" si="0"/>
        <v>1382.12</v>
      </c>
      <c r="J14" s="4">
        <f t="shared" si="1"/>
        <v>98.722857142857137</v>
      </c>
      <c r="K14" s="4">
        <f t="shared" si="2"/>
        <v>-8.0303571428571416</v>
      </c>
    </row>
    <row r="15" spans="2:11" x14ac:dyDescent="0.2">
      <c r="B15" s="7" t="s">
        <v>42</v>
      </c>
      <c r="C15" s="8">
        <v>96</v>
      </c>
      <c r="D15" s="8">
        <v>115</v>
      </c>
      <c r="E15" s="8">
        <v>256.96000000000004</v>
      </c>
      <c r="F15" s="8">
        <v>365.99999999999994</v>
      </c>
      <c r="G15" s="8">
        <v>103.7</v>
      </c>
      <c r="H15" s="8">
        <v>498.29999999999995</v>
      </c>
      <c r="I15" s="4">
        <f t="shared" si="0"/>
        <v>1435.96</v>
      </c>
      <c r="J15" s="4">
        <f t="shared" si="1"/>
        <v>102.56857142857143</v>
      </c>
      <c r="K15" s="4">
        <f t="shared" si="2"/>
        <v>-4.1846428571428476</v>
      </c>
    </row>
    <row r="16" spans="2:11" x14ac:dyDescent="0.2">
      <c r="B16" s="7" t="s">
        <v>26</v>
      </c>
      <c r="C16" s="8">
        <v>90</v>
      </c>
      <c r="D16" s="8">
        <v>100</v>
      </c>
      <c r="E16" s="8">
        <v>247.96</v>
      </c>
      <c r="F16" s="8">
        <v>343.99999999999994</v>
      </c>
      <c r="G16" s="8">
        <v>93.399999999999991</v>
      </c>
      <c r="H16" s="8">
        <v>490.10000000000025</v>
      </c>
      <c r="I16" s="4">
        <f t="shared" si="0"/>
        <v>1365.4600000000003</v>
      </c>
      <c r="J16" s="4">
        <f t="shared" si="1"/>
        <v>97.532857142857168</v>
      </c>
      <c r="K16" s="4">
        <f t="shared" si="2"/>
        <v>-9.2203571428571109</v>
      </c>
    </row>
    <row r="17" spans="2:12" x14ac:dyDescent="0.2">
      <c r="B17" s="7" t="s">
        <v>46</v>
      </c>
      <c r="C17" s="8">
        <v>122</v>
      </c>
      <c r="D17" s="8">
        <v>115</v>
      </c>
      <c r="E17" s="8">
        <v>218.94</v>
      </c>
      <c r="F17" s="8">
        <v>495.20000000000005</v>
      </c>
      <c r="G17" s="8">
        <v>145.5</v>
      </c>
      <c r="H17" s="8">
        <v>398.59999999999997</v>
      </c>
      <c r="I17" s="4">
        <f t="shared" si="0"/>
        <v>1495.24</v>
      </c>
      <c r="J17" s="4">
        <f t="shared" si="1"/>
        <v>106.80285714285715</v>
      </c>
      <c r="K17" s="4">
        <f t="shared" si="2"/>
        <v>4.9642857142870866E-2</v>
      </c>
    </row>
    <row r="18" spans="2:12" x14ac:dyDescent="0.2">
      <c r="B18" s="7" t="s">
        <v>525</v>
      </c>
      <c r="C18" s="8">
        <v>184</v>
      </c>
      <c r="D18" s="8">
        <v>135</v>
      </c>
      <c r="E18" s="8">
        <v>249.76</v>
      </c>
      <c r="F18" s="8">
        <v>403</v>
      </c>
      <c r="G18" s="8">
        <v>126.9</v>
      </c>
      <c r="H18" s="8">
        <v>509.79999999999995</v>
      </c>
      <c r="I18" s="4">
        <f t="shared" si="0"/>
        <v>1608.46</v>
      </c>
      <c r="J18" s="4">
        <f t="shared" si="1"/>
        <v>114.89</v>
      </c>
      <c r="K18" s="4">
        <f t="shared" si="2"/>
        <v>8.1367857142857218</v>
      </c>
    </row>
    <row r="19" spans="2:12" x14ac:dyDescent="0.2">
      <c r="B19" s="21" t="s">
        <v>267</v>
      </c>
      <c r="C19" s="22">
        <f t="shared" ref="C19:H19" si="3">AVERAGE(C7:C18)</f>
        <v>104.58333333333333</v>
      </c>
      <c r="D19" s="22">
        <f t="shared" si="3"/>
        <v>118.66666666666667</v>
      </c>
      <c r="E19" s="22">
        <f t="shared" si="3"/>
        <v>253.32166666666672</v>
      </c>
      <c r="F19" s="22">
        <f t="shared" si="3"/>
        <v>407.80666666666667</v>
      </c>
      <c r="G19" s="22">
        <f t="shared" si="3"/>
        <v>129.74166666666667</v>
      </c>
      <c r="H19" s="23">
        <f t="shared" si="3"/>
        <v>480.42500000000001</v>
      </c>
      <c r="I19" s="4">
        <f t="shared" si="0"/>
        <v>1494.5450000000001</v>
      </c>
      <c r="J19" s="4"/>
    </row>
    <row r="20" spans="2:12" x14ac:dyDescent="0.2">
      <c r="B20" s="24" t="s">
        <v>333</v>
      </c>
      <c r="C20" s="25">
        <f t="shared" ref="C20:H20" si="4">C19/$L$21</f>
        <v>7.4702380952380949</v>
      </c>
      <c r="D20" s="25">
        <f t="shared" si="4"/>
        <v>8.4761904761904763</v>
      </c>
      <c r="E20" s="25">
        <f t="shared" si="4"/>
        <v>18.094404761904766</v>
      </c>
      <c r="F20" s="25">
        <f t="shared" si="4"/>
        <v>29.129047619047618</v>
      </c>
      <c r="G20" s="25">
        <f t="shared" si="4"/>
        <v>9.2672619047619058</v>
      </c>
      <c r="H20" s="26">
        <f t="shared" si="4"/>
        <v>34.316071428571426</v>
      </c>
      <c r="I20" s="4">
        <f t="shared" si="0"/>
        <v>106.75321428571428</v>
      </c>
    </row>
    <row r="21" spans="2:12" x14ac:dyDescent="0.2">
      <c r="K21" t="s">
        <v>269</v>
      </c>
      <c r="L21">
        <v>14</v>
      </c>
    </row>
    <row r="22" spans="2:12" x14ac:dyDescent="0.2">
      <c r="B22" s="6" t="s">
        <v>268</v>
      </c>
      <c r="C22" s="9" t="s">
        <v>130</v>
      </c>
      <c r="D22" s="9" t="s">
        <v>131</v>
      </c>
      <c r="E22" s="9" t="s">
        <v>125</v>
      </c>
      <c r="F22" s="9" t="s">
        <v>127</v>
      </c>
      <c r="G22" s="9" t="s">
        <v>129</v>
      </c>
      <c r="H22" s="9" t="s">
        <v>128</v>
      </c>
    </row>
    <row r="23" spans="2:12" x14ac:dyDescent="0.2">
      <c r="B23" s="7" t="s">
        <v>521</v>
      </c>
      <c r="C23" s="10">
        <f>C7-$C$19</f>
        <v>-3.5833333333333286</v>
      </c>
      <c r="D23" s="10">
        <f>D7-$D$19</f>
        <v>8.3333333333333286</v>
      </c>
      <c r="E23" s="10">
        <f>E7-E$19</f>
        <v>19.818333333333271</v>
      </c>
      <c r="F23" s="10">
        <f>F7-F$19</f>
        <v>76.193333333333442</v>
      </c>
      <c r="G23" s="10">
        <f>G7-G$19</f>
        <v>-25.741666666666674</v>
      </c>
      <c r="H23" s="10">
        <f>H7-H$19</f>
        <v>33.97500000000008</v>
      </c>
      <c r="I23" t="s">
        <v>674</v>
      </c>
    </row>
    <row r="24" spans="2:12" x14ac:dyDescent="0.2">
      <c r="B24" s="7" t="s">
        <v>524</v>
      </c>
      <c r="C24" s="10">
        <f t="shared" ref="C24:C34" si="5">C8-$C$19</f>
        <v>-3.5833333333333286</v>
      </c>
      <c r="D24" s="10">
        <f t="shared" ref="D24:D34" si="6">D8-$D$19</f>
        <v>-0.6666666666666714</v>
      </c>
      <c r="E24" s="10">
        <f t="shared" ref="E24:H34" si="7">E8-E$19</f>
        <v>96.658333333333303</v>
      </c>
      <c r="F24" s="10">
        <f t="shared" si="7"/>
        <v>-32.486666666666736</v>
      </c>
      <c r="G24" s="10">
        <f t="shared" si="7"/>
        <v>19.258333333333326</v>
      </c>
      <c r="H24" s="10">
        <f t="shared" si="7"/>
        <v>-36.124999999999943</v>
      </c>
      <c r="I24" t="s">
        <v>674</v>
      </c>
    </row>
    <row r="25" spans="2:12" x14ac:dyDescent="0.2">
      <c r="B25" s="7" t="s">
        <v>14</v>
      </c>
      <c r="C25" s="10">
        <f t="shared" si="5"/>
        <v>-19.583333333333329</v>
      </c>
      <c r="D25" s="10">
        <f t="shared" si="6"/>
        <v>-5.6666666666666714</v>
      </c>
      <c r="E25" s="10">
        <f t="shared" si="7"/>
        <v>-6.6416666666667084</v>
      </c>
      <c r="F25" s="10">
        <f t="shared" si="7"/>
        <v>-23.206666666666592</v>
      </c>
      <c r="G25" s="10">
        <f t="shared" si="7"/>
        <v>47.358333333333292</v>
      </c>
      <c r="H25" s="10">
        <f t="shared" si="7"/>
        <v>-31.02499999999992</v>
      </c>
    </row>
    <row r="26" spans="2:12" x14ac:dyDescent="0.2">
      <c r="B26" s="7" t="s">
        <v>18</v>
      </c>
      <c r="C26" s="10">
        <f t="shared" si="5"/>
        <v>-1.5833333333333286</v>
      </c>
      <c r="D26" s="10">
        <f t="shared" si="6"/>
        <v>18.333333333333329</v>
      </c>
      <c r="E26" s="10">
        <f t="shared" si="7"/>
        <v>-25.361666666666736</v>
      </c>
      <c r="F26" s="10">
        <f t="shared" si="7"/>
        <v>48.593333333333305</v>
      </c>
      <c r="G26" s="10">
        <f t="shared" si="7"/>
        <v>1.4583333333333428</v>
      </c>
      <c r="H26" s="10">
        <f t="shared" si="7"/>
        <v>105.67500000000001</v>
      </c>
    </row>
    <row r="27" spans="2:12" x14ac:dyDescent="0.2">
      <c r="B27" s="7" t="s">
        <v>77</v>
      </c>
      <c r="C27" s="10">
        <f t="shared" si="5"/>
        <v>-12.583333333333329</v>
      </c>
      <c r="D27" s="10">
        <f t="shared" si="6"/>
        <v>-27.666666666666671</v>
      </c>
      <c r="E27" s="10">
        <f t="shared" si="7"/>
        <v>-53.121666666666727</v>
      </c>
      <c r="F27" s="10">
        <f t="shared" si="7"/>
        <v>-71.006666666666661</v>
      </c>
      <c r="G27" s="10">
        <f t="shared" si="7"/>
        <v>-3.7416666666666742</v>
      </c>
      <c r="H27" s="10">
        <f t="shared" si="7"/>
        <v>46.474999999999966</v>
      </c>
    </row>
    <row r="28" spans="2:12" x14ac:dyDescent="0.2">
      <c r="B28" s="7" t="s">
        <v>35</v>
      </c>
      <c r="C28" s="10">
        <f t="shared" si="5"/>
        <v>-13.583333333333329</v>
      </c>
      <c r="D28" s="10">
        <f t="shared" si="6"/>
        <v>-0.6666666666666714</v>
      </c>
      <c r="E28" s="10">
        <f t="shared" si="7"/>
        <v>19.378333333333273</v>
      </c>
      <c r="F28" s="10">
        <f t="shared" si="7"/>
        <v>-87.10666666666674</v>
      </c>
      <c r="G28" s="10">
        <f t="shared" si="7"/>
        <v>64.458333333333314</v>
      </c>
      <c r="H28" s="10">
        <f t="shared" si="7"/>
        <v>152.37499999999983</v>
      </c>
      <c r="I28" t="s">
        <v>674</v>
      </c>
    </row>
    <row r="29" spans="2:12" x14ac:dyDescent="0.2">
      <c r="B29" s="7" t="s">
        <v>31</v>
      </c>
      <c r="C29" s="10">
        <f t="shared" si="5"/>
        <v>8.4166666666666714</v>
      </c>
      <c r="D29" s="10">
        <f t="shared" si="6"/>
        <v>0.3333333333333286</v>
      </c>
      <c r="E29" s="10">
        <f t="shared" si="7"/>
        <v>-39.201666666666711</v>
      </c>
      <c r="F29" s="10">
        <f t="shared" si="7"/>
        <v>77.093333333333248</v>
      </c>
      <c r="G29" s="10">
        <f t="shared" si="7"/>
        <v>8.0583333333333087</v>
      </c>
      <c r="H29" s="10">
        <f t="shared" si="7"/>
        <v>-142.82499999999993</v>
      </c>
    </row>
    <row r="30" spans="2:12" x14ac:dyDescent="0.2">
      <c r="B30" s="7" t="s">
        <v>526</v>
      </c>
      <c r="C30" s="10">
        <f t="shared" si="5"/>
        <v>-27.583333333333329</v>
      </c>
      <c r="D30" s="10">
        <f t="shared" si="6"/>
        <v>17.333333333333329</v>
      </c>
      <c r="E30" s="10">
        <f t="shared" si="7"/>
        <v>28.138333333333264</v>
      </c>
      <c r="F30" s="10">
        <f t="shared" si="7"/>
        <v>34.953333333333376</v>
      </c>
      <c r="G30" s="10">
        <f t="shared" si="7"/>
        <v>-61.64166666666668</v>
      </c>
      <c r="H30" s="10">
        <f t="shared" si="7"/>
        <v>-103.62500000000011</v>
      </c>
      <c r="I30" t="s">
        <v>674</v>
      </c>
    </row>
    <row r="31" spans="2:12" x14ac:dyDescent="0.2">
      <c r="B31" s="7" t="s">
        <v>42</v>
      </c>
      <c r="C31" s="10">
        <f t="shared" si="5"/>
        <v>-8.5833333333333286</v>
      </c>
      <c r="D31" s="10">
        <f t="shared" si="6"/>
        <v>-3.6666666666666714</v>
      </c>
      <c r="E31" s="10">
        <f t="shared" si="7"/>
        <v>3.6383333333333212</v>
      </c>
      <c r="F31" s="10">
        <f t="shared" si="7"/>
        <v>-41.806666666666729</v>
      </c>
      <c r="G31" s="10">
        <f t="shared" si="7"/>
        <v>-26.041666666666671</v>
      </c>
      <c r="H31" s="10">
        <f t="shared" si="7"/>
        <v>17.874999999999943</v>
      </c>
      <c r="I31" t="s">
        <v>674</v>
      </c>
    </row>
    <row r="32" spans="2:12" x14ac:dyDescent="0.2">
      <c r="B32" s="7" t="s">
        <v>26</v>
      </c>
      <c r="C32" s="10">
        <f t="shared" si="5"/>
        <v>-14.583333333333329</v>
      </c>
      <c r="D32" s="10">
        <f t="shared" si="6"/>
        <v>-18.666666666666671</v>
      </c>
      <c r="E32" s="10">
        <f t="shared" si="7"/>
        <v>-5.3616666666667072</v>
      </c>
      <c r="F32" s="10">
        <f t="shared" si="7"/>
        <v>-63.806666666666729</v>
      </c>
      <c r="G32" s="10">
        <f t="shared" si="7"/>
        <v>-36.341666666666683</v>
      </c>
      <c r="H32" s="10">
        <f t="shared" si="7"/>
        <v>9.6750000000002387</v>
      </c>
    </row>
    <row r="33" spans="2:11" x14ac:dyDescent="0.2">
      <c r="B33" s="7" t="s">
        <v>46</v>
      </c>
      <c r="C33" s="10">
        <f t="shared" si="5"/>
        <v>17.416666666666671</v>
      </c>
      <c r="D33" s="10">
        <f t="shared" si="6"/>
        <v>-3.6666666666666714</v>
      </c>
      <c r="E33" s="10">
        <f t="shared" si="7"/>
        <v>-34.381666666666717</v>
      </c>
      <c r="F33" s="10">
        <f t="shared" si="7"/>
        <v>87.393333333333374</v>
      </c>
      <c r="G33" s="10">
        <f t="shared" si="7"/>
        <v>15.758333333333326</v>
      </c>
      <c r="H33" s="10">
        <f t="shared" si="7"/>
        <v>-81.825000000000045</v>
      </c>
    </row>
    <row r="34" spans="2:11" x14ac:dyDescent="0.2">
      <c r="B34" s="7" t="s">
        <v>525</v>
      </c>
      <c r="C34" s="10">
        <f t="shared" si="5"/>
        <v>79.416666666666671</v>
      </c>
      <c r="D34" s="10">
        <f t="shared" si="6"/>
        <v>16.333333333333329</v>
      </c>
      <c r="E34" s="10">
        <f t="shared" si="7"/>
        <v>-3.5616666666667243</v>
      </c>
      <c r="F34" s="10">
        <f t="shared" si="7"/>
        <v>-4.806666666666672</v>
      </c>
      <c r="G34" s="10">
        <f t="shared" si="7"/>
        <v>-2.8416666666666686</v>
      </c>
      <c r="H34" s="10">
        <f t="shared" si="7"/>
        <v>29.374999999999943</v>
      </c>
      <c r="I34" t="s">
        <v>674</v>
      </c>
    </row>
    <row r="36" spans="2:11" x14ac:dyDescent="0.2">
      <c r="B36" s="6" t="s">
        <v>268</v>
      </c>
      <c r="C36" s="12" t="s">
        <v>130</v>
      </c>
      <c r="D36" s="13" t="s">
        <v>131</v>
      </c>
      <c r="E36" s="13" t="s">
        <v>125</v>
      </c>
      <c r="F36" s="13" t="s">
        <v>127</v>
      </c>
      <c r="G36" s="13" t="s">
        <v>129</v>
      </c>
      <c r="H36" s="14" t="s">
        <v>128</v>
      </c>
      <c r="I36" s="18" t="s">
        <v>270</v>
      </c>
      <c r="J36" s="11" t="s">
        <v>355</v>
      </c>
      <c r="K36" s="11" t="s">
        <v>356</v>
      </c>
    </row>
    <row r="37" spans="2:11" x14ac:dyDescent="0.2">
      <c r="B37" s="7" t="s">
        <v>521</v>
      </c>
      <c r="C37" s="318">
        <f t="shared" ref="C37:H48" si="8">C23/$L$21</f>
        <v>-0.2559523809523806</v>
      </c>
      <c r="D37" s="42">
        <f t="shared" si="8"/>
        <v>0.5952380952380949</v>
      </c>
      <c r="E37" s="42">
        <f t="shared" si="8"/>
        <v>1.4155952380952337</v>
      </c>
      <c r="F37" s="42">
        <f t="shared" si="8"/>
        <v>5.4423809523809599</v>
      </c>
      <c r="G37" s="42">
        <f t="shared" si="8"/>
        <v>-1.8386904761904768</v>
      </c>
      <c r="H37" s="71">
        <f t="shared" si="8"/>
        <v>2.4267857142857201</v>
      </c>
      <c r="I37" s="19">
        <f>SUM(C37:H37)</f>
        <v>7.7853571428571504</v>
      </c>
      <c r="J37" s="4">
        <f>SUM(E37:H37)</f>
        <v>7.4460714285714369</v>
      </c>
      <c r="K37" s="4">
        <f>SUM(C37:D37)</f>
        <v>0.3392857142857143</v>
      </c>
    </row>
    <row r="38" spans="2:11" x14ac:dyDescent="0.2">
      <c r="B38" s="7" t="s">
        <v>524</v>
      </c>
      <c r="C38" s="318">
        <f t="shared" si="8"/>
        <v>-0.2559523809523806</v>
      </c>
      <c r="D38" s="42">
        <f t="shared" si="8"/>
        <v>-4.7619047619047956E-2</v>
      </c>
      <c r="E38" s="42">
        <f t="shared" si="8"/>
        <v>6.9041666666666641</v>
      </c>
      <c r="F38" s="42">
        <f t="shared" si="8"/>
        <v>-2.3204761904761955</v>
      </c>
      <c r="G38" s="42">
        <f t="shared" si="8"/>
        <v>1.3755952380952376</v>
      </c>
      <c r="H38" s="71">
        <f t="shared" si="8"/>
        <v>-2.5803571428571388</v>
      </c>
      <c r="I38" s="19">
        <f t="shared" ref="I38:I48" si="9">SUM(C38:H38)</f>
        <v>3.0753571428571389</v>
      </c>
      <c r="J38" s="4">
        <f t="shared" ref="J38:J48" si="10">SUM(E38:H38)</f>
        <v>3.3789285714285677</v>
      </c>
      <c r="K38" s="4">
        <f t="shared" ref="K38:K48" si="11">SUM(C38:D38)</f>
        <v>-0.30357142857142855</v>
      </c>
    </row>
    <row r="39" spans="2:11" x14ac:dyDescent="0.2">
      <c r="B39" s="7" t="s">
        <v>14</v>
      </c>
      <c r="C39" s="318">
        <f t="shared" si="8"/>
        <v>-1.3988095238095235</v>
      </c>
      <c r="D39" s="42">
        <f t="shared" si="8"/>
        <v>-0.4047619047619051</v>
      </c>
      <c r="E39" s="42">
        <f t="shared" si="8"/>
        <v>-0.47440476190476488</v>
      </c>
      <c r="F39" s="42">
        <f t="shared" si="8"/>
        <v>-1.6576190476190422</v>
      </c>
      <c r="G39" s="42">
        <f t="shared" si="8"/>
        <v>3.3827380952380923</v>
      </c>
      <c r="H39" s="71">
        <f t="shared" si="8"/>
        <v>-2.2160714285714227</v>
      </c>
      <c r="I39" s="19">
        <f t="shared" si="9"/>
        <v>-2.7689285714285665</v>
      </c>
      <c r="J39" s="4">
        <f t="shared" si="10"/>
        <v>-0.9653571428571377</v>
      </c>
      <c r="K39" s="4">
        <f t="shared" si="11"/>
        <v>-1.8035714285714286</v>
      </c>
    </row>
    <row r="40" spans="2:11" x14ac:dyDescent="0.2">
      <c r="B40" s="7" t="s">
        <v>18</v>
      </c>
      <c r="C40" s="318">
        <f t="shared" si="8"/>
        <v>-0.11309523809523776</v>
      </c>
      <c r="D40" s="42">
        <f t="shared" si="8"/>
        <v>1.3095238095238091</v>
      </c>
      <c r="E40" s="42">
        <f t="shared" si="8"/>
        <v>-1.8115476190476241</v>
      </c>
      <c r="F40" s="42">
        <f t="shared" si="8"/>
        <v>3.470952380952379</v>
      </c>
      <c r="G40" s="42">
        <f t="shared" si="8"/>
        <v>0.10416666666666734</v>
      </c>
      <c r="H40" s="71">
        <f t="shared" si="8"/>
        <v>7.5482142857142867</v>
      </c>
      <c r="I40" s="19">
        <f t="shared" si="9"/>
        <v>10.508214285714281</v>
      </c>
      <c r="J40" s="4">
        <f t="shared" si="10"/>
        <v>9.3117857142857083</v>
      </c>
      <c r="K40" s="4">
        <f t="shared" si="11"/>
        <v>1.1964285714285714</v>
      </c>
    </row>
    <row r="41" spans="2:11" x14ac:dyDescent="0.2">
      <c r="B41" s="7" t="s">
        <v>77</v>
      </c>
      <c r="C41" s="320">
        <f t="shared" si="8"/>
        <v>-0.8988095238095235</v>
      </c>
      <c r="D41" s="321">
        <f t="shared" si="8"/>
        <v>-1.9761904761904765</v>
      </c>
      <c r="E41" s="321">
        <f t="shared" si="8"/>
        <v>-3.7944047619047661</v>
      </c>
      <c r="F41" s="321">
        <f t="shared" si="8"/>
        <v>-5.0719047619047615</v>
      </c>
      <c r="G41" s="321">
        <f t="shared" si="8"/>
        <v>-0.26726190476190531</v>
      </c>
      <c r="H41" s="322">
        <f t="shared" si="8"/>
        <v>3.3196428571428549</v>
      </c>
      <c r="I41" s="338">
        <f t="shared" si="9"/>
        <v>-8.688928571428578</v>
      </c>
      <c r="J41" s="317">
        <f t="shared" si="10"/>
        <v>-5.813928571428578</v>
      </c>
      <c r="K41" s="317">
        <f t="shared" si="11"/>
        <v>-2.875</v>
      </c>
    </row>
    <row r="42" spans="2:11" x14ac:dyDescent="0.2">
      <c r="B42" s="7" t="s">
        <v>35</v>
      </c>
      <c r="C42" s="318">
        <f t="shared" si="8"/>
        <v>-0.9702380952380949</v>
      </c>
      <c r="D42" s="42">
        <f t="shared" si="8"/>
        <v>-4.7619047619047956E-2</v>
      </c>
      <c r="E42" s="42">
        <f t="shared" si="8"/>
        <v>1.3841666666666623</v>
      </c>
      <c r="F42" s="42">
        <f t="shared" si="8"/>
        <v>-6.2219047619047672</v>
      </c>
      <c r="G42" s="42">
        <f t="shared" si="8"/>
        <v>4.6041666666666652</v>
      </c>
      <c r="H42" s="71">
        <f t="shared" si="8"/>
        <v>10.883928571428559</v>
      </c>
      <c r="I42" s="19">
        <f t="shared" si="9"/>
        <v>9.6324999999999754</v>
      </c>
      <c r="J42" s="4">
        <f t="shared" si="10"/>
        <v>10.650357142857118</v>
      </c>
      <c r="K42" s="4">
        <f t="shared" si="11"/>
        <v>-1.0178571428571428</v>
      </c>
    </row>
    <row r="43" spans="2:11" x14ac:dyDescent="0.2">
      <c r="B43" s="315" t="s">
        <v>31</v>
      </c>
      <c r="C43" s="320">
        <f t="shared" si="8"/>
        <v>0.6011904761904765</v>
      </c>
      <c r="D43" s="321">
        <f t="shared" si="8"/>
        <v>2.3809523809523472E-2</v>
      </c>
      <c r="E43" s="321">
        <f t="shared" si="8"/>
        <v>-2.8001190476190509</v>
      </c>
      <c r="F43" s="321">
        <f t="shared" si="8"/>
        <v>5.5066666666666606</v>
      </c>
      <c r="G43" s="321">
        <f t="shared" si="8"/>
        <v>0.57559523809523638</v>
      </c>
      <c r="H43" s="322">
        <f t="shared" si="8"/>
        <v>-10.201785714285709</v>
      </c>
      <c r="I43" s="19">
        <f t="shared" si="9"/>
        <v>-6.294642857142863</v>
      </c>
      <c r="J43" s="4">
        <f t="shared" si="10"/>
        <v>-6.919642857142863</v>
      </c>
      <c r="K43" s="4">
        <f t="shared" si="11"/>
        <v>0.625</v>
      </c>
    </row>
    <row r="44" spans="2:11" x14ac:dyDescent="0.2">
      <c r="B44" s="315" t="s">
        <v>526</v>
      </c>
      <c r="C44" s="320">
        <f t="shared" si="8"/>
        <v>-1.9702380952380949</v>
      </c>
      <c r="D44" s="321">
        <f t="shared" si="8"/>
        <v>1.2380952380952377</v>
      </c>
      <c r="E44" s="321">
        <f t="shared" si="8"/>
        <v>2.0098809523809473</v>
      </c>
      <c r="F44" s="321">
        <f t="shared" si="8"/>
        <v>2.4966666666666697</v>
      </c>
      <c r="G44" s="321">
        <f t="shared" si="8"/>
        <v>-4.402976190476191</v>
      </c>
      <c r="H44" s="322">
        <f t="shared" si="8"/>
        <v>-7.4017857142857224</v>
      </c>
      <c r="I44" s="19">
        <f t="shared" si="9"/>
        <v>-8.0303571428571541</v>
      </c>
      <c r="J44" s="4">
        <f t="shared" si="10"/>
        <v>-7.2982142857142964</v>
      </c>
      <c r="K44" s="4">
        <f t="shared" si="11"/>
        <v>-0.73214285714285721</v>
      </c>
    </row>
    <row r="45" spans="2:11" x14ac:dyDescent="0.2">
      <c r="B45" s="315" t="s">
        <v>42</v>
      </c>
      <c r="C45" s="320">
        <f t="shared" si="8"/>
        <v>-0.6130952380952378</v>
      </c>
      <c r="D45" s="321">
        <f t="shared" si="8"/>
        <v>-0.26190476190476225</v>
      </c>
      <c r="E45" s="321">
        <f t="shared" si="8"/>
        <v>0.25988095238095149</v>
      </c>
      <c r="F45" s="321">
        <f t="shared" si="8"/>
        <v>-2.9861904761904805</v>
      </c>
      <c r="G45" s="321">
        <f t="shared" si="8"/>
        <v>-1.8601190476190479</v>
      </c>
      <c r="H45" s="322">
        <f t="shared" si="8"/>
        <v>1.2767857142857102</v>
      </c>
      <c r="I45" s="19">
        <f t="shared" si="9"/>
        <v>-4.1846428571428671</v>
      </c>
      <c r="J45" s="4">
        <f t="shared" si="10"/>
        <v>-3.3096428571428671</v>
      </c>
      <c r="K45" s="4">
        <f t="shared" si="11"/>
        <v>-0.875</v>
      </c>
    </row>
    <row r="46" spans="2:11" x14ac:dyDescent="0.2">
      <c r="B46" s="7" t="s">
        <v>26</v>
      </c>
      <c r="C46" s="319">
        <f t="shared" si="8"/>
        <v>-1.0416666666666663</v>
      </c>
      <c r="D46" s="214">
        <f t="shared" si="8"/>
        <v>-1.3333333333333337</v>
      </c>
      <c r="E46" s="214">
        <f t="shared" si="8"/>
        <v>-0.38297619047619336</v>
      </c>
      <c r="F46" s="214">
        <f t="shared" si="8"/>
        <v>-4.5576190476190517</v>
      </c>
      <c r="G46" s="214">
        <f t="shared" si="8"/>
        <v>-2.5958333333333345</v>
      </c>
      <c r="H46" s="116">
        <f t="shared" si="8"/>
        <v>0.69107142857144566</v>
      </c>
      <c r="I46" s="19">
        <f t="shared" si="9"/>
        <v>-9.220357142857134</v>
      </c>
      <c r="J46" s="4">
        <f t="shared" si="10"/>
        <v>-6.845357142857134</v>
      </c>
      <c r="K46" s="4">
        <f t="shared" si="11"/>
        <v>-2.375</v>
      </c>
    </row>
    <row r="47" spans="2:11" x14ac:dyDescent="0.2">
      <c r="B47" s="7" t="s">
        <v>46</v>
      </c>
      <c r="C47" s="318">
        <f t="shared" si="8"/>
        <v>1.2440476190476193</v>
      </c>
      <c r="D47" s="42">
        <f t="shared" si="8"/>
        <v>-0.26190476190476225</v>
      </c>
      <c r="E47" s="42">
        <f t="shared" si="8"/>
        <v>-2.4558333333333371</v>
      </c>
      <c r="F47" s="42">
        <f t="shared" si="8"/>
        <v>6.2423809523809553</v>
      </c>
      <c r="G47" s="42">
        <f t="shared" si="8"/>
        <v>1.1255952380952376</v>
      </c>
      <c r="H47" s="71">
        <f t="shared" si="8"/>
        <v>-5.8446428571428601</v>
      </c>
      <c r="I47" s="19">
        <f t="shared" si="9"/>
        <v>4.9642857142852215E-2</v>
      </c>
      <c r="J47" s="4">
        <f t="shared" si="10"/>
        <v>-0.93250000000000455</v>
      </c>
      <c r="K47" s="4">
        <f t="shared" si="11"/>
        <v>0.98214285714285698</v>
      </c>
    </row>
    <row r="48" spans="2:11" x14ac:dyDescent="0.2">
      <c r="B48" s="7" t="s">
        <v>525</v>
      </c>
      <c r="C48" s="340">
        <f t="shared" si="8"/>
        <v>5.6726190476190483</v>
      </c>
      <c r="D48" s="341">
        <f t="shared" si="8"/>
        <v>1.1666666666666663</v>
      </c>
      <c r="E48" s="341">
        <f t="shared" si="8"/>
        <v>-0.25440476190476602</v>
      </c>
      <c r="F48" s="341">
        <f t="shared" si="8"/>
        <v>-0.34333333333333371</v>
      </c>
      <c r="G48" s="341">
        <f t="shared" si="8"/>
        <v>-0.20297619047619062</v>
      </c>
      <c r="H48" s="342">
        <f t="shared" si="8"/>
        <v>2.0982142857142816</v>
      </c>
      <c r="I48" s="20">
        <f t="shared" si="9"/>
        <v>8.1367857142857059</v>
      </c>
      <c r="J48" s="4">
        <f t="shared" si="10"/>
        <v>1.2974999999999912</v>
      </c>
      <c r="K48" s="4">
        <f t="shared" si="11"/>
        <v>6.8392857142857144</v>
      </c>
    </row>
    <row r="50" spans="1:9" x14ac:dyDescent="0.2">
      <c r="C50" s="12" t="s">
        <v>130</v>
      </c>
      <c r="D50" s="13" t="s">
        <v>131</v>
      </c>
      <c r="E50" s="13" t="s">
        <v>125</v>
      </c>
      <c r="F50" s="13" t="s">
        <v>506</v>
      </c>
      <c r="G50" s="13" t="s">
        <v>507</v>
      </c>
      <c r="H50" s="14" t="s">
        <v>508</v>
      </c>
    </row>
    <row r="51" spans="1:9" x14ac:dyDescent="0.2">
      <c r="B51" s="7" t="s">
        <v>521</v>
      </c>
      <c r="C51" s="209">
        <f t="shared" ref="C51:H62" si="12">C7/$L$21</f>
        <v>7.2142857142857144</v>
      </c>
      <c r="D51" s="209">
        <f t="shared" si="12"/>
        <v>9.0714285714285712</v>
      </c>
      <c r="E51" s="209">
        <f t="shared" si="12"/>
        <v>19.509999999999998</v>
      </c>
      <c r="F51" s="209">
        <f t="shared" si="12"/>
        <v>34.571428571428577</v>
      </c>
      <c r="G51" s="209">
        <f t="shared" si="12"/>
        <v>7.4285714285714288</v>
      </c>
      <c r="H51" s="209">
        <f t="shared" si="12"/>
        <v>36.742857142857147</v>
      </c>
    </row>
    <row r="52" spans="1:9" x14ac:dyDescent="0.2">
      <c r="B52" s="7" t="s">
        <v>524</v>
      </c>
      <c r="C52" s="209">
        <f t="shared" si="12"/>
        <v>7.2142857142857144</v>
      </c>
      <c r="D52" s="209">
        <f t="shared" si="12"/>
        <v>8.4285714285714288</v>
      </c>
      <c r="E52" s="209">
        <f t="shared" si="12"/>
        <v>24.998571428571431</v>
      </c>
      <c r="F52" s="209">
        <f t="shared" si="12"/>
        <v>26.808571428571423</v>
      </c>
      <c r="G52" s="209">
        <f t="shared" si="12"/>
        <v>10.642857142857142</v>
      </c>
      <c r="H52" s="209">
        <f t="shared" si="12"/>
        <v>31.735714285714291</v>
      </c>
    </row>
    <row r="53" spans="1:9" x14ac:dyDescent="0.2">
      <c r="B53" s="7" t="s">
        <v>14</v>
      </c>
      <c r="C53" s="316">
        <f t="shared" si="12"/>
        <v>6.0714285714285712</v>
      </c>
      <c r="D53" s="316">
        <f t="shared" si="12"/>
        <v>8.0714285714285712</v>
      </c>
      <c r="E53" s="316">
        <f t="shared" si="12"/>
        <v>17.62</v>
      </c>
      <c r="F53" s="316">
        <f t="shared" si="12"/>
        <v>27.471428571428579</v>
      </c>
      <c r="G53" s="316">
        <f t="shared" si="12"/>
        <v>12.649999999999997</v>
      </c>
      <c r="H53" s="316">
        <f t="shared" si="12"/>
        <v>32.100000000000009</v>
      </c>
    </row>
    <row r="54" spans="1:9" x14ac:dyDescent="0.2">
      <c r="B54" s="7" t="s">
        <v>18</v>
      </c>
      <c r="C54" s="209">
        <f t="shared" si="12"/>
        <v>7.3571428571428568</v>
      </c>
      <c r="D54" s="209">
        <f t="shared" si="12"/>
        <v>9.7857142857142865</v>
      </c>
      <c r="E54" s="209">
        <f t="shared" si="12"/>
        <v>16.282857142857143</v>
      </c>
      <c r="F54" s="209">
        <f t="shared" si="12"/>
        <v>32.6</v>
      </c>
      <c r="G54" s="209">
        <f t="shared" si="12"/>
        <v>9.3714285714285719</v>
      </c>
      <c r="H54" s="209">
        <f t="shared" si="12"/>
        <v>41.864285714285714</v>
      </c>
    </row>
    <row r="55" spans="1:9" x14ac:dyDescent="0.2">
      <c r="B55" s="7" t="s">
        <v>77</v>
      </c>
      <c r="C55" s="316">
        <f t="shared" si="12"/>
        <v>6.5714285714285712</v>
      </c>
      <c r="D55" s="316">
        <f t="shared" si="12"/>
        <v>6.5</v>
      </c>
      <c r="E55" s="316">
        <f t="shared" si="12"/>
        <v>14.299999999999999</v>
      </c>
      <c r="F55" s="316">
        <f t="shared" si="12"/>
        <v>24.057142857142857</v>
      </c>
      <c r="G55" s="316">
        <f t="shared" si="12"/>
        <v>9</v>
      </c>
      <c r="H55" s="316">
        <f t="shared" si="12"/>
        <v>37.635714285714286</v>
      </c>
    </row>
    <row r="56" spans="1:9" x14ac:dyDescent="0.2">
      <c r="B56" s="7" t="s">
        <v>35</v>
      </c>
      <c r="C56" s="209">
        <f t="shared" si="12"/>
        <v>6.5</v>
      </c>
      <c r="D56" s="209">
        <f t="shared" si="12"/>
        <v>8.4285714285714288</v>
      </c>
      <c r="E56" s="209">
        <f t="shared" si="12"/>
        <v>19.478571428571428</v>
      </c>
      <c r="F56" s="209">
        <f t="shared" si="12"/>
        <v>22.907142857142851</v>
      </c>
      <c r="G56" s="209">
        <f t="shared" si="12"/>
        <v>13.87142857142857</v>
      </c>
      <c r="H56" s="209">
        <f t="shared" si="12"/>
        <v>45.199999999999989</v>
      </c>
    </row>
    <row r="57" spans="1:9" x14ac:dyDescent="0.2">
      <c r="B57" s="315" t="s">
        <v>31</v>
      </c>
      <c r="C57" s="316">
        <f t="shared" si="12"/>
        <v>8.0714285714285712</v>
      </c>
      <c r="D57" s="316">
        <f t="shared" si="12"/>
        <v>8.5</v>
      </c>
      <c r="E57" s="316">
        <f t="shared" si="12"/>
        <v>15.294285714285715</v>
      </c>
      <c r="F57" s="316">
        <f t="shared" si="12"/>
        <v>34.635714285714279</v>
      </c>
      <c r="G57" s="316">
        <f t="shared" si="12"/>
        <v>9.8428571428571416</v>
      </c>
      <c r="H57" s="316">
        <f t="shared" si="12"/>
        <v>24.114285714285721</v>
      </c>
    </row>
    <row r="58" spans="1:9" x14ac:dyDescent="0.2">
      <c r="B58" s="7" t="s">
        <v>526</v>
      </c>
      <c r="C58" s="316">
        <f t="shared" si="12"/>
        <v>5.5</v>
      </c>
      <c r="D58" s="316">
        <f t="shared" si="12"/>
        <v>9.7142857142857135</v>
      </c>
      <c r="E58" s="316">
        <f t="shared" si="12"/>
        <v>20.104285714285712</v>
      </c>
      <c r="F58" s="316">
        <f t="shared" si="12"/>
        <v>31.625714285714288</v>
      </c>
      <c r="G58" s="316">
        <f t="shared" si="12"/>
        <v>4.8642857142857139</v>
      </c>
      <c r="H58" s="316">
        <f t="shared" si="12"/>
        <v>26.914285714285707</v>
      </c>
    </row>
    <row r="59" spans="1:9" x14ac:dyDescent="0.2">
      <c r="B59" s="7" t="s">
        <v>42</v>
      </c>
      <c r="C59" s="316">
        <f t="shared" si="12"/>
        <v>6.8571428571428568</v>
      </c>
      <c r="D59" s="316">
        <f t="shared" si="12"/>
        <v>8.2142857142857135</v>
      </c>
      <c r="E59" s="316">
        <f t="shared" si="12"/>
        <v>18.354285714285716</v>
      </c>
      <c r="F59" s="316">
        <f t="shared" si="12"/>
        <v>26.142857142857139</v>
      </c>
      <c r="G59" s="316">
        <f t="shared" si="12"/>
        <v>7.4071428571428575</v>
      </c>
      <c r="H59" s="316">
        <f t="shared" si="12"/>
        <v>35.592857142857142</v>
      </c>
    </row>
    <row r="60" spans="1:9" x14ac:dyDescent="0.2">
      <c r="B60" s="7" t="s">
        <v>26</v>
      </c>
      <c r="C60" s="277">
        <f t="shared" si="12"/>
        <v>6.4285714285714288</v>
      </c>
      <c r="D60" s="277">
        <f t="shared" si="12"/>
        <v>7.1428571428571432</v>
      </c>
      <c r="E60" s="277">
        <f t="shared" si="12"/>
        <v>17.711428571428574</v>
      </c>
      <c r="F60" s="277">
        <f t="shared" si="12"/>
        <v>24.571428571428566</v>
      </c>
      <c r="G60" s="277">
        <f t="shared" si="12"/>
        <v>6.6714285714285708</v>
      </c>
      <c r="H60" s="277">
        <f t="shared" si="12"/>
        <v>35.007142857142874</v>
      </c>
    </row>
    <row r="61" spans="1:9" x14ac:dyDescent="0.2">
      <c r="B61" s="7" t="s">
        <v>46</v>
      </c>
      <c r="C61" s="209">
        <f t="shared" si="12"/>
        <v>8.7142857142857135</v>
      </c>
      <c r="D61" s="209">
        <f t="shared" si="12"/>
        <v>8.2142857142857135</v>
      </c>
      <c r="E61" s="209">
        <f t="shared" si="12"/>
        <v>15.638571428571428</v>
      </c>
      <c r="F61" s="209">
        <f t="shared" si="12"/>
        <v>35.371428571428574</v>
      </c>
      <c r="G61" s="209">
        <f t="shared" si="12"/>
        <v>10.392857142857142</v>
      </c>
      <c r="H61" s="209">
        <f t="shared" si="12"/>
        <v>28.471428571428568</v>
      </c>
    </row>
    <row r="62" spans="1:9" x14ac:dyDescent="0.2">
      <c r="B62" s="7" t="s">
        <v>525</v>
      </c>
      <c r="C62" s="316">
        <f t="shared" si="12"/>
        <v>13.142857142857142</v>
      </c>
      <c r="D62" s="316">
        <f t="shared" si="12"/>
        <v>9.6428571428571423</v>
      </c>
      <c r="E62" s="316">
        <f t="shared" si="12"/>
        <v>17.84</v>
      </c>
      <c r="F62" s="316">
        <f t="shared" si="12"/>
        <v>28.785714285714285</v>
      </c>
      <c r="G62" s="316">
        <f t="shared" si="12"/>
        <v>9.0642857142857149</v>
      </c>
      <c r="H62" s="316">
        <f t="shared" si="12"/>
        <v>36.414285714285711</v>
      </c>
    </row>
    <row r="64" spans="1:9" x14ac:dyDescent="0.2">
      <c r="A64" s="27"/>
      <c r="B64" s="27"/>
      <c r="C64" s="27"/>
      <c r="D64" s="27"/>
      <c r="E64" s="27"/>
      <c r="F64" s="27"/>
      <c r="G64" s="27"/>
      <c r="H64" s="27"/>
      <c r="I64" s="27"/>
    </row>
    <row r="65" spans="1:9" ht="19" x14ac:dyDescent="0.25">
      <c r="A65" s="27"/>
      <c r="B65" s="293" t="s">
        <v>675</v>
      </c>
      <c r="C65" s="294"/>
      <c r="D65" s="294"/>
      <c r="E65" s="294"/>
      <c r="F65" s="294"/>
      <c r="G65" s="294"/>
      <c r="H65" s="295"/>
      <c r="I65" s="27"/>
    </row>
    <row r="66" spans="1:9" x14ac:dyDescent="0.2">
      <c r="A66" s="27"/>
      <c r="B66" s="69" t="s">
        <v>78</v>
      </c>
      <c r="C66" s="70" t="s">
        <v>125</v>
      </c>
      <c r="D66" s="70" t="s">
        <v>506</v>
      </c>
      <c r="E66" s="70" t="s">
        <v>508</v>
      </c>
      <c r="F66" s="70" t="s">
        <v>129</v>
      </c>
      <c r="G66" s="70" t="s">
        <v>130</v>
      </c>
      <c r="H66" s="86" t="s">
        <v>131</v>
      </c>
      <c r="I66" s="27"/>
    </row>
    <row r="67" spans="1:9" x14ac:dyDescent="0.2">
      <c r="A67" s="27"/>
      <c r="B67" s="99" t="s">
        <v>18</v>
      </c>
      <c r="C67" s="343">
        <v>-1.8115476190476241</v>
      </c>
      <c r="D67" s="343">
        <v>3.470952380952379</v>
      </c>
      <c r="E67" s="343">
        <v>7.5482142857142867</v>
      </c>
      <c r="F67" s="343">
        <v>0.10416666666666734</v>
      </c>
      <c r="G67" s="343">
        <v>-0.11309523809523776</v>
      </c>
      <c r="H67" s="159">
        <v>1.3095238095238091</v>
      </c>
      <c r="I67" s="27"/>
    </row>
    <row r="68" spans="1:9" x14ac:dyDescent="0.2">
      <c r="A68" s="27"/>
      <c r="B68" s="99" t="s">
        <v>35</v>
      </c>
      <c r="C68" s="343">
        <v>1.3841666666666623</v>
      </c>
      <c r="D68" s="343">
        <v>-6.2219047619047672</v>
      </c>
      <c r="E68" s="343">
        <v>10.883928571428559</v>
      </c>
      <c r="F68" s="343">
        <v>4.6041666666666652</v>
      </c>
      <c r="G68" s="343">
        <v>-0.9702380952380949</v>
      </c>
      <c r="H68" s="159">
        <v>-4.7619047619047956E-2</v>
      </c>
      <c r="I68" s="27"/>
    </row>
    <row r="69" spans="1:9" x14ac:dyDescent="0.2">
      <c r="A69" s="27"/>
      <c r="B69" s="99" t="s">
        <v>521</v>
      </c>
      <c r="C69" s="343">
        <v>1.4155952380952337</v>
      </c>
      <c r="D69" s="343">
        <v>5.4423809523809599</v>
      </c>
      <c r="E69" s="343">
        <v>2.4267857142857201</v>
      </c>
      <c r="F69" s="343">
        <v>-1.8386904761904768</v>
      </c>
      <c r="G69" s="343">
        <v>-0.2559523809523806</v>
      </c>
      <c r="H69" s="159">
        <v>0.5952380952380949</v>
      </c>
      <c r="I69" s="27"/>
    </row>
    <row r="70" spans="1:9" x14ac:dyDescent="0.2">
      <c r="A70" s="27"/>
      <c r="B70" s="99" t="s">
        <v>46</v>
      </c>
      <c r="C70" s="343">
        <v>-2.4558333333333371</v>
      </c>
      <c r="D70" s="343">
        <v>6.2423809523809553</v>
      </c>
      <c r="E70" s="343">
        <v>-5.8446428571428601</v>
      </c>
      <c r="F70" s="343">
        <v>1.1255952380952376</v>
      </c>
      <c r="G70" s="343">
        <v>1.2440476190476193</v>
      </c>
      <c r="H70" s="159">
        <v>-0.26190476190476225</v>
      </c>
      <c r="I70" s="27"/>
    </row>
    <row r="71" spans="1:9" x14ac:dyDescent="0.2">
      <c r="A71" s="27"/>
      <c r="B71" s="99" t="s">
        <v>524</v>
      </c>
      <c r="C71" s="343">
        <v>6.9041666666666641</v>
      </c>
      <c r="D71" s="343">
        <v>-2.3204761904761955</v>
      </c>
      <c r="E71" s="343">
        <v>-2.5803571428571388</v>
      </c>
      <c r="F71" s="343">
        <v>1.3755952380952376</v>
      </c>
      <c r="G71" s="343">
        <v>-0.2559523809523806</v>
      </c>
      <c r="H71" s="159">
        <v>-4.7619047619047956E-2</v>
      </c>
      <c r="I71" s="27"/>
    </row>
    <row r="72" spans="1:9" x14ac:dyDescent="0.2">
      <c r="A72" s="27"/>
      <c r="B72" s="99" t="s">
        <v>31</v>
      </c>
      <c r="C72" s="343">
        <v>-2.8001190476190509</v>
      </c>
      <c r="D72" s="343">
        <v>5.5066666666666606</v>
      </c>
      <c r="E72" s="343">
        <v>-10.201785714285709</v>
      </c>
      <c r="F72" s="343">
        <v>0.57559523809523638</v>
      </c>
      <c r="G72" s="343">
        <v>0.6011904761904765</v>
      </c>
      <c r="H72" s="159">
        <v>2.3809523809523472E-2</v>
      </c>
      <c r="I72" s="27"/>
    </row>
    <row r="73" spans="1:9" x14ac:dyDescent="0.2">
      <c r="A73" s="27"/>
      <c r="B73" s="99" t="s">
        <v>526</v>
      </c>
      <c r="C73" s="343">
        <v>2.0098809523809473</v>
      </c>
      <c r="D73" s="343">
        <v>2.4966666666666697</v>
      </c>
      <c r="E73" s="343">
        <v>-7.4017857142857224</v>
      </c>
      <c r="F73" s="343">
        <v>-4.402976190476191</v>
      </c>
      <c r="G73" s="343">
        <v>-1.9702380952380949</v>
      </c>
      <c r="H73" s="159">
        <v>1.2380952380952377</v>
      </c>
      <c r="I73" s="27"/>
    </row>
    <row r="74" spans="1:9" x14ac:dyDescent="0.2">
      <c r="A74" s="27"/>
      <c r="B74" s="99" t="s">
        <v>77</v>
      </c>
      <c r="C74" s="343">
        <v>-3.7944047619047661</v>
      </c>
      <c r="D74" s="343">
        <v>-5.0719047619047615</v>
      </c>
      <c r="E74" s="343">
        <v>3.3196428571428549</v>
      </c>
      <c r="F74" s="343">
        <v>-0.26726190476190531</v>
      </c>
      <c r="G74" s="343">
        <v>-0.8988095238095235</v>
      </c>
      <c r="H74" s="159">
        <v>-1.9761904761904765</v>
      </c>
      <c r="I74" s="27"/>
    </row>
    <row r="75" spans="1:9" x14ac:dyDescent="0.2">
      <c r="A75" s="27"/>
      <c r="B75" s="99" t="s">
        <v>525</v>
      </c>
      <c r="C75" s="343">
        <v>-0.25440476190476602</v>
      </c>
      <c r="D75" s="343">
        <v>-0.34333333333333371</v>
      </c>
      <c r="E75" s="343">
        <v>2.0982142857142816</v>
      </c>
      <c r="F75" s="343">
        <v>-0.20297619047619062</v>
      </c>
      <c r="G75" s="343">
        <v>5.6726190476190483</v>
      </c>
      <c r="H75" s="159">
        <v>1.1666666666666663</v>
      </c>
      <c r="I75" s="27"/>
    </row>
    <row r="76" spans="1:9" x14ac:dyDescent="0.2">
      <c r="A76" s="27"/>
      <c r="B76" s="99" t="s">
        <v>14</v>
      </c>
      <c r="C76" s="343">
        <v>-0.47440476190476488</v>
      </c>
      <c r="D76" s="343">
        <v>-1.6576190476190422</v>
      </c>
      <c r="E76" s="343">
        <v>-2.2160714285714227</v>
      </c>
      <c r="F76" s="343">
        <v>3.3827380952380923</v>
      </c>
      <c r="G76" s="343">
        <v>-1.3988095238095235</v>
      </c>
      <c r="H76" s="159">
        <v>-0.4047619047619051</v>
      </c>
      <c r="I76" s="27"/>
    </row>
    <row r="77" spans="1:9" x14ac:dyDescent="0.2">
      <c r="A77" s="27"/>
      <c r="B77" s="99" t="s">
        <v>42</v>
      </c>
      <c r="C77" s="343">
        <v>0.25988095238095149</v>
      </c>
      <c r="D77" s="343">
        <v>-2.9861904761904805</v>
      </c>
      <c r="E77" s="343">
        <v>1.2767857142857102</v>
      </c>
      <c r="F77" s="343">
        <v>-1.8601190476190479</v>
      </c>
      <c r="G77" s="343">
        <v>-0.6130952380952378</v>
      </c>
      <c r="H77" s="159">
        <v>-0.26190476190476225</v>
      </c>
      <c r="I77" s="27"/>
    </row>
    <row r="78" spans="1:9" x14ac:dyDescent="0.2">
      <c r="A78" s="27"/>
      <c r="B78" s="99" t="s">
        <v>26</v>
      </c>
      <c r="C78" s="343">
        <v>-0.38297619047619336</v>
      </c>
      <c r="D78" s="343">
        <v>-4.5576190476190517</v>
      </c>
      <c r="E78" s="343">
        <v>0.69107142857144566</v>
      </c>
      <c r="F78" s="343">
        <v>-2.5958333333333345</v>
      </c>
      <c r="G78" s="343">
        <v>-1.0416666666666663</v>
      </c>
      <c r="H78" s="159">
        <v>-1.3333333333333337</v>
      </c>
      <c r="I78" s="27"/>
    </row>
    <row r="79" spans="1:9" x14ac:dyDescent="0.2">
      <c r="A79" s="27"/>
      <c r="B79" s="101" t="s">
        <v>676</v>
      </c>
      <c r="C79" s="165">
        <v>18.094404761904766</v>
      </c>
      <c r="D79" s="165">
        <v>29.129047619047618</v>
      </c>
      <c r="E79" s="165">
        <v>34.316071428571426</v>
      </c>
      <c r="F79" s="165">
        <v>9.2672619047619058</v>
      </c>
      <c r="G79" s="165">
        <v>7.4702380952380949</v>
      </c>
      <c r="H79" s="344">
        <v>8.4761904761904763</v>
      </c>
      <c r="I79" s="27"/>
    </row>
    <row r="80" spans="1:9" x14ac:dyDescent="0.2">
      <c r="A80" s="27"/>
      <c r="B80" s="27"/>
      <c r="C80" s="27"/>
      <c r="D80" s="27"/>
      <c r="E80" s="27"/>
      <c r="F80" s="27"/>
      <c r="G80" s="27"/>
      <c r="H80" s="27"/>
      <c r="I80" s="27"/>
    </row>
  </sheetData>
  <mergeCells count="1">
    <mergeCell ref="B65:H65"/>
  </mergeCells>
  <conditionalFormatting sqref="C7:C1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1:C6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3:H34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7:H4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:D1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1:D6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:E1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1:E6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:F1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1:F6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:G1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1:G6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:H1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51:H6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7:I4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7:J1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7:K48">
    <cfRule type="colorScale" priority="10">
      <colorScale>
        <cfvo type="min"/>
        <cfvo type="num" val="0"/>
        <cfvo type="max"/>
        <color rgb="FFFF6E6D"/>
        <color theme="0"/>
        <color rgb="FF00B050"/>
      </colorScale>
    </cfRule>
  </conditionalFormatting>
  <conditionalFormatting sqref="K7:K1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7:H7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1779-DEFF-4E43-84D1-2D921B08A3C7}">
  <dimension ref="A1:N62"/>
  <sheetViews>
    <sheetView zoomScale="120" zoomScaleNormal="120" workbookViewId="0">
      <selection activeCell="J36" sqref="J36:M61"/>
    </sheetView>
  </sheetViews>
  <sheetFormatPr baseColWidth="10" defaultRowHeight="16" x14ac:dyDescent="0.2"/>
  <cols>
    <col min="3" max="3" width="8.83203125" customWidth="1"/>
    <col min="4" max="4" width="24.83203125" customWidth="1"/>
    <col min="5" max="5" width="24.1640625" customWidth="1"/>
    <col min="9" max="9" width="10.83203125" style="27"/>
    <col min="12" max="12" width="24.5" customWidth="1"/>
    <col min="13" max="13" width="11" customWidth="1"/>
    <col min="14" max="14" width="10.83203125" style="27"/>
  </cols>
  <sheetData>
    <row r="1" spans="1:8" x14ac:dyDescent="0.2">
      <c r="A1" s="27"/>
      <c r="B1" s="27"/>
      <c r="C1" s="27"/>
      <c r="D1" s="27"/>
      <c r="E1" s="27"/>
      <c r="F1" s="27"/>
      <c r="G1" s="27"/>
      <c r="H1" s="27"/>
    </row>
    <row r="2" spans="1:8" ht="21" x14ac:dyDescent="0.25">
      <c r="A2" s="27"/>
      <c r="B2" s="287" t="s">
        <v>603</v>
      </c>
      <c r="C2" s="288"/>
      <c r="D2" s="288"/>
      <c r="E2" s="288"/>
      <c r="F2" s="288"/>
      <c r="G2" s="288"/>
      <c r="H2" s="289"/>
    </row>
    <row r="3" spans="1:8" x14ac:dyDescent="0.2">
      <c r="A3" s="27"/>
      <c r="B3" s="149" t="s">
        <v>0</v>
      </c>
      <c r="C3" s="150" t="s">
        <v>1</v>
      </c>
      <c r="D3" s="150" t="s">
        <v>517</v>
      </c>
      <c r="E3" s="150" t="s">
        <v>518</v>
      </c>
      <c r="F3" s="150" t="s">
        <v>515</v>
      </c>
      <c r="G3" s="150" t="s">
        <v>516</v>
      </c>
      <c r="H3" s="151" t="s">
        <v>421</v>
      </c>
    </row>
    <row r="4" spans="1:8" x14ac:dyDescent="0.2">
      <c r="A4" s="27"/>
      <c r="B4" s="46">
        <v>2024</v>
      </c>
      <c r="C4" s="124">
        <v>14</v>
      </c>
      <c r="D4" s="124" t="s">
        <v>46</v>
      </c>
      <c r="E4" s="124" t="s">
        <v>26</v>
      </c>
      <c r="F4" s="124">
        <v>171.5</v>
      </c>
      <c r="G4" s="124">
        <v>162.78</v>
      </c>
      <c r="H4" s="108">
        <f t="shared" ref="H4:H13" si="0">F4+G4</f>
        <v>334.28</v>
      </c>
    </row>
    <row r="5" spans="1:8" x14ac:dyDescent="0.2">
      <c r="A5" s="27"/>
      <c r="B5" s="32">
        <v>2021</v>
      </c>
      <c r="C5">
        <v>14</v>
      </c>
      <c r="D5" t="s">
        <v>30</v>
      </c>
      <c r="E5" t="s">
        <v>35</v>
      </c>
      <c r="F5">
        <v>187.22</v>
      </c>
      <c r="G5">
        <v>137.91999999999999</v>
      </c>
      <c r="H5" s="33">
        <f t="shared" si="0"/>
        <v>325.14</v>
      </c>
    </row>
    <row r="6" spans="1:8" x14ac:dyDescent="0.2">
      <c r="A6" s="27"/>
      <c r="B6" s="32">
        <v>2023</v>
      </c>
      <c r="C6">
        <v>16</v>
      </c>
      <c r="D6" t="s">
        <v>14</v>
      </c>
      <c r="E6" t="s">
        <v>44</v>
      </c>
      <c r="F6">
        <v>167.22</v>
      </c>
      <c r="G6">
        <v>152.58000000000001</v>
      </c>
      <c r="H6" s="33">
        <f t="shared" si="0"/>
        <v>319.8</v>
      </c>
    </row>
    <row r="7" spans="1:8" x14ac:dyDescent="0.2">
      <c r="A7" s="27"/>
      <c r="B7" s="32">
        <v>2021</v>
      </c>
      <c r="C7">
        <v>16</v>
      </c>
      <c r="D7" t="s">
        <v>30</v>
      </c>
      <c r="E7" t="s">
        <v>18</v>
      </c>
      <c r="F7">
        <v>205.1</v>
      </c>
      <c r="G7">
        <v>113.88</v>
      </c>
      <c r="H7" s="33">
        <f t="shared" si="0"/>
        <v>318.98</v>
      </c>
    </row>
    <row r="8" spans="1:8" x14ac:dyDescent="0.2">
      <c r="A8" s="27"/>
      <c r="B8" s="36">
        <v>2025</v>
      </c>
      <c r="C8" s="90">
        <v>2</v>
      </c>
      <c r="D8" s="90" t="s">
        <v>77</v>
      </c>
      <c r="E8" s="90" t="s">
        <v>526</v>
      </c>
      <c r="F8" s="90">
        <v>196.4</v>
      </c>
      <c r="G8" s="90">
        <v>114.86</v>
      </c>
      <c r="H8" s="48">
        <f t="shared" si="0"/>
        <v>311.26</v>
      </c>
    </row>
    <row r="9" spans="1:8" x14ac:dyDescent="0.2">
      <c r="A9" s="27"/>
      <c r="B9" s="32">
        <v>2021</v>
      </c>
      <c r="C9">
        <v>13</v>
      </c>
      <c r="D9" t="s">
        <v>15</v>
      </c>
      <c r="E9" t="s">
        <v>18</v>
      </c>
      <c r="F9">
        <v>170.52</v>
      </c>
      <c r="G9">
        <v>139.1</v>
      </c>
      <c r="H9" s="33">
        <f t="shared" si="0"/>
        <v>309.62</v>
      </c>
    </row>
    <row r="10" spans="1:8" x14ac:dyDescent="0.2">
      <c r="A10" s="27"/>
      <c r="B10" s="32">
        <v>2024</v>
      </c>
      <c r="C10">
        <v>5</v>
      </c>
      <c r="D10" t="s">
        <v>76</v>
      </c>
      <c r="E10" t="s">
        <v>42</v>
      </c>
      <c r="F10">
        <v>176.78</v>
      </c>
      <c r="G10">
        <v>127.64</v>
      </c>
      <c r="H10" s="33">
        <f t="shared" si="0"/>
        <v>304.42</v>
      </c>
    </row>
    <row r="11" spans="1:8" x14ac:dyDescent="0.2">
      <c r="A11" s="27"/>
      <c r="B11" s="32">
        <v>2024</v>
      </c>
      <c r="C11">
        <v>8</v>
      </c>
      <c r="D11" t="s">
        <v>46</v>
      </c>
      <c r="E11" t="s">
        <v>73</v>
      </c>
      <c r="F11">
        <v>155.41999999999999</v>
      </c>
      <c r="G11">
        <v>147.69999999999999</v>
      </c>
      <c r="H11" s="33">
        <f t="shared" si="0"/>
        <v>303.12</v>
      </c>
    </row>
    <row r="12" spans="1:8" x14ac:dyDescent="0.2">
      <c r="A12" s="27"/>
      <c r="B12" s="32">
        <v>2024</v>
      </c>
      <c r="C12">
        <v>15</v>
      </c>
      <c r="D12" t="s">
        <v>18</v>
      </c>
      <c r="E12" t="s">
        <v>46</v>
      </c>
      <c r="F12">
        <v>172.94</v>
      </c>
      <c r="G12">
        <v>126.68</v>
      </c>
      <c r="H12" s="33">
        <f t="shared" si="0"/>
        <v>299.62</v>
      </c>
    </row>
    <row r="13" spans="1:8" x14ac:dyDescent="0.2">
      <c r="A13" s="27"/>
      <c r="B13" s="74">
        <v>2021</v>
      </c>
      <c r="C13" s="75">
        <v>5</v>
      </c>
      <c r="D13" s="75" t="s">
        <v>34</v>
      </c>
      <c r="E13" s="75" t="s">
        <v>19</v>
      </c>
      <c r="F13" s="75">
        <v>170.72</v>
      </c>
      <c r="G13" s="75">
        <v>127.5</v>
      </c>
      <c r="H13" s="40">
        <f t="shared" si="0"/>
        <v>298.22000000000003</v>
      </c>
    </row>
    <row r="14" spans="1:8" s="27" customFormat="1" x14ac:dyDescent="0.2"/>
    <row r="15" spans="1:8" x14ac:dyDescent="0.2">
      <c r="A15" s="27"/>
      <c r="B15" s="27"/>
      <c r="C15" s="27"/>
      <c r="D15" s="27"/>
      <c r="E15" s="27"/>
      <c r="F15" s="27"/>
      <c r="G15" s="27"/>
      <c r="H15" s="27"/>
    </row>
    <row r="16" spans="1:8" ht="21" x14ac:dyDescent="0.25">
      <c r="A16" s="27"/>
      <c r="B16" s="287" t="s">
        <v>604</v>
      </c>
      <c r="C16" s="288"/>
      <c r="D16" s="288"/>
      <c r="E16" s="288"/>
      <c r="F16" s="288"/>
      <c r="G16" s="288"/>
      <c r="H16" s="289"/>
    </row>
    <row r="17" spans="1:8" x14ac:dyDescent="0.2">
      <c r="A17" s="27"/>
      <c r="B17" s="149" t="s">
        <v>0</v>
      </c>
      <c r="C17" s="150" t="s">
        <v>1</v>
      </c>
      <c r="D17" s="150" t="s">
        <v>517</v>
      </c>
      <c r="E17" s="150" t="s">
        <v>518</v>
      </c>
      <c r="F17" s="150" t="s">
        <v>515</v>
      </c>
      <c r="G17" s="150" t="s">
        <v>516</v>
      </c>
      <c r="H17" s="151" t="s">
        <v>421</v>
      </c>
    </row>
    <row r="18" spans="1:8" x14ac:dyDescent="0.2">
      <c r="A18" s="27"/>
      <c r="B18" s="46">
        <v>2024</v>
      </c>
      <c r="C18" s="124">
        <v>3</v>
      </c>
      <c r="D18" s="124" t="s">
        <v>77</v>
      </c>
      <c r="E18" s="124" t="s">
        <v>14</v>
      </c>
      <c r="F18" s="124">
        <v>71.5</v>
      </c>
      <c r="G18" s="124">
        <v>64.180000000000007</v>
      </c>
      <c r="H18" s="108">
        <f t="shared" ref="H18:H27" si="1">F18+G18</f>
        <v>135.68</v>
      </c>
    </row>
    <row r="19" spans="1:8" x14ac:dyDescent="0.2">
      <c r="A19" s="27"/>
      <c r="B19" s="32">
        <v>2022</v>
      </c>
      <c r="C19">
        <v>6</v>
      </c>
      <c r="D19" t="s">
        <v>42</v>
      </c>
      <c r="E19" t="s">
        <v>43</v>
      </c>
      <c r="F19">
        <v>81.540000000000006</v>
      </c>
      <c r="G19">
        <v>73.5</v>
      </c>
      <c r="H19" s="33">
        <f t="shared" si="1"/>
        <v>155.04000000000002</v>
      </c>
    </row>
    <row r="20" spans="1:8" x14ac:dyDescent="0.2">
      <c r="A20" s="27"/>
      <c r="B20" s="32">
        <v>2024</v>
      </c>
      <c r="C20">
        <v>14</v>
      </c>
      <c r="D20" t="s">
        <v>18</v>
      </c>
      <c r="E20" t="s">
        <v>35</v>
      </c>
      <c r="F20">
        <v>107.34</v>
      </c>
      <c r="G20">
        <v>48.46</v>
      </c>
      <c r="H20" s="33">
        <f t="shared" si="1"/>
        <v>155.80000000000001</v>
      </c>
    </row>
    <row r="21" spans="1:8" x14ac:dyDescent="0.2">
      <c r="A21" s="27"/>
      <c r="B21" s="36">
        <v>2025</v>
      </c>
      <c r="C21" s="90">
        <v>8</v>
      </c>
      <c r="D21" s="90" t="s">
        <v>26</v>
      </c>
      <c r="E21" s="90" t="s">
        <v>77</v>
      </c>
      <c r="F21" s="90">
        <v>87.06</v>
      </c>
      <c r="G21" s="90">
        <v>69.58</v>
      </c>
      <c r="H21" s="48">
        <f t="shared" si="1"/>
        <v>156.63999999999999</v>
      </c>
    </row>
    <row r="22" spans="1:8" x14ac:dyDescent="0.2">
      <c r="A22" s="27"/>
      <c r="B22" s="32">
        <v>2022</v>
      </c>
      <c r="C22">
        <v>9</v>
      </c>
      <c r="D22" t="s">
        <v>44</v>
      </c>
      <c r="E22" t="s">
        <v>31</v>
      </c>
      <c r="F22">
        <v>83.84</v>
      </c>
      <c r="G22">
        <v>76.400000000000006</v>
      </c>
      <c r="H22" s="33">
        <f t="shared" si="1"/>
        <v>160.24</v>
      </c>
    </row>
    <row r="23" spans="1:8" x14ac:dyDescent="0.2">
      <c r="A23" s="27"/>
      <c r="B23" s="32">
        <v>2023</v>
      </c>
      <c r="C23">
        <v>4</v>
      </c>
      <c r="D23" t="s">
        <v>50</v>
      </c>
      <c r="E23" t="s">
        <v>35</v>
      </c>
      <c r="F23">
        <v>91.24</v>
      </c>
      <c r="G23">
        <v>72.66</v>
      </c>
      <c r="H23" s="33">
        <f t="shared" si="1"/>
        <v>163.89999999999998</v>
      </c>
    </row>
    <row r="24" spans="1:8" x14ac:dyDescent="0.2">
      <c r="A24" s="27"/>
      <c r="B24" s="32">
        <v>2022</v>
      </c>
      <c r="C24">
        <v>14</v>
      </c>
      <c r="D24" t="s">
        <v>14</v>
      </c>
      <c r="E24" t="s">
        <v>44</v>
      </c>
      <c r="F24">
        <v>91.56</v>
      </c>
      <c r="G24">
        <v>72.78</v>
      </c>
      <c r="H24" s="33">
        <f t="shared" si="1"/>
        <v>164.34</v>
      </c>
    </row>
    <row r="25" spans="1:8" x14ac:dyDescent="0.2">
      <c r="A25" s="27"/>
      <c r="B25" s="32">
        <v>2024</v>
      </c>
      <c r="C25">
        <v>15</v>
      </c>
      <c r="D25" t="s">
        <v>35</v>
      </c>
      <c r="E25" t="s">
        <v>77</v>
      </c>
      <c r="F25">
        <v>96.88</v>
      </c>
      <c r="G25">
        <v>68</v>
      </c>
      <c r="H25" s="33">
        <f t="shared" si="1"/>
        <v>164.88</v>
      </c>
    </row>
    <row r="26" spans="1:8" x14ac:dyDescent="0.2">
      <c r="A26" s="27"/>
      <c r="B26" s="32">
        <v>2021</v>
      </c>
      <c r="C26">
        <v>1</v>
      </c>
      <c r="D26" t="s">
        <v>18</v>
      </c>
      <c r="E26" t="s">
        <v>19</v>
      </c>
      <c r="F26">
        <v>93.02</v>
      </c>
      <c r="G26">
        <v>73.099999999999994</v>
      </c>
      <c r="H26" s="33">
        <f t="shared" si="1"/>
        <v>166.12</v>
      </c>
    </row>
    <row r="27" spans="1:8" x14ac:dyDescent="0.2">
      <c r="A27" s="27"/>
      <c r="B27" s="74">
        <v>2021</v>
      </c>
      <c r="C27" s="75">
        <v>14</v>
      </c>
      <c r="D27" s="75" t="s">
        <v>19</v>
      </c>
      <c r="E27" s="75" t="s">
        <v>27</v>
      </c>
      <c r="F27" s="75">
        <v>96.22</v>
      </c>
      <c r="G27" s="75">
        <v>70.680000000000007</v>
      </c>
      <c r="H27" s="40">
        <f t="shared" si="1"/>
        <v>166.9</v>
      </c>
    </row>
    <row r="28" spans="1:8" x14ac:dyDescent="0.2">
      <c r="A28" s="27"/>
      <c r="B28" s="27"/>
      <c r="C28" s="27"/>
      <c r="D28" s="27"/>
      <c r="E28" s="27"/>
      <c r="F28" s="27"/>
      <c r="G28" s="27"/>
      <c r="H28" s="27"/>
    </row>
    <row r="29" spans="1:8" x14ac:dyDescent="0.2">
      <c r="A29" s="27"/>
      <c r="B29" s="27"/>
      <c r="C29" s="27"/>
      <c r="D29" s="27"/>
      <c r="E29" s="27"/>
      <c r="F29" s="27"/>
      <c r="G29" s="27"/>
      <c r="H29" s="27"/>
    </row>
    <row r="30" spans="1:8" x14ac:dyDescent="0.2">
      <c r="A30" s="27"/>
      <c r="B30" s="27"/>
      <c r="C30" s="27"/>
      <c r="D30" s="27"/>
      <c r="E30" s="27"/>
      <c r="F30" s="27"/>
      <c r="G30" s="27"/>
      <c r="H30" s="27"/>
    </row>
    <row r="31" spans="1:8" x14ac:dyDescent="0.2">
      <c r="A31" s="27"/>
      <c r="B31" s="27"/>
      <c r="C31" s="27"/>
      <c r="D31" s="27"/>
      <c r="E31" s="27"/>
      <c r="F31" s="27"/>
      <c r="G31" s="27"/>
      <c r="H31" s="27"/>
    </row>
    <row r="32" spans="1:8" x14ac:dyDescent="0.2">
      <c r="A32" s="27"/>
      <c r="B32" s="27"/>
      <c r="C32" s="27"/>
      <c r="D32" s="27"/>
      <c r="E32" s="27"/>
      <c r="F32" s="27"/>
      <c r="G32" s="27"/>
      <c r="H32" s="27"/>
    </row>
    <row r="33" spans="1:13" x14ac:dyDescent="0.2">
      <c r="A33" s="27"/>
      <c r="B33" s="27"/>
      <c r="C33" s="27"/>
      <c r="D33" s="27"/>
      <c r="E33" s="27"/>
      <c r="F33" s="27"/>
      <c r="G33" s="27"/>
      <c r="H33" s="27"/>
    </row>
    <row r="34" spans="1:13" x14ac:dyDescent="0.2">
      <c r="A34" s="27"/>
      <c r="B34" s="27"/>
      <c r="C34" s="27"/>
      <c r="D34" s="27"/>
      <c r="E34" s="27"/>
      <c r="F34" s="27"/>
      <c r="G34" s="27"/>
      <c r="H34" s="27"/>
    </row>
    <row r="35" spans="1:13" x14ac:dyDescent="0.2">
      <c r="J35" s="27"/>
      <c r="K35" s="27"/>
      <c r="L35" s="27"/>
      <c r="M35" s="27"/>
    </row>
    <row r="36" spans="1:13" ht="39" customHeight="1" x14ac:dyDescent="0.25">
      <c r="J36" s="290" t="s">
        <v>641</v>
      </c>
      <c r="K36" s="291"/>
      <c r="L36" s="291"/>
      <c r="M36" s="292"/>
    </row>
    <row r="37" spans="1:13" x14ac:dyDescent="0.2">
      <c r="J37" s="69" t="s">
        <v>0</v>
      </c>
      <c r="K37" s="70" t="s">
        <v>1</v>
      </c>
      <c r="L37" s="70" t="s">
        <v>468</v>
      </c>
      <c r="M37" s="86" t="s">
        <v>123</v>
      </c>
    </row>
    <row r="38" spans="1:13" x14ac:dyDescent="0.2">
      <c r="J38" s="46">
        <v>2021</v>
      </c>
      <c r="K38" s="124">
        <v>16</v>
      </c>
      <c r="L38" s="124" t="s">
        <v>30</v>
      </c>
      <c r="M38" s="108">
        <v>205.1</v>
      </c>
    </row>
    <row r="39" spans="1:13" x14ac:dyDescent="0.2">
      <c r="J39" s="36">
        <v>2025</v>
      </c>
      <c r="K39" s="90">
        <v>2</v>
      </c>
      <c r="L39" s="90" t="s">
        <v>77</v>
      </c>
      <c r="M39" s="48">
        <v>196.4</v>
      </c>
    </row>
    <row r="40" spans="1:13" x14ac:dyDescent="0.2">
      <c r="J40" s="32">
        <v>2021</v>
      </c>
      <c r="K40">
        <v>14</v>
      </c>
      <c r="L40" t="s">
        <v>30</v>
      </c>
      <c r="M40" s="33">
        <v>187.22</v>
      </c>
    </row>
    <row r="41" spans="1:13" x14ac:dyDescent="0.2">
      <c r="J41" s="32">
        <v>2022</v>
      </c>
      <c r="K41">
        <v>12</v>
      </c>
      <c r="L41" t="s">
        <v>18</v>
      </c>
      <c r="M41" s="33">
        <v>177.74</v>
      </c>
    </row>
    <row r="42" spans="1:13" x14ac:dyDescent="0.2">
      <c r="J42" s="32">
        <v>2023</v>
      </c>
      <c r="K42">
        <v>8</v>
      </c>
      <c r="L42" t="s">
        <v>48</v>
      </c>
      <c r="M42" s="33">
        <v>176.86</v>
      </c>
    </row>
    <row r="43" spans="1:13" x14ac:dyDescent="0.2">
      <c r="J43" s="32">
        <v>2024</v>
      </c>
      <c r="K43">
        <v>5</v>
      </c>
      <c r="L43" t="s">
        <v>76</v>
      </c>
      <c r="M43" s="33">
        <v>176.78</v>
      </c>
    </row>
    <row r="44" spans="1:13" x14ac:dyDescent="0.2">
      <c r="J44" s="32">
        <v>2022</v>
      </c>
      <c r="K44">
        <v>9</v>
      </c>
      <c r="L44" t="s">
        <v>38</v>
      </c>
      <c r="M44" s="33">
        <v>175.12</v>
      </c>
    </row>
    <row r="45" spans="1:13" x14ac:dyDescent="0.2">
      <c r="J45" s="36">
        <v>2025</v>
      </c>
      <c r="K45" s="90">
        <v>8</v>
      </c>
      <c r="L45" s="90" t="s">
        <v>18</v>
      </c>
      <c r="M45" s="48">
        <v>173.92</v>
      </c>
    </row>
    <row r="46" spans="1:13" x14ac:dyDescent="0.2">
      <c r="J46" s="32">
        <v>2024</v>
      </c>
      <c r="K46">
        <v>15</v>
      </c>
      <c r="L46" t="s">
        <v>18</v>
      </c>
      <c r="M46" s="33">
        <v>172.94</v>
      </c>
    </row>
    <row r="47" spans="1:13" x14ac:dyDescent="0.2">
      <c r="J47" s="74">
        <v>2024</v>
      </c>
      <c r="K47" s="75">
        <v>15</v>
      </c>
      <c r="L47" s="75" t="s">
        <v>42</v>
      </c>
      <c r="M47" s="40">
        <v>172.46</v>
      </c>
    </row>
    <row r="48" spans="1:13" x14ac:dyDescent="0.2">
      <c r="J48" s="27"/>
      <c r="K48" s="27"/>
      <c r="L48" s="27"/>
      <c r="M48" s="27"/>
    </row>
    <row r="49" spans="10:13" x14ac:dyDescent="0.2">
      <c r="J49" s="27"/>
      <c r="K49" s="27"/>
      <c r="L49" s="27"/>
      <c r="M49" s="27"/>
    </row>
    <row r="50" spans="10:13" ht="39" customHeight="1" x14ac:dyDescent="0.25">
      <c r="J50" s="290" t="s">
        <v>642</v>
      </c>
      <c r="K50" s="291"/>
      <c r="L50" s="291"/>
      <c r="M50" s="292"/>
    </row>
    <row r="51" spans="10:13" x14ac:dyDescent="0.2">
      <c r="J51" s="69" t="s">
        <v>0</v>
      </c>
      <c r="K51" s="70" t="s">
        <v>1</v>
      </c>
      <c r="L51" s="70" t="s">
        <v>468</v>
      </c>
      <c r="M51" s="86" t="s">
        <v>123</v>
      </c>
    </row>
    <row r="52" spans="10:13" x14ac:dyDescent="0.2">
      <c r="J52" s="46">
        <v>2024</v>
      </c>
      <c r="K52" s="124">
        <v>14</v>
      </c>
      <c r="L52" s="124" t="s">
        <v>35</v>
      </c>
      <c r="M52" s="108">
        <v>48.46</v>
      </c>
    </row>
    <row r="53" spans="10:13" x14ac:dyDescent="0.2">
      <c r="J53" s="32">
        <v>2021</v>
      </c>
      <c r="K53">
        <v>2</v>
      </c>
      <c r="L53" t="s">
        <v>15</v>
      </c>
      <c r="M53" s="33">
        <v>51.38</v>
      </c>
    </row>
    <row r="54" spans="10:13" x14ac:dyDescent="0.2">
      <c r="J54" s="36">
        <v>2025</v>
      </c>
      <c r="K54" s="90">
        <v>10</v>
      </c>
      <c r="L54" s="90" t="s">
        <v>77</v>
      </c>
      <c r="M54" s="48">
        <v>51.62</v>
      </c>
    </row>
    <row r="55" spans="10:13" x14ac:dyDescent="0.2">
      <c r="J55" s="32">
        <v>2021</v>
      </c>
      <c r="K55">
        <v>12</v>
      </c>
      <c r="L55" t="s">
        <v>27</v>
      </c>
      <c r="M55" s="33">
        <v>57.06</v>
      </c>
    </row>
    <row r="56" spans="10:13" x14ac:dyDescent="0.2">
      <c r="J56" s="32">
        <v>2021</v>
      </c>
      <c r="K56">
        <v>5</v>
      </c>
      <c r="L56" t="s">
        <v>31</v>
      </c>
      <c r="M56" s="33">
        <v>58.28</v>
      </c>
    </row>
    <row r="57" spans="10:13" x14ac:dyDescent="0.2">
      <c r="J57" s="32">
        <v>2022</v>
      </c>
      <c r="K57">
        <v>15</v>
      </c>
      <c r="L57" t="s">
        <v>38</v>
      </c>
      <c r="M57" s="33">
        <v>59</v>
      </c>
    </row>
    <row r="58" spans="10:13" x14ac:dyDescent="0.2">
      <c r="J58" s="36">
        <v>2025</v>
      </c>
      <c r="K58" s="90">
        <v>2</v>
      </c>
      <c r="L58" s="90" t="s">
        <v>26</v>
      </c>
      <c r="M58" s="48">
        <v>60.74</v>
      </c>
    </row>
    <row r="59" spans="10:13" x14ac:dyDescent="0.2">
      <c r="J59" s="32">
        <v>2023</v>
      </c>
      <c r="K59">
        <v>15</v>
      </c>
      <c r="L59" t="s">
        <v>44</v>
      </c>
      <c r="M59" s="33">
        <v>61.96</v>
      </c>
    </row>
    <row r="60" spans="10:13" x14ac:dyDescent="0.2">
      <c r="J60" s="32">
        <v>2021</v>
      </c>
      <c r="K60">
        <v>7</v>
      </c>
      <c r="L60" t="s">
        <v>26</v>
      </c>
      <c r="M60" s="33">
        <v>62.48</v>
      </c>
    </row>
    <row r="61" spans="10:13" x14ac:dyDescent="0.2">
      <c r="J61" s="74">
        <v>2024</v>
      </c>
      <c r="K61" s="75">
        <v>3</v>
      </c>
      <c r="L61" s="75" t="s">
        <v>14</v>
      </c>
      <c r="M61" s="40">
        <v>64.180000000000007</v>
      </c>
    </row>
    <row r="62" spans="10:13" x14ac:dyDescent="0.2">
      <c r="J62" s="27"/>
      <c r="K62" s="27"/>
      <c r="L62" s="27"/>
      <c r="M62" s="27"/>
    </row>
  </sheetData>
  <mergeCells count="4">
    <mergeCell ref="B2:H2"/>
    <mergeCell ref="B16:H16"/>
    <mergeCell ref="J36:M36"/>
    <mergeCell ref="J50:M50"/>
  </mergeCells>
  <conditionalFormatting sqref="H4:H13">
    <cfRule type="colorScale" priority="6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8:H27">
    <cfRule type="colorScale" priority="3">
      <colorScale>
        <cfvo type="min"/>
        <cfvo type="max"/>
        <color rgb="FFF8696B"/>
        <color rgb="FFFCFCFF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7:H4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7:H49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8:M47">
    <cfRule type="colorScale" priority="1">
      <colorScale>
        <cfvo type="num" val="110"/>
        <cfvo type="max"/>
        <color rgb="FFFCFCFF"/>
        <color rgb="FF63BE7B"/>
      </colorScale>
    </cfRule>
  </conditionalFormatting>
  <conditionalFormatting sqref="M52:M61">
    <cfRule type="colorScale" priority="2">
      <colorScale>
        <cfvo type="min"/>
        <cfvo type="num" val="110"/>
        <color rgb="FFF8696B"/>
        <color rgb="FFFCFCFF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4442-14BA-FE41-8219-CD8C87BE4799}">
  <dimension ref="A2:F43"/>
  <sheetViews>
    <sheetView workbookViewId="0">
      <selection activeCell="I17" sqref="I17"/>
    </sheetView>
  </sheetViews>
  <sheetFormatPr baseColWidth="10" defaultRowHeight="16" x14ac:dyDescent="0.2"/>
  <cols>
    <col min="3" max="3" width="11.5" customWidth="1"/>
    <col min="4" max="4" width="27" customWidth="1"/>
  </cols>
  <sheetData>
    <row r="2" spans="1:6" x14ac:dyDescent="0.2">
      <c r="A2" s="27"/>
      <c r="B2" s="27"/>
      <c r="C2" s="27"/>
      <c r="D2" s="27"/>
      <c r="E2" s="27"/>
      <c r="F2" s="27"/>
    </row>
    <row r="3" spans="1:6" ht="39" customHeight="1" x14ac:dyDescent="0.25">
      <c r="A3" s="27"/>
      <c r="B3" s="290" t="s">
        <v>650</v>
      </c>
      <c r="C3" s="291"/>
      <c r="D3" s="291"/>
      <c r="E3" s="292"/>
      <c r="F3" s="27"/>
    </row>
    <row r="4" spans="1:6" x14ac:dyDescent="0.2">
      <c r="A4" s="27"/>
      <c r="B4" s="69" t="s">
        <v>0</v>
      </c>
      <c r="C4" s="70" t="s">
        <v>647</v>
      </c>
      <c r="D4" s="70" t="s">
        <v>468</v>
      </c>
      <c r="E4" s="86" t="s">
        <v>123</v>
      </c>
      <c r="F4" s="27"/>
    </row>
    <row r="5" spans="1:6" x14ac:dyDescent="0.2">
      <c r="A5" s="27"/>
      <c r="B5" s="46">
        <v>2021</v>
      </c>
      <c r="C5" s="247" t="s">
        <v>12</v>
      </c>
      <c r="D5" s="124" t="s">
        <v>30</v>
      </c>
      <c r="E5" s="108">
        <v>205.1</v>
      </c>
      <c r="F5" s="27"/>
    </row>
    <row r="6" spans="1:6" x14ac:dyDescent="0.2">
      <c r="A6" s="27"/>
      <c r="B6" s="32">
        <v>2023</v>
      </c>
      <c r="C6" s="203" t="s">
        <v>12</v>
      </c>
      <c r="D6" t="s">
        <v>14</v>
      </c>
      <c r="E6" s="33">
        <v>167.22</v>
      </c>
      <c r="F6" s="27"/>
    </row>
    <row r="7" spans="1:6" x14ac:dyDescent="0.2">
      <c r="A7" s="27"/>
      <c r="B7" s="32">
        <v>2022</v>
      </c>
      <c r="C7" s="203" t="s">
        <v>12</v>
      </c>
      <c r="D7" t="s">
        <v>43</v>
      </c>
      <c r="E7" s="33">
        <v>159.18</v>
      </c>
      <c r="F7" s="27"/>
    </row>
    <row r="8" spans="1:6" x14ac:dyDescent="0.2">
      <c r="A8" s="27"/>
      <c r="B8" s="36">
        <v>2025</v>
      </c>
      <c r="C8" s="245" t="s">
        <v>12</v>
      </c>
      <c r="D8" s="90" t="s">
        <v>18</v>
      </c>
      <c r="E8" s="48">
        <v>156.06</v>
      </c>
      <c r="F8" s="27"/>
    </row>
    <row r="9" spans="1:6" x14ac:dyDescent="0.2">
      <c r="A9" s="27"/>
      <c r="B9" s="32">
        <v>2023</v>
      </c>
      <c r="C9" s="203" t="s">
        <v>12</v>
      </c>
      <c r="D9" t="s">
        <v>44</v>
      </c>
      <c r="E9" s="33">
        <v>152.58000000000001</v>
      </c>
      <c r="F9" s="27"/>
    </row>
    <row r="10" spans="1:6" x14ac:dyDescent="0.2">
      <c r="A10" s="27"/>
      <c r="B10" s="32">
        <v>2024</v>
      </c>
      <c r="C10" s="203" t="s">
        <v>12</v>
      </c>
      <c r="D10" t="s">
        <v>18</v>
      </c>
      <c r="E10" s="33">
        <v>149.72</v>
      </c>
      <c r="F10" s="27"/>
    </row>
    <row r="11" spans="1:6" x14ac:dyDescent="0.2">
      <c r="A11" s="27"/>
      <c r="B11" s="36">
        <v>2025</v>
      </c>
      <c r="C11" s="245" t="s">
        <v>649</v>
      </c>
      <c r="D11" s="90" t="s">
        <v>524</v>
      </c>
      <c r="E11" s="48">
        <v>148.91999999999999</v>
      </c>
      <c r="F11" s="27"/>
    </row>
    <row r="12" spans="1:6" x14ac:dyDescent="0.2">
      <c r="A12" s="27"/>
      <c r="B12" s="32">
        <v>2024</v>
      </c>
      <c r="C12" s="203" t="s">
        <v>13</v>
      </c>
      <c r="D12" t="s">
        <v>18</v>
      </c>
      <c r="E12" s="33">
        <v>146.68</v>
      </c>
      <c r="F12" s="27"/>
    </row>
    <row r="13" spans="1:6" x14ac:dyDescent="0.2">
      <c r="A13" s="27"/>
      <c r="B13" s="32">
        <v>2024</v>
      </c>
      <c r="C13" s="203" t="s">
        <v>648</v>
      </c>
      <c r="D13" t="s">
        <v>31</v>
      </c>
      <c r="E13" s="33">
        <v>146.12</v>
      </c>
      <c r="F13" s="27"/>
    </row>
    <row r="14" spans="1:6" x14ac:dyDescent="0.2">
      <c r="A14" s="27"/>
      <c r="B14" s="211">
        <v>2025</v>
      </c>
      <c r="C14" s="246" t="s">
        <v>12</v>
      </c>
      <c r="D14" s="118" t="s">
        <v>35</v>
      </c>
      <c r="E14" s="244">
        <v>143.69999999999999</v>
      </c>
      <c r="F14" s="27"/>
    </row>
    <row r="15" spans="1:6" x14ac:dyDescent="0.2">
      <c r="A15" s="27"/>
      <c r="B15" s="27"/>
      <c r="C15" s="27"/>
      <c r="D15" s="27"/>
      <c r="E15" s="27"/>
    </row>
    <row r="16" spans="1:6" x14ac:dyDescent="0.2">
      <c r="A16" s="27"/>
      <c r="B16" s="27"/>
      <c r="C16" s="27"/>
      <c r="D16" s="27"/>
      <c r="E16" s="27"/>
      <c r="F16" s="27"/>
    </row>
    <row r="17" spans="1:6" ht="38" customHeight="1" x14ac:dyDescent="0.25">
      <c r="A17" s="27"/>
      <c r="B17" s="290" t="s">
        <v>651</v>
      </c>
      <c r="C17" s="291"/>
      <c r="D17" s="291"/>
      <c r="E17" s="292"/>
      <c r="F17" s="27"/>
    </row>
    <row r="18" spans="1:6" x14ac:dyDescent="0.2">
      <c r="A18" s="27"/>
      <c r="B18" s="69" t="s">
        <v>0</v>
      </c>
      <c r="C18" s="70" t="s">
        <v>647</v>
      </c>
      <c r="D18" s="70" t="s">
        <v>78</v>
      </c>
      <c r="E18" s="86" t="s">
        <v>123</v>
      </c>
      <c r="F18" s="27"/>
    </row>
    <row r="19" spans="1:6" x14ac:dyDescent="0.2">
      <c r="A19" s="27"/>
      <c r="B19" s="36">
        <v>2025</v>
      </c>
      <c r="C19" s="245" t="s">
        <v>649</v>
      </c>
      <c r="D19" s="90" t="s">
        <v>521</v>
      </c>
      <c r="E19" s="48">
        <v>79.959999999999994</v>
      </c>
      <c r="F19" s="27"/>
    </row>
    <row r="20" spans="1:6" x14ac:dyDescent="0.2">
      <c r="A20" s="27"/>
      <c r="B20" s="32">
        <v>2023</v>
      </c>
      <c r="C20" s="203" t="s">
        <v>648</v>
      </c>
      <c r="D20" t="s">
        <v>26</v>
      </c>
      <c r="E20" s="33">
        <v>88.68</v>
      </c>
      <c r="F20" s="27"/>
    </row>
    <row r="21" spans="1:6" x14ac:dyDescent="0.2">
      <c r="A21" s="27"/>
      <c r="B21" s="32">
        <v>2022</v>
      </c>
      <c r="C21" s="203" t="s">
        <v>13</v>
      </c>
      <c r="D21" t="s">
        <v>42</v>
      </c>
      <c r="E21" s="33">
        <v>89.38</v>
      </c>
      <c r="F21" s="27"/>
    </row>
    <row r="22" spans="1:6" x14ac:dyDescent="0.2">
      <c r="A22" s="27"/>
      <c r="B22" s="32">
        <v>2022</v>
      </c>
      <c r="C22" s="203" t="s">
        <v>13</v>
      </c>
      <c r="D22" t="s">
        <v>43</v>
      </c>
      <c r="E22" s="33">
        <v>89.42</v>
      </c>
      <c r="F22" s="27"/>
    </row>
    <row r="23" spans="1:6" x14ac:dyDescent="0.2">
      <c r="A23" s="27"/>
      <c r="B23" s="32">
        <v>2023</v>
      </c>
      <c r="C23" s="203" t="s">
        <v>12</v>
      </c>
      <c r="D23" t="s">
        <v>26</v>
      </c>
      <c r="E23" s="33">
        <v>90.04</v>
      </c>
      <c r="F23" s="27"/>
    </row>
    <row r="24" spans="1:6" x14ac:dyDescent="0.2">
      <c r="A24" s="27"/>
      <c r="B24" s="32">
        <v>2023</v>
      </c>
      <c r="C24" s="203" t="s">
        <v>648</v>
      </c>
      <c r="D24" t="s">
        <v>44</v>
      </c>
      <c r="E24" s="33">
        <v>92.66</v>
      </c>
      <c r="F24" s="27"/>
    </row>
    <row r="25" spans="1:6" x14ac:dyDescent="0.2">
      <c r="A25" s="27"/>
      <c r="B25" s="32">
        <v>2022</v>
      </c>
      <c r="C25" s="203" t="s">
        <v>12</v>
      </c>
      <c r="D25" t="s">
        <v>14</v>
      </c>
      <c r="E25" s="33">
        <v>92.96</v>
      </c>
      <c r="F25" s="27"/>
    </row>
    <row r="26" spans="1:6" x14ac:dyDescent="0.2">
      <c r="A26" s="27"/>
      <c r="B26" s="36">
        <v>2025</v>
      </c>
      <c r="C26" s="245" t="s">
        <v>12</v>
      </c>
      <c r="D26" s="90" t="s">
        <v>524</v>
      </c>
      <c r="E26" s="48">
        <v>93.1</v>
      </c>
      <c r="F26" s="27"/>
    </row>
    <row r="27" spans="1:6" x14ac:dyDescent="0.2">
      <c r="A27" s="27"/>
      <c r="B27" s="32">
        <v>2022</v>
      </c>
      <c r="C27" s="203" t="s">
        <v>12</v>
      </c>
      <c r="D27" t="s">
        <v>40</v>
      </c>
      <c r="E27" s="33">
        <v>94.26</v>
      </c>
      <c r="F27" s="27"/>
    </row>
    <row r="28" spans="1:6" x14ac:dyDescent="0.2">
      <c r="A28" s="27"/>
      <c r="B28" s="211">
        <v>2025</v>
      </c>
      <c r="C28" s="246" t="s">
        <v>648</v>
      </c>
      <c r="D28" s="118" t="s">
        <v>31</v>
      </c>
      <c r="E28" s="244">
        <v>94.42</v>
      </c>
      <c r="F28" s="27"/>
    </row>
    <row r="29" spans="1:6" x14ac:dyDescent="0.2">
      <c r="A29" s="27"/>
      <c r="B29" s="27"/>
      <c r="C29" s="27"/>
      <c r="D29" s="27"/>
      <c r="E29" s="27"/>
      <c r="F29" s="27"/>
    </row>
    <row r="30" spans="1:6" x14ac:dyDescent="0.2">
      <c r="A30" s="27"/>
      <c r="B30" s="27"/>
      <c r="C30" s="27"/>
      <c r="D30" s="27"/>
      <c r="E30" s="27"/>
      <c r="F30" s="27"/>
    </row>
    <row r="31" spans="1:6" ht="38" customHeight="1" x14ac:dyDescent="0.25">
      <c r="A31" s="27"/>
      <c r="B31" s="290" t="s">
        <v>653</v>
      </c>
      <c r="C31" s="291"/>
      <c r="D31" s="291"/>
      <c r="E31" s="292"/>
      <c r="F31" s="27"/>
    </row>
    <row r="32" spans="1:6" x14ac:dyDescent="0.2">
      <c r="A32" s="27"/>
      <c r="B32" s="69" t="s">
        <v>0</v>
      </c>
      <c r="C32" s="70" t="s">
        <v>647</v>
      </c>
      <c r="D32" s="70" t="s">
        <v>468</v>
      </c>
      <c r="E32" s="86" t="s">
        <v>123</v>
      </c>
      <c r="F32" s="27"/>
    </row>
    <row r="33" spans="1:6" x14ac:dyDescent="0.2">
      <c r="A33" s="27"/>
      <c r="B33" s="46">
        <v>2023</v>
      </c>
      <c r="C33" s="247" t="s">
        <v>12</v>
      </c>
      <c r="D33" s="124" t="s">
        <v>44</v>
      </c>
      <c r="E33" s="108">
        <v>152.58000000000001</v>
      </c>
      <c r="F33" s="27"/>
    </row>
    <row r="34" spans="1:6" x14ac:dyDescent="0.2">
      <c r="A34" s="27"/>
      <c r="B34" s="32">
        <v>2024</v>
      </c>
      <c r="C34" s="203" t="s">
        <v>648</v>
      </c>
      <c r="D34" t="s">
        <v>42</v>
      </c>
      <c r="E34" s="33">
        <v>124.96</v>
      </c>
      <c r="F34" s="27"/>
    </row>
    <row r="35" spans="1:6" x14ac:dyDescent="0.2">
      <c r="A35" s="27"/>
      <c r="B35" s="36">
        <v>2025</v>
      </c>
      <c r="C35" s="245" t="s">
        <v>649</v>
      </c>
      <c r="D35" s="90" t="s">
        <v>46</v>
      </c>
      <c r="E35" s="48">
        <v>122.7</v>
      </c>
      <c r="F35" s="27"/>
    </row>
    <row r="36" spans="1:6" x14ac:dyDescent="0.2">
      <c r="A36" s="27"/>
      <c r="B36" s="32">
        <v>2024</v>
      </c>
      <c r="C36" s="203" t="s">
        <v>13</v>
      </c>
      <c r="D36" t="s">
        <v>46</v>
      </c>
      <c r="E36" s="33">
        <v>121.06</v>
      </c>
      <c r="F36" s="27"/>
    </row>
    <row r="37" spans="1:6" x14ac:dyDescent="0.2">
      <c r="A37" s="27"/>
      <c r="B37" s="32">
        <v>2021</v>
      </c>
      <c r="C37" s="203" t="s">
        <v>648</v>
      </c>
      <c r="D37" t="s">
        <v>34</v>
      </c>
      <c r="E37" s="33">
        <v>119.78</v>
      </c>
      <c r="F37" s="27"/>
    </row>
    <row r="38" spans="1:6" x14ac:dyDescent="0.2">
      <c r="A38" s="27"/>
      <c r="B38" s="32">
        <v>2021</v>
      </c>
      <c r="C38" s="203" t="s">
        <v>12</v>
      </c>
      <c r="D38" t="s">
        <v>34</v>
      </c>
      <c r="E38" s="33">
        <v>118.24</v>
      </c>
      <c r="F38" s="27"/>
    </row>
    <row r="39" spans="1:6" x14ac:dyDescent="0.2">
      <c r="A39" s="27"/>
      <c r="B39" s="32">
        <v>2021</v>
      </c>
      <c r="C39" s="203" t="s">
        <v>13</v>
      </c>
      <c r="D39" t="s">
        <v>22</v>
      </c>
      <c r="E39" s="33">
        <v>114.86</v>
      </c>
      <c r="F39" s="27"/>
    </row>
    <row r="40" spans="1:6" x14ac:dyDescent="0.2">
      <c r="A40" s="27"/>
      <c r="B40" s="32">
        <v>2021</v>
      </c>
      <c r="C40" s="203" t="s">
        <v>12</v>
      </c>
      <c r="D40" t="s">
        <v>18</v>
      </c>
      <c r="E40" s="33">
        <v>113.88</v>
      </c>
      <c r="F40" s="27"/>
    </row>
    <row r="41" spans="1:6" x14ac:dyDescent="0.2">
      <c r="A41" s="27"/>
      <c r="B41" s="32">
        <v>2022</v>
      </c>
      <c r="C41" s="203" t="s">
        <v>648</v>
      </c>
      <c r="D41" t="s">
        <v>14</v>
      </c>
      <c r="E41" s="33">
        <v>113.78</v>
      </c>
      <c r="F41" s="27"/>
    </row>
    <row r="42" spans="1:6" x14ac:dyDescent="0.2">
      <c r="A42" s="27"/>
      <c r="B42" s="74">
        <v>2023</v>
      </c>
      <c r="C42" s="276" t="s">
        <v>13</v>
      </c>
      <c r="D42" s="75" t="s">
        <v>14</v>
      </c>
      <c r="E42" s="40">
        <v>106.38</v>
      </c>
      <c r="F42" s="27"/>
    </row>
    <row r="43" spans="1:6" x14ac:dyDescent="0.2">
      <c r="A43" s="27"/>
      <c r="B43" s="27"/>
      <c r="C43" s="27"/>
      <c r="D43" s="27"/>
      <c r="E43" s="27"/>
      <c r="F43" s="27"/>
    </row>
  </sheetData>
  <mergeCells count="3">
    <mergeCell ref="B3:E3"/>
    <mergeCell ref="B17:E17"/>
    <mergeCell ref="B31:E31"/>
  </mergeCells>
  <conditionalFormatting sqref="E5:E14">
    <cfRule type="colorScale" priority="3">
      <colorScale>
        <cfvo type="min"/>
        <cfvo type="max"/>
        <color rgb="FFFCFCFF"/>
        <color rgb="FF63BE7B"/>
      </colorScale>
    </cfRule>
  </conditionalFormatting>
  <conditionalFormatting sqref="E19:E28">
    <cfRule type="colorScale" priority="4">
      <colorScale>
        <cfvo type="min"/>
        <cfvo type="max"/>
        <color rgb="FFF8696B"/>
        <color rgb="FFFCFCFF"/>
      </colorScale>
    </cfRule>
  </conditionalFormatting>
  <conditionalFormatting sqref="E33:E4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D83D-3B3D-6747-8B72-D4095D4F8C57}">
  <sheetPr filterMode="1"/>
  <dimension ref="A2:H341"/>
  <sheetViews>
    <sheetView workbookViewId="0">
      <selection activeCell="C356" sqref="C356"/>
    </sheetView>
  </sheetViews>
  <sheetFormatPr baseColWidth="10" defaultRowHeight="16" x14ac:dyDescent="0.2"/>
  <cols>
    <col min="1" max="1" width="18.6640625" customWidth="1"/>
  </cols>
  <sheetData>
    <row r="2" spans="1:8" x14ac:dyDescent="0.2">
      <c r="A2" s="90"/>
      <c r="B2" s="90" t="s">
        <v>594</v>
      </c>
      <c r="C2" s="90" t="s">
        <v>596</v>
      </c>
      <c r="D2" s="90" t="s">
        <v>595</v>
      </c>
      <c r="E2" s="90" t="s">
        <v>597</v>
      </c>
      <c r="F2" s="90">
        <v>2024</v>
      </c>
      <c r="G2" s="90">
        <v>2025</v>
      </c>
      <c r="H2" s="90" t="s">
        <v>7</v>
      </c>
    </row>
    <row r="3" spans="1:8" hidden="1" x14ac:dyDescent="0.2">
      <c r="A3" s="7" t="s">
        <v>541</v>
      </c>
      <c r="B3" s="8"/>
      <c r="C3" s="8"/>
      <c r="D3" s="8">
        <v>3</v>
      </c>
      <c r="E3" s="8">
        <v>37.86</v>
      </c>
      <c r="F3" s="42" t="e">
        <f t="shared" ref="F3:F66" si="0">C3/B3</f>
        <v>#DIV/0!</v>
      </c>
      <c r="G3" s="42">
        <f t="shared" ref="G3:G66" si="1">E3/D3</f>
        <v>12.62</v>
      </c>
      <c r="H3" s="42" t="e">
        <f t="shared" ref="H3:H66" si="2">G3-F3</f>
        <v>#DIV/0!</v>
      </c>
    </row>
    <row r="4" spans="1:8" hidden="1" x14ac:dyDescent="0.2">
      <c r="A4" s="7" t="s">
        <v>404</v>
      </c>
      <c r="B4" s="8">
        <v>4</v>
      </c>
      <c r="C4" s="8">
        <v>60.599999999999994</v>
      </c>
      <c r="D4" s="8"/>
      <c r="E4" s="8"/>
      <c r="F4" s="42">
        <f t="shared" si="0"/>
        <v>15.149999999999999</v>
      </c>
      <c r="G4" s="42" t="e">
        <f t="shared" si="1"/>
        <v>#DIV/0!</v>
      </c>
      <c r="H4" s="42" t="e">
        <f t="shared" si="2"/>
        <v>#DIV/0!</v>
      </c>
    </row>
    <row r="5" spans="1:8" hidden="1" x14ac:dyDescent="0.2">
      <c r="A5" s="7" t="s">
        <v>338</v>
      </c>
      <c r="B5" s="8">
        <v>2</v>
      </c>
      <c r="C5" s="8">
        <v>18.600000000000001</v>
      </c>
      <c r="D5" s="8"/>
      <c r="E5" s="8"/>
      <c r="F5" s="42">
        <f t="shared" si="0"/>
        <v>9.3000000000000007</v>
      </c>
      <c r="G5" s="42" t="e">
        <f t="shared" si="1"/>
        <v>#DIV/0!</v>
      </c>
      <c r="H5" s="42" t="e">
        <f t="shared" si="2"/>
        <v>#DIV/0!</v>
      </c>
    </row>
    <row r="6" spans="1:8" hidden="1" x14ac:dyDescent="0.2">
      <c r="A6" s="7" t="s">
        <v>330</v>
      </c>
      <c r="B6" s="8">
        <v>4</v>
      </c>
      <c r="C6" s="8">
        <v>41.699999999999996</v>
      </c>
      <c r="D6" s="8"/>
      <c r="E6" s="8"/>
      <c r="F6" s="42">
        <f t="shared" si="0"/>
        <v>10.424999999999999</v>
      </c>
      <c r="G6" s="42" t="e">
        <f t="shared" si="1"/>
        <v>#DIV/0!</v>
      </c>
      <c r="H6" s="42" t="e">
        <f t="shared" si="2"/>
        <v>#DIV/0!</v>
      </c>
    </row>
    <row r="7" spans="1:8" hidden="1" x14ac:dyDescent="0.2">
      <c r="A7" s="7" t="s">
        <v>201</v>
      </c>
      <c r="B7" s="8">
        <v>14</v>
      </c>
      <c r="C7" s="8">
        <v>100.7</v>
      </c>
      <c r="D7" s="8"/>
      <c r="E7" s="8"/>
      <c r="F7" s="42">
        <f t="shared" si="0"/>
        <v>7.1928571428571431</v>
      </c>
      <c r="G7" s="42" t="e">
        <f t="shared" si="1"/>
        <v>#DIV/0!</v>
      </c>
      <c r="H7" s="42" t="e">
        <f t="shared" si="2"/>
        <v>#DIV/0!</v>
      </c>
    </row>
    <row r="8" spans="1:8" hidden="1" x14ac:dyDescent="0.2">
      <c r="A8" s="7" t="s">
        <v>400</v>
      </c>
      <c r="B8" s="8">
        <v>1</v>
      </c>
      <c r="C8" s="8">
        <v>0.3</v>
      </c>
      <c r="D8" s="8"/>
      <c r="E8" s="8"/>
      <c r="F8" s="42">
        <f t="shared" si="0"/>
        <v>0.3</v>
      </c>
      <c r="G8" s="42" t="e">
        <f t="shared" si="1"/>
        <v>#DIV/0!</v>
      </c>
      <c r="H8" s="42" t="e">
        <f t="shared" si="2"/>
        <v>#DIV/0!</v>
      </c>
    </row>
    <row r="9" spans="1:8" hidden="1" x14ac:dyDescent="0.2">
      <c r="A9" s="7" t="s">
        <v>221</v>
      </c>
      <c r="B9" s="8">
        <v>7</v>
      </c>
      <c r="C9" s="8">
        <v>79.5</v>
      </c>
      <c r="D9" s="8"/>
      <c r="E9" s="8"/>
      <c r="F9" s="42">
        <f t="shared" si="0"/>
        <v>11.357142857142858</v>
      </c>
      <c r="G9" s="42" t="e">
        <f t="shared" si="1"/>
        <v>#DIV/0!</v>
      </c>
      <c r="H9" s="42" t="e">
        <f t="shared" si="2"/>
        <v>#DIV/0!</v>
      </c>
    </row>
    <row r="10" spans="1:8" hidden="1" x14ac:dyDescent="0.2">
      <c r="A10" s="7" t="s">
        <v>519</v>
      </c>
      <c r="B10" s="8"/>
      <c r="C10" s="8"/>
      <c r="D10" s="8">
        <v>13</v>
      </c>
      <c r="E10" s="8">
        <v>160.9</v>
      </c>
      <c r="F10" s="42" t="e">
        <f t="shared" si="0"/>
        <v>#DIV/0!</v>
      </c>
      <c r="G10" s="42">
        <f t="shared" si="1"/>
        <v>12.376923076923077</v>
      </c>
      <c r="H10" s="42" t="e">
        <f t="shared" si="2"/>
        <v>#DIV/0!</v>
      </c>
    </row>
    <row r="11" spans="1:8" hidden="1" x14ac:dyDescent="0.2">
      <c r="A11" s="7" t="s">
        <v>591</v>
      </c>
      <c r="B11" s="8"/>
      <c r="C11" s="8"/>
      <c r="D11" s="8">
        <v>1</v>
      </c>
      <c r="E11" s="8">
        <v>3</v>
      </c>
      <c r="F11" s="42" t="e">
        <f t="shared" si="0"/>
        <v>#DIV/0!</v>
      </c>
      <c r="G11" s="42">
        <f t="shared" si="1"/>
        <v>3</v>
      </c>
      <c r="H11" s="42" t="e">
        <f t="shared" si="2"/>
        <v>#DIV/0!</v>
      </c>
    </row>
    <row r="12" spans="1:8" hidden="1" x14ac:dyDescent="0.2">
      <c r="A12" s="7" t="s">
        <v>378</v>
      </c>
      <c r="B12" s="8">
        <v>1</v>
      </c>
      <c r="C12" s="8">
        <v>4</v>
      </c>
      <c r="D12" s="8"/>
      <c r="E12" s="8"/>
      <c r="F12" s="42">
        <f t="shared" si="0"/>
        <v>4</v>
      </c>
      <c r="G12" s="42" t="e">
        <f t="shared" si="1"/>
        <v>#DIV/0!</v>
      </c>
      <c r="H12" s="42" t="e">
        <f t="shared" si="2"/>
        <v>#DIV/0!</v>
      </c>
    </row>
    <row r="13" spans="1:8" hidden="1" x14ac:dyDescent="0.2">
      <c r="A13" s="7" t="s">
        <v>319</v>
      </c>
      <c r="B13" s="8">
        <v>6</v>
      </c>
      <c r="C13" s="8">
        <v>71</v>
      </c>
      <c r="D13" s="8"/>
      <c r="E13" s="8"/>
      <c r="F13" s="42">
        <f t="shared" si="0"/>
        <v>11.833333333333334</v>
      </c>
      <c r="G13" s="42" t="e">
        <f t="shared" si="1"/>
        <v>#DIV/0!</v>
      </c>
      <c r="H13" s="42" t="e">
        <f t="shared" si="2"/>
        <v>#DIV/0!</v>
      </c>
    </row>
    <row r="14" spans="1:8" hidden="1" x14ac:dyDescent="0.2">
      <c r="A14" s="7" t="s">
        <v>578</v>
      </c>
      <c r="B14" s="8"/>
      <c r="C14" s="8"/>
      <c r="D14" s="8">
        <v>1</v>
      </c>
      <c r="E14" s="8">
        <v>5.7</v>
      </c>
      <c r="F14" s="42" t="e">
        <f t="shared" si="0"/>
        <v>#DIV/0!</v>
      </c>
      <c r="G14" s="42">
        <f t="shared" si="1"/>
        <v>5.7</v>
      </c>
      <c r="H14" s="42" t="e">
        <f t="shared" si="2"/>
        <v>#DIV/0!</v>
      </c>
    </row>
    <row r="15" spans="1:8" hidden="1" x14ac:dyDescent="0.2">
      <c r="A15" s="7" t="s">
        <v>583</v>
      </c>
      <c r="B15" s="8"/>
      <c r="C15" s="8"/>
      <c r="D15" s="8">
        <v>1</v>
      </c>
      <c r="E15" s="8">
        <v>1.5</v>
      </c>
      <c r="F15" s="42" t="e">
        <f t="shared" si="0"/>
        <v>#DIV/0!</v>
      </c>
      <c r="G15" s="42">
        <f t="shared" si="1"/>
        <v>1.5</v>
      </c>
      <c r="H15" s="42" t="e">
        <f t="shared" si="2"/>
        <v>#DIV/0!</v>
      </c>
    </row>
    <row r="16" spans="1:8" hidden="1" x14ac:dyDescent="0.2">
      <c r="A16" s="7" t="s">
        <v>395</v>
      </c>
      <c r="B16" s="8">
        <v>1</v>
      </c>
      <c r="C16" s="8">
        <v>0</v>
      </c>
      <c r="D16" s="8"/>
      <c r="E16" s="8"/>
      <c r="F16" s="42">
        <f t="shared" si="0"/>
        <v>0</v>
      </c>
      <c r="G16" s="42" t="e">
        <f t="shared" si="1"/>
        <v>#DIV/0!</v>
      </c>
      <c r="H16" s="42" t="e">
        <f t="shared" si="2"/>
        <v>#DIV/0!</v>
      </c>
    </row>
    <row r="17" spans="1:8" hidden="1" x14ac:dyDescent="0.2">
      <c r="A17" s="7" t="s">
        <v>340</v>
      </c>
      <c r="B17" s="8">
        <v>1</v>
      </c>
      <c r="C17" s="8">
        <v>0.8</v>
      </c>
      <c r="D17" s="8"/>
      <c r="E17" s="8"/>
      <c r="F17" s="42">
        <f t="shared" si="0"/>
        <v>0.8</v>
      </c>
      <c r="G17" s="42" t="e">
        <f t="shared" si="1"/>
        <v>#DIV/0!</v>
      </c>
      <c r="H17" s="42" t="e">
        <f t="shared" si="2"/>
        <v>#DIV/0!</v>
      </c>
    </row>
    <row r="18" spans="1:8" hidden="1" x14ac:dyDescent="0.2">
      <c r="A18" s="7" t="s">
        <v>284</v>
      </c>
      <c r="B18" s="8">
        <v>2</v>
      </c>
      <c r="C18" s="8">
        <v>5.2</v>
      </c>
      <c r="D18" s="8"/>
      <c r="E18" s="8"/>
      <c r="F18" s="42">
        <f t="shared" si="0"/>
        <v>2.6</v>
      </c>
      <c r="G18" s="42" t="e">
        <f t="shared" si="1"/>
        <v>#DIV/0!</v>
      </c>
      <c r="H18" s="42" t="e">
        <f t="shared" si="2"/>
        <v>#DIV/0!</v>
      </c>
    </row>
    <row r="19" spans="1:8" hidden="1" x14ac:dyDescent="0.2">
      <c r="A19" s="7" t="s">
        <v>261</v>
      </c>
      <c r="B19" s="8">
        <v>7</v>
      </c>
      <c r="C19" s="8">
        <v>49.9</v>
      </c>
      <c r="D19" s="8"/>
      <c r="E19" s="8"/>
      <c r="F19" s="42">
        <f t="shared" si="0"/>
        <v>7.1285714285714281</v>
      </c>
      <c r="G19" s="42" t="e">
        <f t="shared" si="1"/>
        <v>#DIV/0!</v>
      </c>
      <c r="H19" s="42" t="e">
        <f t="shared" si="2"/>
        <v>#DIV/0!</v>
      </c>
    </row>
    <row r="20" spans="1:8" hidden="1" x14ac:dyDescent="0.2">
      <c r="A20" s="7" t="s">
        <v>342</v>
      </c>
      <c r="B20" s="8">
        <v>1</v>
      </c>
      <c r="C20" s="8">
        <v>10</v>
      </c>
      <c r="D20" s="8"/>
      <c r="E20" s="8"/>
      <c r="F20" s="42">
        <f t="shared" si="0"/>
        <v>10</v>
      </c>
      <c r="G20" s="42" t="e">
        <f t="shared" si="1"/>
        <v>#DIV/0!</v>
      </c>
      <c r="H20" s="42" t="e">
        <f t="shared" si="2"/>
        <v>#DIV/0!</v>
      </c>
    </row>
    <row r="21" spans="1:8" hidden="1" x14ac:dyDescent="0.2">
      <c r="A21" s="7" t="s">
        <v>535</v>
      </c>
      <c r="B21" s="8"/>
      <c r="C21" s="8"/>
      <c r="D21" s="8">
        <v>3</v>
      </c>
      <c r="E21" s="8">
        <v>10.100000000000001</v>
      </c>
      <c r="F21" s="42" t="e">
        <f t="shared" si="0"/>
        <v>#DIV/0!</v>
      </c>
      <c r="G21" s="42">
        <f t="shared" si="1"/>
        <v>3.3666666666666671</v>
      </c>
      <c r="H21" s="42" t="e">
        <f t="shared" si="2"/>
        <v>#DIV/0!</v>
      </c>
    </row>
    <row r="22" spans="1:8" hidden="1" x14ac:dyDescent="0.2">
      <c r="A22" s="7" t="s">
        <v>291</v>
      </c>
      <c r="B22" s="8">
        <v>11</v>
      </c>
      <c r="C22" s="8">
        <v>118.2</v>
      </c>
      <c r="D22" s="8"/>
      <c r="E22" s="8"/>
      <c r="F22" s="42">
        <f t="shared" si="0"/>
        <v>10.745454545454546</v>
      </c>
      <c r="G22" s="42" t="e">
        <f t="shared" si="1"/>
        <v>#DIV/0!</v>
      </c>
      <c r="H22" s="42" t="e">
        <f t="shared" si="2"/>
        <v>#DIV/0!</v>
      </c>
    </row>
    <row r="23" spans="1:8" hidden="1" x14ac:dyDescent="0.2">
      <c r="A23" s="7" t="s">
        <v>589</v>
      </c>
      <c r="B23" s="8"/>
      <c r="C23" s="8"/>
      <c r="D23" s="8">
        <v>2</v>
      </c>
      <c r="E23" s="8">
        <v>14</v>
      </c>
      <c r="F23" s="42" t="e">
        <f t="shared" si="0"/>
        <v>#DIV/0!</v>
      </c>
      <c r="G23" s="42">
        <f t="shared" si="1"/>
        <v>7</v>
      </c>
      <c r="H23" s="42" t="e">
        <f t="shared" si="2"/>
        <v>#DIV/0!</v>
      </c>
    </row>
    <row r="24" spans="1:8" hidden="1" x14ac:dyDescent="0.2">
      <c r="A24" s="7" t="s">
        <v>586</v>
      </c>
      <c r="B24" s="8"/>
      <c r="C24" s="8"/>
      <c r="D24" s="8">
        <v>1</v>
      </c>
      <c r="E24" s="8">
        <v>8.26</v>
      </c>
      <c r="F24" s="42" t="e">
        <f t="shared" si="0"/>
        <v>#DIV/0!</v>
      </c>
      <c r="G24" s="42">
        <f t="shared" si="1"/>
        <v>8.26</v>
      </c>
      <c r="H24" s="42" t="e">
        <f t="shared" si="2"/>
        <v>#DIV/0!</v>
      </c>
    </row>
    <row r="25" spans="1:8" hidden="1" x14ac:dyDescent="0.2">
      <c r="A25" s="7" t="s">
        <v>353</v>
      </c>
      <c r="B25" s="8">
        <v>1</v>
      </c>
      <c r="C25" s="8">
        <v>5.2</v>
      </c>
      <c r="D25" s="8"/>
      <c r="E25" s="8"/>
      <c r="F25" s="42">
        <f t="shared" si="0"/>
        <v>5.2</v>
      </c>
      <c r="G25" s="42" t="e">
        <f t="shared" si="1"/>
        <v>#DIV/0!</v>
      </c>
      <c r="H25" s="42" t="e">
        <f t="shared" si="2"/>
        <v>#DIV/0!</v>
      </c>
    </row>
    <row r="26" spans="1:8" hidden="1" x14ac:dyDescent="0.2">
      <c r="A26" s="7" t="s">
        <v>573</v>
      </c>
      <c r="B26" s="8"/>
      <c r="C26" s="8"/>
      <c r="D26" s="8">
        <v>1</v>
      </c>
      <c r="E26" s="8">
        <v>8.1</v>
      </c>
      <c r="F26" s="42" t="e">
        <f t="shared" si="0"/>
        <v>#DIV/0!</v>
      </c>
      <c r="G26" s="42">
        <f t="shared" si="1"/>
        <v>8.1</v>
      </c>
      <c r="H26" s="42" t="e">
        <f t="shared" si="2"/>
        <v>#DIV/0!</v>
      </c>
    </row>
    <row r="27" spans="1:8" hidden="1" x14ac:dyDescent="0.2">
      <c r="A27" s="7" t="s">
        <v>272</v>
      </c>
      <c r="B27" s="8">
        <v>2</v>
      </c>
      <c r="C27" s="8">
        <v>14.7</v>
      </c>
      <c r="D27" s="8"/>
      <c r="E27" s="8"/>
      <c r="F27" s="42">
        <f t="shared" si="0"/>
        <v>7.35</v>
      </c>
      <c r="G27" s="42" t="e">
        <f t="shared" si="1"/>
        <v>#DIV/0!</v>
      </c>
      <c r="H27" s="42" t="e">
        <f t="shared" si="2"/>
        <v>#DIV/0!</v>
      </c>
    </row>
    <row r="28" spans="1:8" hidden="1" x14ac:dyDescent="0.2">
      <c r="A28" s="7" t="s">
        <v>533</v>
      </c>
      <c r="B28" s="8"/>
      <c r="C28" s="8"/>
      <c r="D28" s="8">
        <v>7</v>
      </c>
      <c r="E28" s="8">
        <v>67</v>
      </c>
      <c r="F28" s="42" t="e">
        <f t="shared" si="0"/>
        <v>#DIV/0!</v>
      </c>
      <c r="G28" s="42">
        <f t="shared" si="1"/>
        <v>9.5714285714285712</v>
      </c>
      <c r="H28" s="42" t="e">
        <f t="shared" si="2"/>
        <v>#DIV/0!</v>
      </c>
    </row>
    <row r="29" spans="1:8" hidden="1" x14ac:dyDescent="0.2">
      <c r="A29" s="7" t="s">
        <v>547</v>
      </c>
      <c r="B29" s="8"/>
      <c r="C29" s="8"/>
      <c r="D29" s="8">
        <v>5</v>
      </c>
      <c r="E29" s="8">
        <v>79.8</v>
      </c>
      <c r="F29" s="42" t="e">
        <f t="shared" si="0"/>
        <v>#DIV/0!</v>
      </c>
      <c r="G29" s="42">
        <f t="shared" si="1"/>
        <v>15.959999999999999</v>
      </c>
      <c r="H29" s="42" t="e">
        <f t="shared" si="2"/>
        <v>#DIV/0!</v>
      </c>
    </row>
    <row r="30" spans="1:8" hidden="1" x14ac:dyDescent="0.2">
      <c r="A30" s="7" t="s">
        <v>584</v>
      </c>
      <c r="B30" s="8"/>
      <c r="C30" s="8"/>
      <c r="D30" s="8">
        <v>1</v>
      </c>
      <c r="E30" s="8">
        <v>4</v>
      </c>
      <c r="F30" s="42" t="e">
        <f t="shared" si="0"/>
        <v>#DIV/0!</v>
      </c>
      <c r="G30" s="42">
        <f t="shared" si="1"/>
        <v>4</v>
      </c>
      <c r="H30" s="42" t="e">
        <f t="shared" si="2"/>
        <v>#DIV/0!</v>
      </c>
    </row>
    <row r="31" spans="1:8" hidden="1" x14ac:dyDescent="0.2">
      <c r="A31" s="7" t="s">
        <v>275</v>
      </c>
      <c r="B31" s="8">
        <v>2</v>
      </c>
      <c r="C31" s="8">
        <v>7</v>
      </c>
      <c r="D31" s="8"/>
      <c r="E31" s="8"/>
      <c r="F31" s="42">
        <f t="shared" si="0"/>
        <v>3.5</v>
      </c>
      <c r="G31" s="42" t="e">
        <f t="shared" si="1"/>
        <v>#DIV/0!</v>
      </c>
      <c r="H31" s="42" t="e">
        <f t="shared" si="2"/>
        <v>#DIV/0!</v>
      </c>
    </row>
    <row r="32" spans="1:8" hidden="1" x14ac:dyDescent="0.2">
      <c r="A32" s="7" t="s">
        <v>367</v>
      </c>
      <c r="B32" s="8">
        <v>2</v>
      </c>
      <c r="C32" s="8">
        <v>22.7</v>
      </c>
      <c r="D32" s="8"/>
      <c r="E32" s="8"/>
      <c r="F32" s="42">
        <f t="shared" si="0"/>
        <v>11.35</v>
      </c>
      <c r="G32" s="42" t="e">
        <f t="shared" si="1"/>
        <v>#DIV/0!</v>
      </c>
      <c r="H32" s="42" t="e">
        <f t="shared" si="2"/>
        <v>#DIV/0!</v>
      </c>
    </row>
    <row r="33" spans="1:8" hidden="1" x14ac:dyDescent="0.2">
      <c r="A33" s="7" t="s">
        <v>538</v>
      </c>
      <c r="B33" s="8"/>
      <c r="C33" s="8"/>
      <c r="D33" s="8">
        <v>2</v>
      </c>
      <c r="E33" s="8">
        <v>12</v>
      </c>
      <c r="F33" s="42" t="e">
        <f t="shared" si="0"/>
        <v>#DIV/0!</v>
      </c>
      <c r="G33" s="42">
        <f t="shared" si="1"/>
        <v>6</v>
      </c>
      <c r="H33" s="42" t="e">
        <f t="shared" si="2"/>
        <v>#DIV/0!</v>
      </c>
    </row>
    <row r="34" spans="1:8" hidden="1" x14ac:dyDescent="0.2">
      <c r="A34" s="7" t="s">
        <v>430</v>
      </c>
      <c r="B34" s="8">
        <v>1</v>
      </c>
      <c r="C34" s="8">
        <v>8.4</v>
      </c>
      <c r="D34" s="8"/>
      <c r="E34" s="8"/>
      <c r="F34" s="42">
        <f t="shared" si="0"/>
        <v>8.4</v>
      </c>
      <c r="G34" s="42" t="e">
        <f t="shared" si="1"/>
        <v>#DIV/0!</v>
      </c>
      <c r="H34" s="42" t="e">
        <f t="shared" si="2"/>
        <v>#DIV/0!</v>
      </c>
    </row>
    <row r="35" spans="1:8" hidden="1" x14ac:dyDescent="0.2">
      <c r="A35" s="7" t="s">
        <v>575</v>
      </c>
      <c r="B35" s="8"/>
      <c r="C35" s="8"/>
      <c r="D35" s="8">
        <v>1</v>
      </c>
      <c r="E35" s="8">
        <v>7</v>
      </c>
      <c r="F35" s="42" t="e">
        <f t="shared" si="0"/>
        <v>#DIV/0!</v>
      </c>
      <c r="G35" s="42">
        <f t="shared" si="1"/>
        <v>7</v>
      </c>
      <c r="H35" s="42" t="e">
        <f t="shared" si="2"/>
        <v>#DIV/0!</v>
      </c>
    </row>
    <row r="36" spans="1:8" hidden="1" x14ac:dyDescent="0.2">
      <c r="A36" s="7" t="s">
        <v>159</v>
      </c>
      <c r="B36" s="8">
        <v>11</v>
      </c>
      <c r="C36" s="8">
        <v>155.32000000000002</v>
      </c>
      <c r="D36" s="8"/>
      <c r="E36" s="8"/>
      <c r="F36" s="42">
        <f t="shared" si="0"/>
        <v>14.120000000000003</v>
      </c>
      <c r="G36" s="42" t="e">
        <f t="shared" si="1"/>
        <v>#DIV/0!</v>
      </c>
      <c r="H36" s="42" t="e">
        <f t="shared" si="2"/>
        <v>#DIV/0!</v>
      </c>
    </row>
    <row r="37" spans="1:8" hidden="1" x14ac:dyDescent="0.2">
      <c r="A37" s="7" t="s">
        <v>286</v>
      </c>
      <c r="B37" s="8">
        <v>2</v>
      </c>
      <c r="C37" s="8">
        <v>9.5</v>
      </c>
      <c r="D37" s="8"/>
      <c r="E37" s="8"/>
      <c r="F37" s="42">
        <f t="shared" si="0"/>
        <v>4.75</v>
      </c>
      <c r="G37" s="42" t="e">
        <f t="shared" si="1"/>
        <v>#DIV/0!</v>
      </c>
      <c r="H37" s="42" t="e">
        <f t="shared" si="2"/>
        <v>#DIV/0!</v>
      </c>
    </row>
    <row r="38" spans="1:8" hidden="1" x14ac:dyDescent="0.2">
      <c r="A38" s="7" t="s">
        <v>373</v>
      </c>
      <c r="B38" s="8">
        <v>1</v>
      </c>
      <c r="C38" s="8">
        <v>2.2999999999999998</v>
      </c>
      <c r="D38" s="8"/>
      <c r="E38" s="8"/>
      <c r="F38" s="42">
        <f t="shared" si="0"/>
        <v>2.2999999999999998</v>
      </c>
      <c r="G38" s="42" t="e">
        <f t="shared" si="1"/>
        <v>#DIV/0!</v>
      </c>
      <c r="H38" s="42" t="e">
        <f t="shared" si="2"/>
        <v>#DIV/0!</v>
      </c>
    </row>
    <row r="39" spans="1:8" hidden="1" x14ac:dyDescent="0.2">
      <c r="A39" s="7" t="s">
        <v>585</v>
      </c>
      <c r="B39" s="8"/>
      <c r="C39" s="8"/>
      <c r="D39" s="8">
        <v>1</v>
      </c>
      <c r="E39" s="8">
        <v>5.5</v>
      </c>
      <c r="F39" s="42" t="e">
        <f t="shared" si="0"/>
        <v>#DIV/0!</v>
      </c>
      <c r="G39" s="42">
        <f t="shared" si="1"/>
        <v>5.5</v>
      </c>
      <c r="H39" s="42" t="e">
        <f t="shared" si="2"/>
        <v>#DIV/0!</v>
      </c>
    </row>
    <row r="40" spans="1:8" hidden="1" x14ac:dyDescent="0.2">
      <c r="A40" s="7" t="s">
        <v>365</v>
      </c>
      <c r="B40" s="8">
        <v>1</v>
      </c>
      <c r="C40" s="8">
        <v>2.8</v>
      </c>
      <c r="D40" s="8"/>
      <c r="E40" s="8"/>
      <c r="F40" s="42">
        <f t="shared" si="0"/>
        <v>2.8</v>
      </c>
      <c r="G40" s="42" t="e">
        <f t="shared" si="1"/>
        <v>#DIV/0!</v>
      </c>
      <c r="H40" s="42" t="e">
        <f t="shared" si="2"/>
        <v>#DIV/0!</v>
      </c>
    </row>
    <row r="41" spans="1:8" hidden="1" x14ac:dyDescent="0.2">
      <c r="A41" s="7" t="s">
        <v>426</v>
      </c>
      <c r="B41" s="8">
        <v>2</v>
      </c>
      <c r="C41" s="8">
        <v>21</v>
      </c>
      <c r="D41" s="8"/>
      <c r="E41" s="8"/>
      <c r="F41" s="42">
        <f t="shared" si="0"/>
        <v>10.5</v>
      </c>
      <c r="G41" s="42" t="e">
        <f t="shared" si="1"/>
        <v>#DIV/0!</v>
      </c>
      <c r="H41" s="42" t="e">
        <f t="shared" si="2"/>
        <v>#DIV/0!</v>
      </c>
    </row>
    <row r="42" spans="1:8" hidden="1" x14ac:dyDescent="0.2">
      <c r="A42" s="7" t="s">
        <v>554</v>
      </c>
      <c r="B42" s="8"/>
      <c r="C42" s="8"/>
      <c r="D42" s="8">
        <v>4</v>
      </c>
      <c r="E42" s="8">
        <v>19.900000000000002</v>
      </c>
      <c r="F42" s="42" t="e">
        <f t="shared" si="0"/>
        <v>#DIV/0!</v>
      </c>
      <c r="G42" s="42">
        <f t="shared" si="1"/>
        <v>4.9750000000000005</v>
      </c>
      <c r="H42" s="42" t="e">
        <f t="shared" si="2"/>
        <v>#DIV/0!</v>
      </c>
    </row>
    <row r="43" spans="1:8" hidden="1" x14ac:dyDescent="0.2">
      <c r="A43" s="7" t="s">
        <v>558</v>
      </c>
      <c r="B43" s="8"/>
      <c r="C43" s="8"/>
      <c r="D43" s="8">
        <v>3</v>
      </c>
      <c r="E43" s="8">
        <v>10.399999999999999</v>
      </c>
      <c r="F43" s="42" t="e">
        <f t="shared" si="0"/>
        <v>#DIV/0!</v>
      </c>
      <c r="G43" s="42">
        <f t="shared" si="1"/>
        <v>3.4666666666666663</v>
      </c>
      <c r="H43" s="42" t="e">
        <f t="shared" si="2"/>
        <v>#DIV/0!</v>
      </c>
    </row>
    <row r="44" spans="1:8" hidden="1" x14ac:dyDescent="0.2">
      <c r="A44" s="7" t="s">
        <v>383</v>
      </c>
      <c r="B44" s="8">
        <v>1</v>
      </c>
      <c r="C44" s="8">
        <v>6</v>
      </c>
      <c r="D44" s="8"/>
      <c r="E44" s="8"/>
      <c r="F44" s="42">
        <f t="shared" si="0"/>
        <v>6</v>
      </c>
      <c r="G44" s="42" t="e">
        <f t="shared" si="1"/>
        <v>#DIV/0!</v>
      </c>
      <c r="H44" s="42" t="e">
        <f t="shared" si="2"/>
        <v>#DIV/0!</v>
      </c>
    </row>
    <row r="45" spans="1:8" hidden="1" x14ac:dyDescent="0.2">
      <c r="A45" s="7" t="s">
        <v>346</v>
      </c>
      <c r="B45" s="8">
        <v>8</v>
      </c>
      <c r="C45" s="8">
        <v>84.3</v>
      </c>
      <c r="D45" s="8"/>
      <c r="E45" s="8"/>
      <c r="F45" s="42">
        <f t="shared" si="0"/>
        <v>10.5375</v>
      </c>
      <c r="G45" s="42" t="e">
        <f t="shared" si="1"/>
        <v>#DIV/0!</v>
      </c>
      <c r="H45" s="42" t="e">
        <f t="shared" si="2"/>
        <v>#DIV/0!</v>
      </c>
    </row>
    <row r="46" spans="1:8" hidden="1" x14ac:dyDescent="0.2">
      <c r="A46" s="7" t="s">
        <v>246</v>
      </c>
      <c r="B46" s="8">
        <v>4</v>
      </c>
      <c r="C46" s="8">
        <v>12.5</v>
      </c>
      <c r="D46" s="8"/>
      <c r="E46" s="8"/>
      <c r="F46" s="42">
        <f t="shared" si="0"/>
        <v>3.125</v>
      </c>
      <c r="G46" s="42" t="e">
        <f t="shared" si="1"/>
        <v>#DIV/0!</v>
      </c>
      <c r="H46" s="42" t="e">
        <f t="shared" si="2"/>
        <v>#DIV/0!</v>
      </c>
    </row>
    <row r="47" spans="1:8" hidden="1" x14ac:dyDescent="0.2">
      <c r="A47" s="7" t="s">
        <v>271</v>
      </c>
      <c r="B47" s="8">
        <v>1</v>
      </c>
      <c r="C47" s="8">
        <v>7.98</v>
      </c>
      <c r="D47" s="8"/>
      <c r="E47" s="8"/>
      <c r="F47" s="42">
        <f t="shared" si="0"/>
        <v>7.98</v>
      </c>
      <c r="G47" s="42" t="e">
        <f t="shared" si="1"/>
        <v>#DIV/0!</v>
      </c>
      <c r="H47" s="42" t="e">
        <f t="shared" si="2"/>
        <v>#DIV/0!</v>
      </c>
    </row>
    <row r="48" spans="1:8" hidden="1" x14ac:dyDescent="0.2">
      <c r="A48" s="7" t="s">
        <v>309</v>
      </c>
      <c r="B48" s="8">
        <v>1</v>
      </c>
      <c r="C48" s="8">
        <v>8.4</v>
      </c>
      <c r="D48" s="8"/>
      <c r="E48" s="8"/>
      <c r="F48" s="42">
        <f t="shared" si="0"/>
        <v>8.4</v>
      </c>
      <c r="G48" s="42" t="e">
        <f t="shared" si="1"/>
        <v>#DIV/0!</v>
      </c>
      <c r="H48" s="42" t="e">
        <f t="shared" si="2"/>
        <v>#DIV/0!</v>
      </c>
    </row>
    <row r="49" spans="1:8" hidden="1" x14ac:dyDescent="0.2">
      <c r="A49" s="7" t="s">
        <v>590</v>
      </c>
      <c r="B49" s="8"/>
      <c r="C49" s="8"/>
      <c r="D49" s="8">
        <v>2</v>
      </c>
      <c r="E49" s="8">
        <v>23.3</v>
      </c>
      <c r="F49" s="42" t="e">
        <f t="shared" si="0"/>
        <v>#DIV/0!</v>
      </c>
      <c r="G49" s="42">
        <f t="shared" si="1"/>
        <v>11.65</v>
      </c>
      <c r="H49" s="42" t="e">
        <f t="shared" si="2"/>
        <v>#DIV/0!</v>
      </c>
    </row>
    <row r="50" spans="1:8" hidden="1" x14ac:dyDescent="0.2">
      <c r="A50" s="7" t="s">
        <v>371</v>
      </c>
      <c r="B50" s="8">
        <v>1</v>
      </c>
      <c r="C50" s="8">
        <v>3.3</v>
      </c>
      <c r="D50" s="8"/>
      <c r="E50" s="8"/>
      <c r="F50" s="42">
        <f t="shared" si="0"/>
        <v>3.3</v>
      </c>
      <c r="G50" s="42" t="e">
        <f t="shared" si="1"/>
        <v>#DIV/0!</v>
      </c>
      <c r="H50" s="42" t="e">
        <f t="shared" si="2"/>
        <v>#DIV/0!</v>
      </c>
    </row>
    <row r="51" spans="1:8" hidden="1" x14ac:dyDescent="0.2">
      <c r="A51" s="7" t="s">
        <v>301</v>
      </c>
      <c r="B51" s="8">
        <v>5</v>
      </c>
      <c r="C51" s="8">
        <v>24.400000000000002</v>
      </c>
      <c r="D51" s="8"/>
      <c r="E51" s="8"/>
      <c r="F51" s="42">
        <f t="shared" si="0"/>
        <v>4.8800000000000008</v>
      </c>
      <c r="G51" s="42" t="e">
        <f t="shared" si="1"/>
        <v>#DIV/0!</v>
      </c>
      <c r="H51" s="42" t="e">
        <f t="shared" si="2"/>
        <v>#DIV/0!</v>
      </c>
    </row>
    <row r="52" spans="1:8" hidden="1" x14ac:dyDescent="0.2">
      <c r="A52" s="7" t="s">
        <v>540</v>
      </c>
      <c r="B52" s="8"/>
      <c r="C52" s="8"/>
      <c r="D52" s="8">
        <v>3</v>
      </c>
      <c r="E52" s="8">
        <v>2.5</v>
      </c>
      <c r="F52" s="42" t="e">
        <f t="shared" si="0"/>
        <v>#DIV/0!</v>
      </c>
      <c r="G52" s="42">
        <f t="shared" si="1"/>
        <v>0.83333333333333337</v>
      </c>
      <c r="H52" s="42" t="e">
        <f t="shared" si="2"/>
        <v>#DIV/0!</v>
      </c>
    </row>
    <row r="53" spans="1:8" hidden="1" x14ac:dyDescent="0.2">
      <c r="A53" s="7" t="s">
        <v>308</v>
      </c>
      <c r="B53" s="8">
        <v>3</v>
      </c>
      <c r="C53" s="8">
        <v>10.7</v>
      </c>
      <c r="D53" s="8"/>
      <c r="E53" s="8"/>
      <c r="F53" s="42">
        <f t="shared" si="0"/>
        <v>3.5666666666666664</v>
      </c>
      <c r="G53" s="42" t="e">
        <f t="shared" si="1"/>
        <v>#DIV/0!</v>
      </c>
      <c r="H53" s="42" t="e">
        <f t="shared" si="2"/>
        <v>#DIV/0!</v>
      </c>
    </row>
    <row r="54" spans="1:8" hidden="1" x14ac:dyDescent="0.2">
      <c r="A54" s="7" t="s">
        <v>582</v>
      </c>
      <c r="B54" s="8"/>
      <c r="C54" s="8"/>
      <c r="D54" s="8">
        <v>2</v>
      </c>
      <c r="E54" s="8">
        <v>33.54</v>
      </c>
      <c r="F54" s="42" t="e">
        <f t="shared" si="0"/>
        <v>#DIV/0!</v>
      </c>
      <c r="G54" s="42">
        <f t="shared" si="1"/>
        <v>16.77</v>
      </c>
      <c r="H54" s="42" t="e">
        <f t="shared" si="2"/>
        <v>#DIV/0!</v>
      </c>
    </row>
    <row r="55" spans="1:8" hidden="1" x14ac:dyDescent="0.2">
      <c r="A55" s="7" t="s">
        <v>531</v>
      </c>
      <c r="B55" s="8"/>
      <c r="C55" s="8"/>
      <c r="D55" s="8">
        <v>3</v>
      </c>
      <c r="E55" s="8">
        <v>22.900000000000002</v>
      </c>
      <c r="F55" s="42" t="e">
        <f t="shared" si="0"/>
        <v>#DIV/0!</v>
      </c>
      <c r="G55" s="42">
        <f t="shared" si="1"/>
        <v>7.6333333333333337</v>
      </c>
      <c r="H55" s="42" t="e">
        <f t="shared" si="2"/>
        <v>#DIV/0!</v>
      </c>
    </row>
    <row r="56" spans="1:8" hidden="1" x14ac:dyDescent="0.2">
      <c r="A56" s="7" t="s">
        <v>559</v>
      </c>
      <c r="B56" s="8"/>
      <c r="C56" s="8"/>
      <c r="D56" s="8">
        <v>6</v>
      </c>
      <c r="E56" s="8">
        <v>54</v>
      </c>
      <c r="F56" s="42" t="e">
        <f t="shared" si="0"/>
        <v>#DIV/0!</v>
      </c>
      <c r="G56" s="42">
        <f t="shared" si="1"/>
        <v>9</v>
      </c>
      <c r="H56" s="42" t="e">
        <f t="shared" si="2"/>
        <v>#DIV/0!</v>
      </c>
    </row>
    <row r="57" spans="1:8" hidden="1" x14ac:dyDescent="0.2">
      <c r="A57" s="7" t="s">
        <v>391</v>
      </c>
      <c r="B57" s="8">
        <v>1</v>
      </c>
      <c r="C57" s="8">
        <v>3.6</v>
      </c>
      <c r="D57" s="8"/>
      <c r="E57" s="8"/>
      <c r="F57" s="42">
        <f t="shared" si="0"/>
        <v>3.6</v>
      </c>
      <c r="G57" s="42" t="e">
        <f t="shared" si="1"/>
        <v>#DIV/0!</v>
      </c>
      <c r="H57" s="42" t="e">
        <f t="shared" si="2"/>
        <v>#DIV/0!</v>
      </c>
    </row>
    <row r="58" spans="1:8" hidden="1" x14ac:dyDescent="0.2">
      <c r="A58" s="7" t="s">
        <v>587</v>
      </c>
      <c r="B58" s="8"/>
      <c r="C58" s="8"/>
      <c r="D58" s="8">
        <v>1</v>
      </c>
      <c r="E58" s="8">
        <v>25.5</v>
      </c>
      <c r="F58" s="42" t="e">
        <f t="shared" si="0"/>
        <v>#DIV/0!</v>
      </c>
      <c r="G58" s="42">
        <f t="shared" si="1"/>
        <v>25.5</v>
      </c>
      <c r="H58" s="42" t="e">
        <f t="shared" si="2"/>
        <v>#DIV/0!</v>
      </c>
    </row>
    <row r="59" spans="1:8" hidden="1" x14ac:dyDescent="0.2">
      <c r="A59" s="7" t="s">
        <v>555</v>
      </c>
      <c r="B59" s="8"/>
      <c r="C59" s="8"/>
      <c r="D59" s="8">
        <v>3</v>
      </c>
      <c r="E59" s="8">
        <v>21</v>
      </c>
      <c r="F59" s="42" t="e">
        <f t="shared" si="0"/>
        <v>#DIV/0!</v>
      </c>
      <c r="G59" s="42">
        <f t="shared" si="1"/>
        <v>7</v>
      </c>
      <c r="H59" s="42" t="e">
        <f t="shared" si="2"/>
        <v>#DIV/0!</v>
      </c>
    </row>
    <row r="60" spans="1:8" hidden="1" x14ac:dyDescent="0.2">
      <c r="A60" s="7" t="s">
        <v>527</v>
      </c>
      <c r="B60" s="8"/>
      <c r="C60" s="8"/>
      <c r="D60" s="8">
        <v>12</v>
      </c>
      <c r="E60" s="8">
        <v>138.69999999999999</v>
      </c>
      <c r="F60" s="42" t="e">
        <f t="shared" si="0"/>
        <v>#DIV/0!</v>
      </c>
      <c r="G60" s="42">
        <f t="shared" si="1"/>
        <v>11.558333333333332</v>
      </c>
      <c r="H60" s="42" t="e">
        <f t="shared" si="2"/>
        <v>#DIV/0!</v>
      </c>
    </row>
    <row r="61" spans="1:8" hidden="1" x14ac:dyDescent="0.2">
      <c r="A61" s="7" t="s">
        <v>240</v>
      </c>
      <c r="B61" s="8">
        <v>1</v>
      </c>
      <c r="C61" s="8">
        <v>4.2</v>
      </c>
      <c r="D61" s="8"/>
      <c r="E61" s="8"/>
      <c r="F61" s="42">
        <f t="shared" si="0"/>
        <v>4.2</v>
      </c>
      <c r="G61" s="42" t="e">
        <f t="shared" si="1"/>
        <v>#DIV/0!</v>
      </c>
      <c r="H61" s="42" t="e">
        <f t="shared" si="2"/>
        <v>#DIV/0!</v>
      </c>
    </row>
    <row r="62" spans="1:8" hidden="1" x14ac:dyDescent="0.2">
      <c r="A62" s="7" t="s">
        <v>387</v>
      </c>
      <c r="B62" s="8">
        <v>1</v>
      </c>
      <c r="C62" s="8">
        <v>0.8</v>
      </c>
      <c r="D62" s="8"/>
      <c r="E62" s="8"/>
      <c r="F62" s="42">
        <f t="shared" si="0"/>
        <v>0.8</v>
      </c>
      <c r="G62" s="42" t="e">
        <f t="shared" si="1"/>
        <v>#DIV/0!</v>
      </c>
      <c r="H62" s="42" t="e">
        <f t="shared" si="2"/>
        <v>#DIV/0!</v>
      </c>
    </row>
    <row r="63" spans="1:8" hidden="1" x14ac:dyDescent="0.2">
      <c r="A63" s="7" t="s">
        <v>296</v>
      </c>
      <c r="B63" s="8">
        <v>8</v>
      </c>
      <c r="C63" s="8">
        <v>34.799999999999997</v>
      </c>
      <c r="D63" s="8"/>
      <c r="E63" s="8"/>
      <c r="F63" s="42">
        <f t="shared" si="0"/>
        <v>4.3499999999999996</v>
      </c>
      <c r="G63" s="42" t="e">
        <f t="shared" si="1"/>
        <v>#DIV/0!</v>
      </c>
      <c r="H63" s="42" t="e">
        <f t="shared" si="2"/>
        <v>#DIV/0!</v>
      </c>
    </row>
    <row r="64" spans="1:8" hidden="1" x14ac:dyDescent="0.2">
      <c r="A64" s="7" t="s">
        <v>542</v>
      </c>
      <c r="B64" s="8"/>
      <c r="C64" s="8"/>
      <c r="D64" s="8">
        <v>3</v>
      </c>
      <c r="E64" s="8">
        <v>37</v>
      </c>
      <c r="F64" s="42" t="e">
        <f t="shared" si="0"/>
        <v>#DIV/0!</v>
      </c>
      <c r="G64" s="42">
        <f t="shared" si="1"/>
        <v>12.333333333333334</v>
      </c>
      <c r="H64" s="42" t="e">
        <f t="shared" si="2"/>
        <v>#DIV/0!</v>
      </c>
    </row>
    <row r="65" spans="1:8" hidden="1" x14ac:dyDescent="0.2">
      <c r="A65" s="7" t="s">
        <v>537</v>
      </c>
      <c r="B65" s="8"/>
      <c r="C65" s="8"/>
      <c r="D65" s="8">
        <v>4</v>
      </c>
      <c r="E65" s="8">
        <v>16.3</v>
      </c>
      <c r="F65" s="42" t="e">
        <f t="shared" si="0"/>
        <v>#DIV/0!</v>
      </c>
      <c r="G65" s="42">
        <f t="shared" si="1"/>
        <v>4.0750000000000002</v>
      </c>
      <c r="H65" s="42" t="e">
        <f t="shared" si="2"/>
        <v>#DIV/0!</v>
      </c>
    </row>
    <row r="66" spans="1:8" hidden="1" x14ac:dyDescent="0.2">
      <c r="A66" s="7" t="s">
        <v>429</v>
      </c>
      <c r="B66" s="8">
        <v>1</v>
      </c>
      <c r="C66" s="8">
        <v>11.9</v>
      </c>
      <c r="D66" s="8"/>
      <c r="E66" s="8"/>
      <c r="F66" s="42">
        <f t="shared" si="0"/>
        <v>11.9</v>
      </c>
      <c r="G66" s="42" t="e">
        <f t="shared" si="1"/>
        <v>#DIV/0!</v>
      </c>
      <c r="H66" s="42" t="e">
        <f t="shared" si="2"/>
        <v>#DIV/0!</v>
      </c>
    </row>
    <row r="67" spans="1:8" hidden="1" x14ac:dyDescent="0.2">
      <c r="A67" s="7" t="s">
        <v>576</v>
      </c>
      <c r="B67" s="8"/>
      <c r="C67" s="8"/>
      <c r="D67" s="8">
        <v>2</v>
      </c>
      <c r="E67" s="8">
        <v>43.879999999999995</v>
      </c>
      <c r="F67" s="42" t="e">
        <f t="shared" ref="F67:F130" si="3">C67/B67</f>
        <v>#DIV/0!</v>
      </c>
      <c r="G67" s="42">
        <f t="shared" ref="G67:G130" si="4">E67/D67</f>
        <v>21.939999999999998</v>
      </c>
      <c r="H67" s="42" t="e">
        <f t="shared" ref="H67:H130" si="5">G67-F67</f>
        <v>#DIV/0!</v>
      </c>
    </row>
    <row r="68" spans="1:8" hidden="1" x14ac:dyDescent="0.2">
      <c r="A68" s="7" t="s">
        <v>551</v>
      </c>
      <c r="B68" s="8"/>
      <c r="C68" s="8"/>
      <c r="D68" s="8">
        <v>3</v>
      </c>
      <c r="E68" s="8">
        <v>35</v>
      </c>
      <c r="F68" s="42" t="e">
        <f t="shared" si="3"/>
        <v>#DIV/0!</v>
      </c>
      <c r="G68" s="42">
        <f t="shared" si="4"/>
        <v>11.666666666666666</v>
      </c>
      <c r="H68" s="42" t="e">
        <f t="shared" si="5"/>
        <v>#DIV/0!</v>
      </c>
    </row>
    <row r="69" spans="1:8" hidden="1" x14ac:dyDescent="0.2">
      <c r="A69" s="7" t="s">
        <v>169</v>
      </c>
      <c r="B69" s="8">
        <v>11</v>
      </c>
      <c r="C69" s="8">
        <v>98</v>
      </c>
      <c r="D69" s="8"/>
      <c r="E69" s="8"/>
      <c r="F69" s="42">
        <f t="shared" si="3"/>
        <v>8.9090909090909083</v>
      </c>
      <c r="G69" s="42" t="e">
        <f t="shared" si="4"/>
        <v>#DIV/0!</v>
      </c>
      <c r="H69" s="42" t="e">
        <f t="shared" si="5"/>
        <v>#DIV/0!</v>
      </c>
    </row>
    <row r="70" spans="1:8" hidden="1" x14ac:dyDescent="0.2">
      <c r="A70" s="7" t="s">
        <v>593</v>
      </c>
      <c r="B70" s="8"/>
      <c r="C70" s="8"/>
      <c r="D70" s="8">
        <v>1</v>
      </c>
      <c r="E70" s="8">
        <v>6.2</v>
      </c>
      <c r="F70" s="42" t="e">
        <f t="shared" si="3"/>
        <v>#DIV/0!</v>
      </c>
      <c r="G70" s="42">
        <f t="shared" si="4"/>
        <v>6.2</v>
      </c>
      <c r="H70" s="42" t="e">
        <f t="shared" si="5"/>
        <v>#DIV/0!</v>
      </c>
    </row>
    <row r="71" spans="1:8" hidden="1" x14ac:dyDescent="0.2">
      <c r="A71" s="7" t="s">
        <v>364</v>
      </c>
      <c r="B71" s="8">
        <v>1</v>
      </c>
      <c r="C71" s="8">
        <v>7.2</v>
      </c>
      <c r="D71" s="8"/>
      <c r="E71" s="8"/>
      <c r="F71" s="42">
        <f t="shared" si="3"/>
        <v>7.2</v>
      </c>
      <c r="G71" s="42" t="e">
        <f t="shared" si="4"/>
        <v>#DIV/0!</v>
      </c>
      <c r="H71" s="42" t="e">
        <f t="shared" si="5"/>
        <v>#DIV/0!</v>
      </c>
    </row>
    <row r="72" spans="1:8" hidden="1" x14ac:dyDescent="0.2">
      <c r="A72" s="7" t="s">
        <v>300</v>
      </c>
      <c r="B72" s="8">
        <v>2</v>
      </c>
      <c r="C72" s="8">
        <v>10.199999999999999</v>
      </c>
      <c r="D72" s="8"/>
      <c r="E72" s="8"/>
      <c r="F72" s="42">
        <f t="shared" si="3"/>
        <v>5.0999999999999996</v>
      </c>
      <c r="G72" s="42" t="e">
        <f t="shared" si="4"/>
        <v>#DIV/0!</v>
      </c>
      <c r="H72" s="42" t="e">
        <f t="shared" si="5"/>
        <v>#DIV/0!</v>
      </c>
    </row>
    <row r="73" spans="1:8" hidden="1" x14ac:dyDescent="0.2">
      <c r="A73" s="7" t="s">
        <v>158</v>
      </c>
      <c r="B73" s="8">
        <v>5</v>
      </c>
      <c r="C73" s="8">
        <v>51</v>
      </c>
      <c r="D73" s="8"/>
      <c r="E73" s="8"/>
      <c r="F73" s="42">
        <f t="shared" si="3"/>
        <v>10.199999999999999</v>
      </c>
      <c r="G73" s="42" t="e">
        <f t="shared" si="4"/>
        <v>#DIV/0!</v>
      </c>
      <c r="H73" s="42" t="e">
        <f t="shared" si="5"/>
        <v>#DIV/0!</v>
      </c>
    </row>
    <row r="74" spans="1:8" hidden="1" x14ac:dyDescent="0.2">
      <c r="A74" s="7" t="s">
        <v>544</v>
      </c>
      <c r="B74" s="8"/>
      <c r="C74" s="8"/>
      <c r="D74" s="8">
        <v>6</v>
      </c>
      <c r="E74" s="8">
        <v>140.95999999999998</v>
      </c>
      <c r="F74" s="42" t="e">
        <f t="shared" si="3"/>
        <v>#DIV/0!</v>
      </c>
      <c r="G74" s="42">
        <f t="shared" si="4"/>
        <v>23.493333333333329</v>
      </c>
      <c r="H74" s="42" t="e">
        <f t="shared" si="5"/>
        <v>#DIV/0!</v>
      </c>
    </row>
    <row r="75" spans="1:8" hidden="1" x14ac:dyDescent="0.2">
      <c r="A75" s="7" t="s">
        <v>549</v>
      </c>
      <c r="B75" s="8"/>
      <c r="C75" s="8"/>
      <c r="D75" s="8">
        <v>6</v>
      </c>
      <c r="E75" s="8">
        <v>41.699999999999996</v>
      </c>
      <c r="F75" s="42" t="e">
        <f t="shared" si="3"/>
        <v>#DIV/0!</v>
      </c>
      <c r="G75" s="42">
        <f t="shared" si="4"/>
        <v>6.9499999999999993</v>
      </c>
      <c r="H75" s="42" t="e">
        <f t="shared" si="5"/>
        <v>#DIV/0!</v>
      </c>
    </row>
    <row r="76" spans="1:8" hidden="1" x14ac:dyDescent="0.2">
      <c r="A76" s="7" t="s">
        <v>566</v>
      </c>
      <c r="B76" s="8"/>
      <c r="C76" s="8"/>
      <c r="D76" s="8">
        <v>1</v>
      </c>
      <c r="E76" s="8">
        <v>5.5</v>
      </c>
      <c r="F76" s="42" t="e">
        <f t="shared" si="3"/>
        <v>#DIV/0!</v>
      </c>
      <c r="G76" s="42">
        <f t="shared" si="4"/>
        <v>5.5</v>
      </c>
      <c r="H76" s="42" t="e">
        <f t="shared" si="5"/>
        <v>#DIV/0!</v>
      </c>
    </row>
    <row r="77" spans="1:8" hidden="1" x14ac:dyDescent="0.2">
      <c r="A77" s="7" t="s">
        <v>135</v>
      </c>
      <c r="B77" s="8">
        <v>5</v>
      </c>
      <c r="C77" s="8">
        <v>49.699999999999996</v>
      </c>
      <c r="D77" s="8"/>
      <c r="E77" s="8"/>
      <c r="F77" s="42">
        <f t="shared" si="3"/>
        <v>9.94</v>
      </c>
      <c r="G77" s="42" t="e">
        <f t="shared" si="4"/>
        <v>#DIV/0!</v>
      </c>
      <c r="H77" s="42" t="e">
        <f t="shared" si="5"/>
        <v>#DIV/0!</v>
      </c>
    </row>
    <row r="78" spans="1:8" hidden="1" x14ac:dyDescent="0.2">
      <c r="A78" s="7" t="s">
        <v>577</v>
      </c>
      <c r="B78" s="8"/>
      <c r="C78" s="8"/>
      <c r="D78" s="8">
        <v>3</v>
      </c>
      <c r="E78" s="8">
        <v>39.64</v>
      </c>
      <c r="F78" s="42" t="e">
        <f t="shared" si="3"/>
        <v>#DIV/0!</v>
      </c>
      <c r="G78" s="42">
        <f t="shared" si="4"/>
        <v>13.213333333333333</v>
      </c>
      <c r="H78" s="42" t="e">
        <f t="shared" si="5"/>
        <v>#DIV/0!</v>
      </c>
    </row>
    <row r="79" spans="1:8" hidden="1" x14ac:dyDescent="0.2">
      <c r="A79" s="7" t="s">
        <v>163</v>
      </c>
      <c r="B79" s="8">
        <v>11</v>
      </c>
      <c r="C79" s="8">
        <v>180.5</v>
      </c>
      <c r="D79" s="8"/>
      <c r="E79" s="8"/>
      <c r="F79" s="42">
        <f t="shared" si="3"/>
        <v>16.40909090909091</v>
      </c>
      <c r="G79" s="42" t="e">
        <f t="shared" si="4"/>
        <v>#DIV/0!</v>
      </c>
      <c r="H79" s="42" t="e">
        <f t="shared" si="5"/>
        <v>#DIV/0!</v>
      </c>
    </row>
    <row r="80" spans="1:8" hidden="1" x14ac:dyDescent="0.2">
      <c r="A80" s="7" t="s">
        <v>396</v>
      </c>
      <c r="B80" s="8">
        <v>1</v>
      </c>
      <c r="C80" s="8">
        <v>13</v>
      </c>
      <c r="D80" s="8"/>
      <c r="E80" s="8"/>
      <c r="F80" s="42">
        <f t="shared" si="3"/>
        <v>13</v>
      </c>
      <c r="G80" s="42" t="e">
        <f t="shared" si="4"/>
        <v>#DIV/0!</v>
      </c>
      <c r="H80" s="42" t="e">
        <f t="shared" si="5"/>
        <v>#DIV/0!</v>
      </c>
    </row>
    <row r="81" spans="1:8" hidden="1" x14ac:dyDescent="0.2">
      <c r="A81" s="7" t="s">
        <v>379</v>
      </c>
      <c r="B81" s="8">
        <v>5</v>
      </c>
      <c r="C81" s="8">
        <v>87.8</v>
      </c>
      <c r="D81" s="8"/>
      <c r="E81" s="8"/>
      <c r="F81" s="42">
        <f t="shared" si="3"/>
        <v>17.559999999999999</v>
      </c>
      <c r="G81" s="42" t="e">
        <f t="shared" si="4"/>
        <v>#DIV/0!</v>
      </c>
      <c r="H81" s="42" t="e">
        <f t="shared" si="5"/>
        <v>#DIV/0!</v>
      </c>
    </row>
    <row r="82" spans="1:8" hidden="1" x14ac:dyDescent="0.2">
      <c r="A82" s="7" t="s">
        <v>553</v>
      </c>
      <c r="B82" s="8"/>
      <c r="C82" s="8"/>
      <c r="D82" s="8">
        <v>2</v>
      </c>
      <c r="E82" s="8">
        <v>7</v>
      </c>
      <c r="F82" s="42" t="e">
        <f t="shared" si="3"/>
        <v>#DIV/0!</v>
      </c>
      <c r="G82" s="42">
        <f t="shared" si="4"/>
        <v>3.5</v>
      </c>
      <c r="H82" s="42" t="e">
        <f t="shared" si="5"/>
        <v>#DIV/0!</v>
      </c>
    </row>
    <row r="83" spans="1:8" hidden="1" x14ac:dyDescent="0.2">
      <c r="A83" s="7" t="s">
        <v>402</v>
      </c>
      <c r="B83" s="8">
        <v>1</v>
      </c>
      <c r="C83" s="8">
        <v>10.8</v>
      </c>
      <c r="D83" s="8"/>
      <c r="E83" s="8"/>
      <c r="F83" s="42">
        <f t="shared" si="3"/>
        <v>10.8</v>
      </c>
      <c r="G83" s="42" t="e">
        <f t="shared" si="4"/>
        <v>#DIV/0!</v>
      </c>
      <c r="H83" s="42" t="e">
        <f t="shared" si="5"/>
        <v>#DIV/0!</v>
      </c>
    </row>
    <row r="84" spans="1:8" hidden="1" x14ac:dyDescent="0.2">
      <c r="A84" s="7" t="s">
        <v>166</v>
      </c>
      <c r="B84" s="8">
        <v>14</v>
      </c>
      <c r="C84" s="8">
        <v>112</v>
      </c>
      <c r="D84" s="8"/>
      <c r="E84" s="8"/>
      <c r="F84" s="42">
        <f t="shared" si="3"/>
        <v>8</v>
      </c>
      <c r="G84" s="42" t="e">
        <f t="shared" si="4"/>
        <v>#DIV/0!</v>
      </c>
      <c r="H84" s="42" t="e">
        <f t="shared" si="5"/>
        <v>#DIV/0!</v>
      </c>
    </row>
    <row r="85" spans="1:8" hidden="1" x14ac:dyDescent="0.2">
      <c r="A85" s="7" t="s">
        <v>536</v>
      </c>
      <c r="B85" s="8"/>
      <c r="C85" s="8"/>
      <c r="D85" s="8">
        <v>8</v>
      </c>
      <c r="E85" s="8">
        <v>57.8</v>
      </c>
      <c r="F85" s="42" t="e">
        <f t="shared" si="3"/>
        <v>#DIV/0!</v>
      </c>
      <c r="G85" s="42">
        <f t="shared" si="4"/>
        <v>7.2249999999999996</v>
      </c>
      <c r="H85" s="42" t="e">
        <f t="shared" si="5"/>
        <v>#DIV/0!</v>
      </c>
    </row>
    <row r="86" spans="1:8" hidden="1" x14ac:dyDescent="0.2">
      <c r="A86" s="7" t="s">
        <v>557</v>
      </c>
      <c r="B86" s="8"/>
      <c r="C86" s="8"/>
      <c r="D86" s="8">
        <v>2</v>
      </c>
      <c r="E86" s="8">
        <v>19.099999999999998</v>
      </c>
      <c r="F86" s="42" t="e">
        <f t="shared" si="3"/>
        <v>#DIV/0!</v>
      </c>
      <c r="G86" s="42">
        <f t="shared" si="4"/>
        <v>9.5499999999999989</v>
      </c>
      <c r="H86" s="42" t="e">
        <f t="shared" si="5"/>
        <v>#DIV/0!</v>
      </c>
    </row>
    <row r="87" spans="1:8" hidden="1" x14ac:dyDescent="0.2">
      <c r="A87" s="7" t="s">
        <v>560</v>
      </c>
      <c r="B87" s="8"/>
      <c r="C87" s="8"/>
      <c r="D87" s="8">
        <v>6</v>
      </c>
      <c r="E87" s="8">
        <v>44.4</v>
      </c>
      <c r="F87" s="42" t="e">
        <f t="shared" si="3"/>
        <v>#DIV/0!</v>
      </c>
      <c r="G87" s="42">
        <f t="shared" si="4"/>
        <v>7.3999999999999995</v>
      </c>
      <c r="H87" s="42" t="e">
        <f t="shared" si="5"/>
        <v>#DIV/0!</v>
      </c>
    </row>
    <row r="88" spans="1:8" hidden="1" x14ac:dyDescent="0.2">
      <c r="A88" s="7" t="s">
        <v>568</v>
      </c>
      <c r="B88" s="8"/>
      <c r="C88" s="8"/>
      <c r="D88" s="8">
        <v>6</v>
      </c>
      <c r="E88" s="8">
        <v>72.800000000000011</v>
      </c>
      <c r="F88" s="42" t="e">
        <f t="shared" si="3"/>
        <v>#DIV/0!</v>
      </c>
      <c r="G88" s="42">
        <f t="shared" si="4"/>
        <v>12.133333333333335</v>
      </c>
      <c r="H88" s="42" t="e">
        <f t="shared" si="5"/>
        <v>#DIV/0!</v>
      </c>
    </row>
    <row r="89" spans="1:8" hidden="1" x14ac:dyDescent="0.2">
      <c r="A89" s="7" t="s">
        <v>345</v>
      </c>
      <c r="B89" s="8">
        <v>7</v>
      </c>
      <c r="C89" s="8">
        <v>63.78</v>
      </c>
      <c r="D89" s="8"/>
      <c r="E89" s="8"/>
      <c r="F89" s="42">
        <f t="shared" si="3"/>
        <v>9.1114285714285721</v>
      </c>
      <c r="G89" s="42" t="e">
        <f t="shared" si="4"/>
        <v>#DIV/0!</v>
      </c>
      <c r="H89" s="42" t="e">
        <f t="shared" si="5"/>
        <v>#DIV/0!</v>
      </c>
    </row>
    <row r="90" spans="1:8" hidden="1" x14ac:dyDescent="0.2">
      <c r="A90" s="7" t="s">
        <v>570</v>
      </c>
      <c r="B90" s="8"/>
      <c r="C90" s="8"/>
      <c r="D90" s="8">
        <v>3</v>
      </c>
      <c r="E90" s="8">
        <v>32.5</v>
      </c>
      <c r="F90" s="42" t="e">
        <f t="shared" si="3"/>
        <v>#DIV/0!</v>
      </c>
      <c r="G90" s="42">
        <f t="shared" si="4"/>
        <v>10.833333333333334</v>
      </c>
      <c r="H90" s="42" t="e">
        <f t="shared" si="5"/>
        <v>#DIV/0!</v>
      </c>
    </row>
    <row r="91" spans="1:8" hidden="1" x14ac:dyDescent="0.2">
      <c r="A91" s="7" t="s">
        <v>565</v>
      </c>
      <c r="B91" s="8"/>
      <c r="C91" s="8"/>
      <c r="D91" s="8">
        <v>1</v>
      </c>
      <c r="E91" s="8">
        <v>0</v>
      </c>
      <c r="F91" s="42" t="e">
        <f t="shared" si="3"/>
        <v>#DIV/0!</v>
      </c>
      <c r="G91" s="42">
        <f t="shared" si="4"/>
        <v>0</v>
      </c>
      <c r="H91" s="42" t="e">
        <f t="shared" si="5"/>
        <v>#DIV/0!</v>
      </c>
    </row>
    <row r="92" spans="1:8" hidden="1" x14ac:dyDescent="0.2">
      <c r="A92" s="7" t="s">
        <v>425</v>
      </c>
      <c r="B92" s="8">
        <v>1</v>
      </c>
      <c r="C92" s="8">
        <v>4.3</v>
      </c>
      <c r="D92" s="8"/>
      <c r="E92" s="8"/>
      <c r="F92" s="42">
        <f t="shared" si="3"/>
        <v>4.3</v>
      </c>
      <c r="G92" s="42" t="e">
        <f t="shared" si="4"/>
        <v>#DIV/0!</v>
      </c>
      <c r="H92" s="42" t="e">
        <f t="shared" si="5"/>
        <v>#DIV/0!</v>
      </c>
    </row>
    <row r="93" spans="1:8" hidden="1" x14ac:dyDescent="0.2">
      <c r="A93" s="7" t="s">
        <v>567</v>
      </c>
      <c r="B93" s="8"/>
      <c r="C93" s="8"/>
      <c r="D93" s="8">
        <v>2</v>
      </c>
      <c r="E93" s="8">
        <v>26.740000000000002</v>
      </c>
      <c r="F93" s="42" t="e">
        <f t="shared" si="3"/>
        <v>#DIV/0!</v>
      </c>
      <c r="G93" s="42">
        <f t="shared" si="4"/>
        <v>13.370000000000001</v>
      </c>
      <c r="H93" s="42" t="e">
        <f t="shared" si="5"/>
        <v>#DIV/0!</v>
      </c>
    </row>
    <row r="94" spans="1:8" hidden="1" x14ac:dyDescent="0.2">
      <c r="A94" s="7" t="s">
        <v>382</v>
      </c>
      <c r="B94" s="8">
        <v>3</v>
      </c>
      <c r="C94" s="8">
        <v>30.599999999999998</v>
      </c>
      <c r="D94" s="8"/>
      <c r="E94" s="8"/>
      <c r="F94" s="42">
        <f t="shared" si="3"/>
        <v>10.199999999999999</v>
      </c>
      <c r="G94" s="42" t="e">
        <f t="shared" si="4"/>
        <v>#DIV/0!</v>
      </c>
      <c r="H94" s="42" t="e">
        <f t="shared" si="5"/>
        <v>#DIV/0!</v>
      </c>
    </row>
    <row r="95" spans="1:8" hidden="1" x14ac:dyDescent="0.2">
      <c r="A95" s="7" t="s">
        <v>561</v>
      </c>
      <c r="B95" s="8"/>
      <c r="C95" s="8"/>
      <c r="D95" s="8">
        <v>3</v>
      </c>
      <c r="E95" s="8">
        <v>17.2</v>
      </c>
      <c r="F95" s="42" t="e">
        <f t="shared" si="3"/>
        <v>#DIV/0!</v>
      </c>
      <c r="G95" s="42">
        <f t="shared" si="4"/>
        <v>5.7333333333333334</v>
      </c>
      <c r="H95" s="42" t="e">
        <f t="shared" si="5"/>
        <v>#DIV/0!</v>
      </c>
    </row>
    <row r="96" spans="1:8" hidden="1" x14ac:dyDescent="0.2">
      <c r="A96" s="7" t="s">
        <v>562</v>
      </c>
      <c r="B96" s="8"/>
      <c r="C96" s="8"/>
      <c r="D96" s="8">
        <v>2</v>
      </c>
      <c r="E96" s="8">
        <v>10</v>
      </c>
      <c r="F96" s="42" t="e">
        <f t="shared" si="3"/>
        <v>#DIV/0!</v>
      </c>
      <c r="G96" s="42">
        <f t="shared" si="4"/>
        <v>5</v>
      </c>
      <c r="H96" s="42" t="e">
        <f t="shared" si="5"/>
        <v>#DIV/0!</v>
      </c>
    </row>
    <row r="97" spans="1:8" hidden="1" x14ac:dyDescent="0.2">
      <c r="A97" s="7" t="s">
        <v>532</v>
      </c>
      <c r="B97" s="8"/>
      <c r="C97" s="8"/>
      <c r="D97" s="8">
        <v>11</v>
      </c>
      <c r="E97" s="8">
        <v>77</v>
      </c>
      <c r="F97" s="42" t="e">
        <f t="shared" si="3"/>
        <v>#DIV/0!</v>
      </c>
      <c r="G97" s="42">
        <f t="shared" si="4"/>
        <v>7</v>
      </c>
      <c r="H97" s="42" t="e">
        <f t="shared" si="5"/>
        <v>#DIV/0!</v>
      </c>
    </row>
    <row r="98" spans="1:8" hidden="1" x14ac:dyDescent="0.2">
      <c r="A98" s="7" t="s">
        <v>546</v>
      </c>
      <c r="B98" s="8"/>
      <c r="C98" s="8"/>
      <c r="D98" s="8">
        <v>3</v>
      </c>
      <c r="E98" s="8">
        <v>16.399999999999999</v>
      </c>
      <c r="F98" s="42" t="e">
        <f t="shared" si="3"/>
        <v>#DIV/0!</v>
      </c>
      <c r="G98" s="42">
        <f t="shared" si="4"/>
        <v>5.4666666666666659</v>
      </c>
      <c r="H98" s="42" t="e">
        <f t="shared" si="5"/>
        <v>#DIV/0!</v>
      </c>
    </row>
    <row r="99" spans="1:8" hidden="1" x14ac:dyDescent="0.2">
      <c r="A99" s="7" t="s">
        <v>571</v>
      </c>
      <c r="B99" s="8"/>
      <c r="C99" s="8"/>
      <c r="D99" s="8">
        <v>3</v>
      </c>
      <c r="E99" s="8">
        <v>28</v>
      </c>
      <c r="F99" s="42" t="e">
        <f t="shared" si="3"/>
        <v>#DIV/0!</v>
      </c>
      <c r="G99" s="42">
        <f t="shared" si="4"/>
        <v>9.3333333333333339</v>
      </c>
      <c r="H99" s="42" t="e">
        <f t="shared" si="5"/>
        <v>#DIV/0!</v>
      </c>
    </row>
    <row r="100" spans="1:8" hidden="1" x14ac:dyDescent="0.2">
      <c r="A100" s="7" t="s">
        <v>550</v>
      </c>
      <c r="B100" s="8"/>
      <c r="C100" s="8"/>
      <c r="D100" s="8">
        <v>3</v>
      </c>
      <c r="E100" s="8">
        <v>27.800000000000004</v>
      </c>
      <c r="F100" s="42" t="e">
        <f t="shared" si="3"/>
        <v>#DIV/0!</v>
      </c>
      <c r="G100" s="42">
        <f t="shared" si="4"/>
        <v>9.2666666666666675</v>
      </c>
      <c r="H100" s="42" t="e">
        <f t="shared" si="5"/>
        <v>#DIV/0!</v>
      </c>
    </row>
    <row r="101" spans="1:8" hidden="1" x14ac:dyDescent="0.2">
      <c r="A101" s="7" t="s">
        <v>581</v>
      </c>
      <c r="B101" s="8"/>
      <c r="C101" s="8"/>
      <c r="D101" s="8">
        <v>1</v>
      </c>
      <c r="E101" s="8">
        <v>10.98</v>
      </c>
      <c r="F101" s="42" t="e">
        <f t="shared" si="3"/>
        <v>#DIV/0!</v>
      </c>
      <c r="G101" s="42">
        <f t="shared" si="4"/>
        <v>10.98</v>
      </c>
      <c r="H101" s="42" t="e">
        <f t="shared" si="5"/>
        <v>#DIV/0!</v>
      </c>
    </row>
    <row r="102" spans="1:8" hidden="1" x14ac:dyDescent="0.2">
      <c r="A102" s="7" t="s">
        <v>285</v>
      </c>
      <c r="B102" s="8">
        <v>3</v>
      </c>
      <c r="C102" s="8">
        <v>11.3</v>
      </c>
      <c r="D102" s="8"/>
      <c r="E102" s="8"/>
      <c r="F102" s="42">
        <f t="shared" si="3"/>
        <v>3.7666666666666671</v>
      </c>
      <c r="G102" s="42" t="e">
        <f t="shared" si="4"/>
        <v>#DIV/0!</v>
      </c>
      <c r="H102" s="42" t="e">
        <f t="shared" si="5"/>
        <v>#DIV/0!</v>
      </c>
    </row>
    <row r="103" spans="1:8" hidden="1" x14ac:dyDescent="0.2">
      <c r="A103" s="7" t="s">
        <v>252</v>
      </c>
      <c r="B103" s="8">
        <v>13</v>
      </c>
      <c r="C103" s="8">
        <v>137.80000000000001</v>
      </c>
      <c r="D103" s="8"/>
      <c r="E103" s="8"/>
      <c r="F103" s="42">
        <f t="shared" si="3"/>
        <v>10.600000000000001</v>
      </c>
      <c r="G103" s="42" t="e">
        <f t="shared" si="4"/>
        <v>#DIV/0!</v>
      </c>
      <c r="H103" s="42" t="e">
        <f t="shared" si="5"/>
        <v>#DIV/0!</v>
      </c>
    </row>
    <row r="104" spans="1:8" hidden="1" x14ac:dyDescent="0.2">
      <c r="A104" s="7" t="s">
        <v>406</v>
      </c>
      <c r="B104" s="8">
        <v>2</v>
      </c>
      <c r="C104" s="8">
        <v>10</v>
      </c>
      <c r="D104" s="8"/>
      <c r="E104" s="8"/>
      <c r="F104" s="42">
        <f t="shared" si="3"/>
        <v>5</v>
      </c>
      <c r="G104" s="42" t="e">
        <f t="shared" si="4"/>
        <v>#DIV/0!</v>
      </c>
      <c r="H104" s="42" t="e">
        <f t="shared" si="5"/>
        <v>#DIV/0!</v>
      </c>
    </row>
    <row r="105" spans="1:8" hidden="1" x14ac:dyDescent="0.2">
      <c r="A105" s="7" t="s">
        <v>397</v>
      </c>
      <c r="B105" s="8">
        <v>1</v>
      </c>
      <c r="C105" s="8">
        <v>2.4</v>
      </c>
      <c r="D105" s="8"/>
      <c r="E105" s="8"/>
      <c r="F105" s="42">
        <f t="shared" si="3"/>
        <v>2.4</v>
      </c>
      <c r="G105" s="42" t="e">
        <f t="shared" si="4"/>
        <v>#DIV/0!</v>
      </c>
      <c r="H105" s="42" t="e">
        <f t="shared" si="5"/>
        <v>#DIV/0!</v>
      </c>
    </row>
    <row r="106" spans="1:8" hidden="1" x14ac:dyDescent="0.2">
      <c r="A106" s="7" t="s">
        <v>388</v>
      </c>
      <c r="B106" s="8">
        <v>1</v>
      </c>
      <c r="C106" s="8">
        <v>0.9</v>
      </c>
      <c r="D106" s="8"/>
      <c r="E106" s="8"/>
      <c r="F106" s="42">
        <f t="shared" si="3"/>
        <v>0.9</v>
      </c>
      <c r="G106" s="42" t="e">
        <f t="shared" si="4"/>
        <v>#DIV/0!</v>
      </c>
      <c r="H106" s="42" t="e">
        <f t="shared" si="5"/>
        <v>#DIV/0!</v>
      </c>
    </row>
    <row r="107" spans="1:8" hidden="1" x14ac:dyDescent="0.2">
      <c r="A107" s="7" t="s">
        <v>401</v>
      </c>
      <c r="B107" s="8">
        <v>1</v>
      </c>
      <c r="C107" s="8">
        <v>4.5999999999999996</v>
      </c>
      <c r="D107" s="8"/>
      <c r="E107" s="8"/>
      <c r="F107" s="42">
        <f t="shared" si="3"/>
        <v>4.5999999999999996</v>
      </c>
      <c r="G107" s="42" t="e">
        <f t="shared" si="4"/>
        <v>#DIV/0!</v>
      </c>
      <c r="H107" s="42" t="e">
        <f t="shared" si="5"/>
        <v>#DIV/0!</v>
      </c>
    </row>
    <row r="108" spans="1:8" hidden="1" x14ac:dyDescent="0.2">
      <c r="A108" s="7" t="s">
        <v>366</v>
      </c>
      <c r="B108" s="8">
        <v>2</v>
      </c>
      <c r="C108" s="8">
        <v>5</v>
      </c>
      <c r="D108" s="8"/>
      <c r="E108" s="8"/>
      <c r="F108" s="42">
        <f t="shared" si="3"/>
        <v>2.5</v>
      </c>
      <c r="G108" s="42" t="e">
        <f t="shared" si="4"/>
        <v>#DIV/0!</v>
      </c>
      <c r="H108" s="42" t="e">
        <f t="shared" si="5"/>
        <v>#DIV/0!</v>
      </c>
    </row>
    <row r="109" spans="1:8" hidden="1" x14ac:dyDescent="0.2">
      <c r="A109" s="7" t="s">
        <v>408</v>
      </c>
      <c r="B109" s="8">
        <v>15</v>
      </c>
      <c r="C109" s="8">
        <v>71</v>
      </c>
      <c r="D109" s="8"/>
      <c r="E109" s="8"/>
      <c r="F109" s="42">
        <f t="shared" si="3"/>
        <v>4.7333333333333334</v>
      </c>
      <c r="G109" s="42" t="e">
        <f t="shared" si="4"/>
        <v>#DIV/0!</v>
      </c>
      <c r="H109" s="42" t="e">
        <f t="shared" si="5"/>
        <v>#DIV/0!</v>
      </c>
    </row>
    <row r="110" spans="1:8" hidden="1" x14ac:dyDescent="0.2">
      <c r="A110" s="7" t="s">
        <v>529</v>
      </c>
      <c r="B110" s="8"/>
      <c r="C110" s="8"/>
      <c r="D110" s="8">
        <v>8</v>
      </c>
      <c r="E110" s="8">
        <v>103.7</v>
      </c>
      <c r="F110" s="42" t="e">
        <f t="shared" si="3"/>
        <v>#DIV/0!</v>
      </c>
      <c r="G110" s="42">
        <f t="shared" si="4"/>
        <v>12.9625</v>
      </c>
      <c r="H110" s="42" t="e">
        <f t="shared" si="5"/>
        <v>#DIV/0!</v>
      </c>
    </row>
    <row r="111" spans="1:8" hidden="1" x14ac:dyDescent="0.2">
      <c r="A111" s="7" t="s">
        <v>574</v>
      </c>
      <c r="B111" s="8"/>
      <c r="C111" s="8"/>
      <c r="D111" s="8">
        <v>2</v>
      </c>
      <c r="E111" s="8">
        <v>12.100000000000001</v>
      </c>
      <c r="F111" s="42" t="e">
        <f t="shared" si="3"/>
        <v>#DIV/0!</v>
      </c>
      <c r="G111" s="42">
        <f t="shared" si="4"/>
        <v>6.0500000000000007</v>
      </c>
      <c r="H111" s="42" t="e">
        <f t="shared" si="5"/>
        <v>#DIV/0!</v>
      </c>
    </row>
    <row r="112" spans="1:8" hidden="1" x14ac:dyDescent="0.2">
      <c r="A112" s="7" t="s">
        <v>563</v>
      </c>
      <c r="B112" s="8"/>
      <c r="C112" s="8"/>
      <c r="D112" s="8">
        <v>1</v>
      </c>
      <c r="E112" s="8">
        <v>4</v>
      </c>
      <c r="F112" s="42" t="e">
        <f t="shared" si="3"/>
        <v>#DIV/0!</v>
      </c>
      <c r="G112" s="42">
        <f t="shared" si="4"/>
        <v>4</v>
      </c>
      <c r="H112" s="42" t="e">
        <f t="shared" si="5"/>
        <v>#DIV/0!</v>
      </c>
    </row>
    <row r="113" spans="1:8" hidden="1" x14ac:dyDescent="0.2">
      <c r="A113" s="7" t="s">
        <v>144</v>
      </c>
      <c r="B113" s="8">
        <v>4</v>
      </c>
      <c r="C113" s="8">
        <v>32</v>
      </c>
      <c r="D113" s="8"/>
      <c r="E113" s="8"/>
      <c r="F113" s="42">
        <f t="shared" si="3"/>
        <v>8</v>
      </c>
      <c r="G113" s="42" t="e">
        <f t="shared" si="4"/>
        <v>#DIV/0!</v>
      </c>
      <c r="H113" s="42" t="e">
        <f t="shared" si="5"/>
        <v>#DIV/0!</v>
      </c>
    </row>
    <row r="114" spans="1:8" hidden="1" x14ac:dyDescent="0.2">
      <c r="A114" s="7" t="s">
        <v>545</v>
      </c>
      <c r="B114" s="8"/>
      <c r="C114" s="8"/>
      <c r="D114" s="8">
        <v>10</v>
      </c>
      <c r="E114" s="8">
        <v>121.40000000000002</v>
      </c>
      <c r="F114" s="42" t="e">
        <f t="shared" si="3"/>
        <v>#DIV/0!</v>
      </c>
      <c r="G114" s="42">
        <f t="shared" si="4"/>
        <v>12.140000000000002</v>
      </c>
      <c r="H114" s="42" t="e">
        <f t="shared" si="5"/>
        <v>#DIV/0!</v>
      </c>
    </row>
    <row r="115" spans="1:8" hidden="1" x14ac:dyDescent="0.2">
      <c r="A115" s="7" t="s">
        <v>381</v>
      </c>
      <c r="B115" s="8">
        <v>2</v>
      </c>
      <c r="C115" s="8">
        <v>2.6999999999999997</v>
      </c>
      <c r="D115" s="8"/>
      <c r="E115" s="8"/>
      <c r="F115" s="42">
        <f t="shared" si="3"/>
        <v>1.3499999999999999</v>
      </c>
      <c r="G115" s="42" t="e">
        <f t="shared" si="4"/>
        <v>#DIV/0!</v>
      </c>
      <c r="H115" s="42" t="e">
        <f t="shared" si="5"/>
        <v>#DIV/0!</v>
      </c>
    </row>
    <row r="116" spans="1:8" hidden="1" x14ac:dyDescent="0.2">
      <c r="A116" s="7" t="s">
        <v>375</v>
      </c>
      <c r="B116" s="8">
        <v>1</v>
      </c>
      <c r="C116" s="8">
        <v>0.6</v>
      </c>
      <c r="D116" s="8"/>
      <c r="E116" s="8"/>
      <c r="F116" s="42">
        <f t="shared" si="3"/>
        <v>0.6</v>
      </c>
      <c r="G116" s="42" t="e">
        <f t="shared" si="4"/>
        <v>#DIV/0!</v>
      </c>
      <c r="H116" s="42" t="e">
        <f t="shared" si="5"/>
        <v>#DIV/0!</v>
      </c>
    </row>
    <row r="117" spans="1:8" hidden="1" x14ac:dyDescent="0.2">
      <c r="A117" s="7" t="s">
        <v>337</v>
      </c>
      <c r="B117" s="8">
        <v>2</v>
      </c>
      <c r="C117" s="8">
        <v>14.899999999999999</v>
      </c>
      <c r="D117" s="8"/>
      <c r="E117" s="8"/>
      <c r="F117" s="42">
        <f t="shared" si="3"/>
        <v>7.4499999999999993</v>
      </c>
      <c r="G117" s="42" t="e">
        <f t="shared" si="4"/>
        <v>#DIV/0!</v>
      </c>
      <c r="H117" s="42" t="e">
        <f t="shared" si="5"/>
        <v>#DIV/0!</v>
      </c>
    </row>
    <row r="118" spans="1:8" hidden="1" x14ac:dyDescent="0.2">
      <c r="A118" s="7" t="s">
        <v>534</v>
      </c>
      <c r="B118" s="8"/>
      <c r="C118" s="8"/>
      <c r="D118" s="8">
        <v>8</v>
      </c>
      <c r="E118" s="8">
        <v>80.900000000000006</v>
      </c>
      <c r="F118" s="42" t="e">
        <f t="shared" si="3"/>
        <v>#DIV/0!</v>
      </c>
      <c r="G118" s="42">
        <f t="shared" si="4"/>
        <v>10.112500000000001</v>
      </c>
      <c r="H118" s="42" t="e">
        <f t="shared" si="5"/>
        <v>#DIV/0!</v>
      </c>
    </row>
    <row r="119" spans="1:8" hidden="1" x14ac:dyDescent="0.2">
      <c r="A119" s="7" t="s">
        <v>369</v>
      </c>
      <c r="B119" s="8">
        <v>1</v>
      </c>
      <c r="C119" s="8">
        <v>3.1</v>
      </c>
      <c r="D119" s="8"/>
      <c r="E119" s="8"/>
      <c r="F119" s="42">
        <f t="shared" si="3"/>
        <v>3.1</v>
      </c>
      <c r="G119" s="42" t="e">
        <f t="shared" si="4"/>
        <v>#DIV/0!</v>
      </c>
      <c r="H119" s="42" t="e">
        <f t="shared" si="5"/>
        <v>#DIV/0!</v>
      </c>
    </row>
    <row r="120" spans="1:8" hidden="1" x14ac:dyDescent="0.2">
      <c r="A120" s="7" t="s">
        <v>380</v>
      </c>
      <c r="B120" s="8">
        <v>1</v>
      </c>
      <c r="C120" s="8">
        <v>6.3</v>
      </c>
      <c r="D120" s="8"/>
      <c r="E120" s="8"/>
      <c r="F120" s="42">
        <f t="shared" si="3"/>
        <v>6.3</v>
      </c>
      <c r="G120" s="42" t="e">
        <f t="shared" si="4"/>
        <v>#DIV/0!</v>
      </c>
      <c r="H120" s="42" t="e">
        <f t="shared" si="5"/>
        <v>#DIV/0!</v>
      </c>
    </row>
    <row r="121" spans="1:8" hidden="1" x14ac:dyDescent="0.2">
      <c r="A121" s="7" t="s">
        <v>580</v>
      </c>
      <c r="B121" s="8"/>
      <c r="C121" s="8"/>
      <c r="D121" s="8">
        <v>1</v>
      </c>
      <c r="E121" s="8">
        <v>0</v>
      </c>
      <c r="F121" s="42" t="e">
        <f t="shared" si="3"/>
        <v>#DIV/0!</v>
      </c>
      <c r="G121" s="42">
        <f t="shared" si="4"/>
        <v>0</v>
      </c>
      <c r="H121" s="42" t="e">
        <f t="shared" si="5"/>
        <v>#DIV/0!</v>
      </c>
    </row>
    <row r="122" spans="1:8" hidden="1" x14ac:dyDescent="0.2">
      <c r="A122" s="7" t="s">
        <v>579</v>
      </c>
      <c r="B122" s="8"/>
      <c r="C122" s="8"/>
      <c r="D122" s="8">
        <v>1</v>
      </c>
      <c r="E122" s="8">
        <v>0.5</v>
      </c>
      <c r="F122" s="42" t="e">
        <f t="shared" si="3"/>
        <v>#DIV/0!</v>
      </c>
      <c r="G122" s="42">
        <f t="shared" si="4"/>
        <v>0.5</v>
      </c>
      <c r="H122" s="42" t="e">
        <f t="shared" si="5"/>
        <v>#DIV/0!</v>
      </c>
    </row>
    <row r="123" spans="1:8" hidden="1" x14ac:dyDescent="0.2">
      <c r="A123" s="7" t="s">
        <v>588</v>
      </c>
      <c r="B123" s="8"/>
      <c r="C123" s="8"/>
      <c r="D123" s="8">
        <v>1</v>
      </c>
      <c r="E123" s="8">
        <v>5.0999999999999996</v>
      </c>
      <c r="F123" s="42" t="e">
        <f t="shared" si="3"/>
        <v>#DIV/0!</v>
      </c>
      <c r="G123" s="42">
        <f t="shared" si="4"/>
        <v>5.0999999999999996</v>
      </c>
      <c r="H123" s="42" t="e">
        <f t="shared" si="5"/>
        <v>#DIV/0!</v>
      </c>
    </row>
    <row r="124" spans="1:8" hidden="1" x14ac:dyDescent="0.2">
      <c r="A124" s="7" t="s">
        <v>398</v>
      </c>
      <c r="B124" s="8">
        <v>2</v>
      </c>
      <c r="C124" s="8">
        <v>13.4</v>
      </c>
      <c r="D124" s="8"/>
      <c r="E124" s="8"/>
      <c r="F124" s="42">
        <f t="shared" si="3"/>
        <v>6.7</v>
      </c>
      <c r="G124" s="42" t="e">
        <f t="shared" si="4"/>
        <v>#DIV/0!</v>
      </c>
      <c r="H124" s="42" t="e">
        <f t="shared" si="5"/>
        <v>#DIV/0!</v>
      </c>
    </row>
    <row r="125" spans="1:8" hidden="1" x14ac:dyDescent="0.2">
      <c r="A125" s="7" t="s">
        <v>569</v>
      </c>
      <c r="B125" s="8"/>
      <c r="C125" s="8"/>
      <c r="D125" s="8">
        <v>1</v>
      </c>
      <c r="E125" s="8">
        <v>2.64</v>
      </c>
      <c r="F125" s="42" t="e">
        <f t="shared" si="3"/>
        <v>#DIV/0!</v>
      </c>
      <c r="G125" s="42">
        <f t="shared" si="4"/>
        <v>2.64</v>
      </c>
      <c r="H125" s="42" t="e">
        <f t="shared" si="5"/>
        <v>#DIV/0!</v>
      </c>
    </row>
    <row r="126" spans="1:8" hidden="1" x14ac:dyDescent="0.2">
      <c r="A126" s="7" t="s">
        <v>548</v>
      </c>
      <c r="B126" s="8"/>
      <c r="C126" s="8"/>
      <c r="D126" s="8">
        <v>2</v>
      </c>
      <c r="E126" s="8">
        <v>12</v>
      </c>
      <c r="F126" s="42" t="e">
        <f t="shared" si="3"/>
        <v>#DIV/0!</v>
      </c>
      <c r="G126" s="42">
        <f t="shared" si="4"/>
        <v>6</v>
      </c>
      <c r="H126" s="42" t="e">
        <f t="shared" si="5"/>
        <v>#DIV/0!</v>
      </c>
    </row>
    <row r="127" spans="1:8" hidden="1" x14ac:dyDescent="0.2">
      <c r="A127" s="7" t="s">
        <v>377</v>
      </c>
      <c r="B127" s="8">
        <v>1</v>
      </c>
      <c r="C127" s="8">
        <v>1.5</v>
      </c>
      <c r="D127" s="8"/>
      <c r="E127" s="8"/>
      <c r="F127" s="42">
        <f t="shared" si="3"/>
        <v>1.5</v>
      </c>
      <c r="G127" s="42" t="e">
        <f t="shared" si="4"/>
        <v>#DIV/0!</v>
      </c>
      <c r="H127" s="42" t="e">
        <f t="shared" si="5"/>
        <v>#DIV/0!</v>
      </c>
    </row>
    <row r="128" spans="1:8" hidden="1" x14ac:dyDescent="0.2">
      <c r="A128" s="7" t="s">
        <v>335</v>
      </c>
      <c r="B128" s="8">
        <v>3</v>
      </c>
      <c r="C128" s="8">
        <v>35.799999999999997</v>
      </c>
      <c r="D128" s="8"/>
      <c r="E128" s="8"/>
      <c r="F128" s="42">
        <f t="shared" si="3"/>
        <v>11.933333333333332</v>
      </c>
      <c r="G128" s="42" t="e">
        <f t="shared" si="4"/>
        <v>#DIV/0!</v>
      </c>
      <c r="H128" s="42" t="e">
        <f t="shared" si="5"/>
        <v>#DIV/0!</v>
      </c>
    </row>
    <row r="129" spans="1:8" hidden="1" x14ac:dyDescent="0.2">
      <c r="A129" s="7" t="s">
        <v>274</v>
      </c>
      <c r="B129" s="8">
        <v>12</v>
      </c>
      <c r="C129" s="8">
        <v>90.6</v>
      </c>
      <c r="D129" s="8"/>
      <c r="E129" s="8"/>
      <c r="F129" s="42">
        <f t="shared" si="3"/>
        <v>7.55</v>
      </c>
      <c r="G129" s="42" t="e">
        <f t="shared" si="4"/>
        <v>#DIV/0!</v>
      </c>
      <c r="H129" s="42" t="e">
        <f t="shared" si="5"/>
        <v>#DIV/0!</v>
      </c>
    </row>
    <row r="130" spans="1:8" hidden="1" x14ac:dyDescent="0.2">
      <c r="A130" s="7" t="s">
        <v>362</v>
      </c>
      <c r="B130" s="8">
        <v>4</v>
      </c>
      <c r="C130" s="8">
        <v>32.42</v>
      </c>
      <c r="D130" s="8"/>
      <c r="E130" s="8"/>
      <c r="F130" s="42">
        <f t="shared" si="3"/>
        <v>8.1050000000000004</v>
      </c>
      <c r="G130" s="42" t="e">
        <f t="shared" si="4"/>
        <v>#DIV/0!</v>
      </c>
      <c r="H130" s="42" t="e">
        <f t="shared" si="5"/>
        <v>#DIV/0!</v>
      </c>
    </row>
    <row r="131" spans="1:8" hidden="1" x14ac:dyDescent="0.2">
      <c r="A131" s="7" t="s">
        <v>522</v>
      </c>
      <c r="B131" s="8"/>
      <c r="C131" s="8"/>
      <c r="D131" s="8">
        <v>13</v>
      </c>
      <c r="E131" s="8">
        <v>147.10000000000002</v>
      </c>
      <c r="F131" s="42" t="e">
        <f t="shared" ref="F131:F155" si="6">C131/B131</f>
        <v>#DIV/0!</v>
      </c>
      <c r="G131" s="42">
        <f t="shared" ref="G131:G155" si="7">E131/D131</f>
        <v>11.315384615384618</v>
      </c>
      <c r="H131" s="42" t="e">
        <f t="shared" ref="H131:H155" si="8">G131-F131</f>
        <v>#DIV/0!</v>
      </c>
    </row>
    <row r="132" spans="1:8" hidden="1" x14ac:dyDescent="0.2">
      <c r="A132" s="7" t="s">
        <v>564</v>
      </c>
      <c r="B132" s="8"/>
      <c r="C132" s="8"/>
      <c r="D132" s="8">
        <v>2</v>
      </c>
      <c r="E132" s="8">
        <v>20.6</v>
      </c>
      <c r="F132" s="42" t="e">
        <f t="shared" si="6"/>
        <v>#DIV/0!</v>
      </c>
      <c r="G132" s="42">
        <f t="shared" si="7"/>
        <v>10.3</v>
      </c>
      <c r="H132" s="42" t="e">
        <f t="shared" si="8"/>
        <v>#DIV/0!</v>
      </c>
    </row>
    <row r="133" spans="1:8" hidden="1" x14ac:dyDescent="0.2">
      <c r="A133" s="7" t="s">
        <v>572</v>
      </c>
      <c r="B133" s="8"/>
      <c r="C133" s="8"/>
      <c r="D133" s="8">
        <v>5</v>
      </c>
      <c r="E133" s="8">
        <v>32.4</v>
      </c>
      <c r="F133" s="42" t="e">
        <f t="shared" si="6"/>
        <v>#DIV/0!</v>
      </c>
      <c r="G133" s="42">
        <f t="shared" si="7"/>
        <v>6.4799999999999995</v>
      </c>
      <c r="H133" s="42" t="e">
        <f t="shared" si="8"/>
        <v>#DIV/0!</v>
      </c>
    </row>
    <row r="134" spans="1:8" hidden="1" x14ac:dyDescent="0.2">
      <c r="A134" s="7" t="s">
        <v>394</v>
      </c>
      <c r="B134" s="8">
        <v>1</v>
      </c>
      <c r="C134" s="8">
        <v>10.76</v>
      </c>
      <c r="D134" s="8"/>
      <c r="E134" s="8"/>
      <c r="F134" s="42">
        <f t="shared" si="6"/>
        <v>10.76</v>
      </c>
      <c r="G134" s="42" t="e">
        <f t="shared" si="7"/>
        <v>#DIV/0!</v>
      </c>
      <c r="H134" s="42" t="e">
        <f t="shared" si="8"/>
        <v>#DIV/0!</v>
      </c>
    </row>
    <row r="135" spans="1:8" hidden="1" x14ac:dyDescent="0.2">
      <c r="A135" s="7" t="s">
        <v>539</v>
      </c>
      <c r="B135" s="8"/>
      <c r="C135" s="8"/>
      <c r="D135" s="8">
        <v>4</v>
      </c>
      <c r="E135" s="8">
        <v>35.200000000000003</v>
      </c>
      <c r="F135" s="42" t="e">
        <f t="shared" si="6"/>
        <v>#DIV/0!</v>
      </c>
      <c r="G135" s="42">
        <f t="shared" si="7"/>
        <v>8.8000000000000007</v>
      </c>
      <c r="H135" s="42" t="e">
        <f t="shared" si="8"/>
        <v>#DIV/0!</v>
      </c>
    </row>
    <row r="136" spans="1:8" hidden="1" x14ac:dyDescent="0.2">
      <c r="A136" s="7" t="s">
        <v>528</v>
      </c>
      <c r="B136" s="8"/>
      <c r="C136" s="8"/>
      <c r="D136" s="8">
        <v>10</v>
      </c>
      <c r="E136" s="8">
        <v>135.69999999999999</v>
      </c>
      <c r="F136" s="42" t="e">
        <f t="shared" si="6"/>
        <v>#DIV/0!</v>
      </c>
      <c r="G136" s="42">
        <f t="shared" si="7"/>
        <v>13.569999999999999</v>
      </c>
      <c r="H136" s="42" t="e">
        <f t="shared" si="8"/>
        <v>#DIV/0!</v>
      </c>
    </row>
    <row r="137" spans="1:8" hidden="1" x14ac:dyDescent="0.2">
      <c r="A137" s="7" t="s">
        <v>543</v>
      </c>
      <c r="B137" s="8"/>
      <c r="C137" s="8"/>
      <c r="D137" s="8">
        <v>1</v>
      </c>
      <c r="E137" s="8">
        <v>7.9</v>
      </c>
      <c r="F137" s="42" t="e">
        <f t="shared" si="6"/>
        <v>#DIV/0!</v>
      </c>
      <c r="G137" s="42">
        <f t="shared" si="7"/>
        <v>7.9</v>
      </c>
      <c r="H137" s="42" t="e">
        <f t="shared" si="8"/>
        <v>#DIV/0!</v>
      </c>
    </row>
    <row r="138" spans="1:8" hidden="1" x14ac:dyDescent="0.2">
      <c r="A138" s="7" t="s">
        <v>332</v>
      </c>
      <c r="B138" s="8">
        <v>3</v>
      </c>
      <c r="C138" s="8">
        <v>23.6</v>
      </c>
      <c r="D138" s="8"/>
      <c r="E138" s="8"/>
      <c r="F138" s="42">
        <f t="shared" si="6"/>
        <v>7.8666666666666671</v>
      </c>
      <c r="G138" s="42" t="e">
        <f t="shared" si="7"/>
        <v>#DIV/0!</v>
      </c>
      <c r="H138" s="42" t="e">
        <f t="shared" si="8"/>
        <v>#DIV/0!</v>
      </c>
    </row>
    <row r="139" spans="1:8" hidden="1" x14ac:dyDescent="0.2">
      <c r="A139" s="7" t="s">
        <v>552</v>
      </c>
      <c r="B139" s="8"/>
      <c r="C139" s="8"/>
      <c r="D139" s="8">
        <v>7</v>
      </c>
      <c r="E139" s="8">
        <v>61.1</v>
      </c>
      <c r="F139" s="42" t="e">
        <f t="shared" si="6"/>
        <v>#DIV/0!</v>
      </c>
      <c r="G139" s="42">
        <f t="shared" si="7"/>
        <v>8.7285714285714295</v>
      </c>
      <c r="H139" s="42" t="e">
        <f t="shared" si="8"/>
        <v>#DIV/0!</v>
      </c>
    </row>
    <row r="140" spans="1:8" hidden="1" x14ac:dyDescent="0.2">
      <c r="A140" s="7" t="s">
        <v>360</v>
      </c>
      <c r="B140" s="8">
        <v>3</v>
      </c>
      <c r="C140" s="8">
        <v>42.019999999999996</v>
      </c>
      <c r="D140" s="8"/>
      <c r="E140" s="8"/>
      <c r="F140" s="42">
        <f t="shared" si="6"/>
        <v>14.006666666666666</v>
      </c>
      <c r="G140" s="42" t="e">
        <f t="shared" si="7"/>
        <v>#DIV/0!</v>
      </c>
      <c r="H140" s="42" t="e">
        <f t="shared" si="8"/>
        <v>#DIV/0!</v>
      </c>
    </row>
    <row r="141" spans="1:8" hidden="1" x14ac:dyDescent="0.2">
      <c r="A141" s="7" t="s">
        <v>312</v>
      </c>
      <c r="B141" s="8">
        <v>1</v>
      </c>
      <c r="C141" s="8">
        <v>9.5</v>
      </c>
      <c r="D141" s="8"/>
      <c r="E141" s="8"/>
      <c r="F141" s="42">
        <f t="shared" si="6"/>
        <v>9.5</v>
      </c>
      <c r="G141" s="42" t="e">
        <f t="shared" si="7"/>
        <v>#DIV/0!</v>
      </c>
      <c r="H141" s="42" t="e">
        <f t="shared" si="8"/>
        <v>#DIV/0!</v>
      </c>
    </row>
    <row r="142" spans="1:8" hidden="1" x14ac:dyDescent="0.2">
      <c r="A142" s="7" t="s">
        <v>341</v>
      </c>
      <c r="B142" s="8">
        <v>1</v>
      </c>
      <c r="C142" s="8">
        <v>3.4</v>
      </c>
      <c r="D142" s="8"/>
      <c r="E142" s="8"/>
      <c r="F142" s="42">
        <f t="shared" si="6"/>
        <v>3.4</v>
      </c>
      <c r="G142" s="42" t="e">
        <f t="shared" si="7"/>
        <v>#DIV/0!</v>
      </c>
      <c r="H142" s="42" t="e">
        <f t="shared" si="8"/>
        <v>#DIV/0!</v>
      </c>
    </row>
    <row r="143" spans="1:8" hidden="1" x14ac:dyDescent="0.2">
      <c r="A143" s="7" t="s">
        <v>139</v>
      </c>
      <c r="B143" s="8">
        <v>14</v>
      </c>
      <c r="C143" s="8">
        <v>113</v>
      </c>
      <c r="D143" s="8"/>
      <c r="E143" s="8"/>
      <c r="F143" s="42">
        <f t="shared" si="6"/>
        <v>8.0714285714285712</v>
      </c>
      <c r="G143" s="42" t="e">
        <f t="shared" si="7"/>
        <v>#DIV/0!</v>
      </c>
      <c r="H143" s="42" t="e">
        <f t="shared" si="8"/>
        <v>#DIV/0!</v>
      </c>
    </row>
    <row r="144" spans="1:8" hidden="1" x14ac:dyDescent="0.2">
      <c r="A144" s="7" t="s">
        <v>290</v>
      </c>
      <c r="B144" s="8">
        <v>2</v>
      </c>
      <c r="C144" s="8">
        <v>12.2</v>
      </c>
      <c r="D144" s="8"/>
      <c r="E144" s="8"/>
      <c r="F144" s="42">
        <f t="shared" si="6"/>
        <v>6.1</v>
      </c>
      <c r="G144" s="42" t="e">
        <f t="shared" si="7"/>
        <v>#DIV/0!</v>
      </c>
      <c r="H144" s="42" t="e">
        <f t="shared" si="8"/>
        <v>#DIV/0!</v>
      </c>
    </row>
    <row r="145" spans="1:8" hidden="1" x14ac:dyDescent="0.2">
      <c r="A145" s="7" t="s">
        <v>324</v>
      </c>
      <c r="B145" s="8">
        <v>4</v>
      </c>
      <c r="C145" s="8">
        <v>31.2</v>
      </c>
      <c r="D145" s="8"/>
      <c r="E145" s="8"/>
      <c r="F145" s="42">
        <f t="shared" si="6"/>
        <v>7.8</v>
      </c>
      <c r="G145" s="42" t="e">
        <f t="shared" si="7"/>
        <v>#DIV/0!</v>
      </c>
      <c r="H145" s="42" t="e">
        <f t="shared" si="8"/>
        <v>#DIV/0!</v>
      </c>
    </row>
    <row r="146" spans="1:8" hidden="1" x14ac:dyDescent="0.2">
      <c r="A146" s="7" t="s">
        <v>523</v>
      </c>
      <c r="B146" s="8"/>
      <c r="C146" s="8"/>
      <c r="D146" s="8">
        <v>8</v>
      </c>
      <c r="E146" s="8">
        <v>68</v>
      </c>
      <c r="F146" s="42" t="e">
        <f t="shared" si="6"/>
        <v>#DIV/0!</v>
      </c>
      <c r="G146" s="42">
        <f t="shared" si="7"/>
        <v>8.5</v>
      </c>
      <c r="H146" s="42" t="e">
        <f t="shared" si="8"/>
        <v>#DIV/0!</v>
      </c>
    </row>
    <row r="147" spans="1:8" hidden="1" x14ac:dyDescent="0.2">
      <c r="A147" s="7" t="s">
        <v>592</v>
      </c>
      <c r="B147" s="8"/>
      <c r="C147" s="8"/>
      <c r="D147" s="8">
        <v>2</v>
      </c>
      <c r="E147" s="8">
        <v>35.200000000000003</v>
      </c>
      <c r="F147" s="42" t="e">
        <f t="shared" si="6"/>
        <v>#DIV/0!</v>
      </c>
      <c r="G147" s="42">
        <f t="shared" si="7"/>
        <v>17.600000000000001</v>
      </c>
      <c r="H147" s="42" t="e">
        <f t="shared" si="8"/>
        <v>#DIV/0!</v>
      </c>
    </row>
    <row r="148" spans="1:8" hidden="1" x14ac:dyDescent="0.2">
      <c r="A148" s="7" t="s">
        <v>530</v>
      </c>
      <c r="B148" s="8"/>
      <c r="C148" s="8"/>
      <c r="D148" s="8">
        <v>13</v>
      </c>
      <c r="E148" s="8">
        <v>130.69999999999999</v>
      </c>
      <c r="F148" s="42" t="e">
        <f t="shared" si="6"/>
        <v>#DIV/0!</v>
      </c>
      <c r="G148" s="42">
        <f t="shared" si="7"/>
        <v>10.053846153846154</v>
      </c>
      <c r="H148" s="42" t="e">
        <f t="shared" si="8"/>
        <v>#DIV/0!</v>
      </c>
    </row>
    <row r="149" spans="1:8" hidden="1" x14ac:dyDescent="0.2">
      <c r="A149" s="7" t="s">
        <v>393</v>
      </c>
      <c r="B149" s="8">
        <v>2</v>
      </c>
      <c r="C149" s="8">
        <v>6.7</v>
      </c>
      <c r="D149" s="8"/>
      <c r="E149" s="8"/>
      <c r="F149" s="42">
        <f t="shared" si="6"/>
        <v>3.35</v>
      </c>
      <c r="G149" s="42" t="e">
        <f t="shared" si="7"/>
        <v>#DIV/0!</v>
      </c>
      <c r="H149" s="42" t="e">
        <f t="shared" si="8"/>
        <v>#DIV/0!</v>
      </c>
    </row>
    <row r="150" spans="1:8" hidden="1" x14ac:dyDescent="0.2">
      <c r="A150" s="7" t="s">
        <v>399</v>
      </c>
      <c r="B150" s="8">
        <v>1</v>
      </c>
      <c r="C150" s="8">
        <v>7.02</v>
      </c>
      <c r="D150" s="8"/>
      <c r="E150" s="8"/>
      <c r="F150" s="42">
        <f t="shared" si="6"/>
        <v>7.02</v>
      </c>
      <c r="G150" s="42" t="e">
        <f t="shared" si="7"/>
        <v>#DIV/0!</v>
      </c>
      <c r="H150" s="42" t="e">
        <f t="shared" si="8"/>
        <v>#DIV/0!</v>
      </c>
    </row>
    <row r="151" spans="1:8" hidden="1" x14ac:dyDescent="0.2">
      <c r="A151" s="7" t="s">
        <v>520</v>
      </c>
      <c r="B151" s="8"/>
      <c r="C151" s="8"/>
      <c r="D151" s="8">
        <v>10</v>
      </c>
      <c r="E151" s="8">
        <v>63</v>
      </c>
      <c r="F151" s="42" t="e">
        <f t="shared" si="6"/>
        <v>#DIV/0!</v>
      </c>
      <c r="G151" s="42">
        <f t="shared" si="7"/>
        <v>6.3</v>
      </c>
      <c r="H151" s="42" t="e">
        <f t="shared" si="8"/>
        <v>#DIV/0!</v>
      </c>
    </row>
    <row r="152" spans="1:8" hidden="1" x14ac:dyDescent="0.2">
      <c r="A152" s="7" t="s">
        <v>556</v>
      </c>
      <c r="B152" s="8"/>
      <c r="C152" s="8"/>
      <c r="D152" s="8">
        <v>8</v>
      </c>
      <c r="E152" s="8">
        <v>68.099999999999994</v>
      </c>
      <c r="F152" s="42" t="e">
        <f t="shared" si="6"/>
        <v>#DIV/0!</v>
      </c>
      <c r="G152" s="42">
        <f t="shared" si="7"/>
        <v>8.5124999999999993</v>
      </c>
      <c r="H152" s="42" t="e">
        <f t="shared" si="8"/>
        <v>#DIV/0!</v>
      </c>
    </row>
    <row r="153" spans="1:8" hidden="1" x14ac:dyDescent="0.2">
      <c r="A153" s="7" t="s">
        <v>143</v>
      </c>
      <c r="B153" s="8">
        <v>11</v>
      </c>
      <c r="C153" s="8">
        <v>90</v>
      </c>
      <c r="D153" s="8"/>
      <c r="E153" s="8"/>
      <c r="F153" s="42">
        <f t="shared" si="6"/>
        <v>8.1818181818181817</v>
      </c>
      <c r="G153" s="42" t="e">
        <f t="shared" si="7"/>
        <v>#DIV/0!</v>
      </c>
      <c r="H153" s="42" t="e">
        <f t="shared" si="8"/>
        <v>#DIV/0!</v>
      </c>
    </row>
    <row r="154" spans="1:8" hidden="1" x14ac:dyDescent="0.2">
      <c r="A154" s="7" t="s">
        <v>282</v>
      </c>
      <c r="B154" s="8">
        <v>4</v>
      </c>
      <c r="C154" s="8">
        <v>40.700000000000003</v>
      </c>
      <c r="D154" s="8"/>
      <c r="E154" s="8"/>
      <c r="F154" s="42">
        <f t="shared" si="6"/>
        <v>10.175000000000001</v>
      </c>
      <c r="G154" s="42" t="e">
        <f t="shared" si="7"/>
        <v>#DIV/0!</v>
      </c>
      <c r="H154" s="42" t="e">
        <f t="shared" si="8"/>
        <v>#DIV/0!</v>
      </c>
    </row>
    <row r="155" spans="1:8" hidden="1" x14ac:dyDescent="0.2">
      <c r="A155" s="7" t="s">
        <v>190</v>
      </c>
      <c r="B155" s="8">
        <v>1</v>
      </c>
      <c r="C155" s="8">
        <v>3.6</v>
      </c>
      <c r="D155" s="8"/>
      <c r="E155" s="8"/>
      <c r="F155" s="42">
        <f t="shared" si="6"/>
        <v>3.6</v>
      </c>
      <c r="G155" s="42" t="e">
        <f t="shared" si="7"/>
        <v>#DIV/0!</v>
      </c>
      <c r="H155" s="42" t="e">
        <f t="shared" si="8"/>
        <v>#DIV/0!</v>
      </c>
    </row>
    <row r="156" spans="1:8" hidden="1" x14ac:dyDescent="0.2">
      <c r="A156" s="7" t="s">
        <v>212</v>
      </c>
      <c r="B156" s="8">
        <v>14</v>
      </c>
      <c r="C156" s="8">
        <v>344.9</v>
      </c>
      <c r="D156" s="8">
        <v>15</v>
      </c>
      <c r="E156" s="8">
        <v>341.43999999999994</v>
      </c>
      <c r="F156" s="42">
        <f t="shared" ref="F156:F187" si="9">C156/B156</f>
        <v>24.635714285714283</v>
      </c>
      <c r="G156" s="42">
        <f t="shared" ref="G156:G187" si="10">E156/D156</f>
        <v>22.762666666666664</v>
      </c>
      <c r="H156" s="42">
        <f t="shared" ref="H156:H187" si="11">G156-F156</f>
        <v>-1.8730476190476182</v>
      </c>
    </row>
    <row r="157" spans="1:8" hidden="1" x14ac:dyDescent="0.2">
      <c r="A157" s="7" t="s">
        <v>427</v>
      </c>
      <c r="B157" s="8">
        <v>2</v>
      </c>
      <c r="C157" s="8">
        <v>15.16</v>
      </c>
      <c r="D157" s="8">
        <v>6</v>
      </c>
      <c r="E157" s="8">
        <v>120.06</v>
      </c>
      <c r="F157" s="42">
        <f t="shared" si="9"/>
        <v>7.58</v>
      </c>
      <c r="G157" s="42">
        <f t="shared" si="10"/>
        <v>20.010000000000002</v>
      </c>
      <c r="H157" s="42">
        <f t="shared" si="11"/>
        <v>12.430000000000001</v>
      </c>
    </row>
    <row r="158" spans="1:8" hidden="1" x14ac:dyDescent="0.2">
      <c r="A158" s="7" t="s">
        <v>392</v>
      </c>
      <c r="B158" s="8">
        <v>1</v>
      </c>
      <c r="C158" s="8">
        <v>10.76</v>
      </c>
      <c r="D158" s="8">
        <v>5</v>
      </c>
      <c r="E158" s="8">
        <v>115.67999999999999</v>
      </c>
      <c r="F158" s="42">
        <f t="shared" si="9"/>
        <v>10.76</v>
      </c>
      <c r="G158" s="42">
        <f t="shared" si="10"/>
        <v>23.135999999999999</v>
      </c>
      <c r="H158" s="42">
        <f t="shared" si="11"/>
        <v>12.375999999999999</v>
      </c>
    </row>
    <row r="159" spans="1:8" hidden="1" x14ac:dyDescent="0.2">
      <c r="A159" s="7" t="s">
        <v>329</v>
      </c>
      <c r="B159" s="8">
        <v>3</v>
      </c>
      <c r="C159" s="8">
        <v>23.299999999999997</v>
      </c>
      <c r="D159" s="8">
        <v>4</v>
      </c>
      <c r="E159" s="8">
        <v>79.599999999999994</v>
      </c>
      <c r="F159" s="42">
        <f t="shared" si="9"/>
        <v>7.7666666666666657</v>
      </c>
      <c r="G159" s="42">
        <f t="shared" si="10"/>
        <v>19.899999999999999</v>
      </c>
      <c r="H159" s="42">
        <f t="shared" si="11"/>
        <v>12.133333333333333</v>
      </c>
    </row>
    <row r="160" spans="1:8" hidden="1" x14ac:dyDescent="0.2">
      <c r="A160" s="7" t="s">
        <v>229</v>
      </c>
      <c r="B160" s="8">
        <v>5</v>
      </c>
      <c r="C160" s="8">
        <v>31</v>
      </c>
      <c r="D160" s="8">
        <v>3</v>
      </c>
      <c r="E160" s="8">
        <v>49</v>
      </c>
      <c r="F160" s="42">
        <f t="shared" si="9"/>
        <v>6.2</v>
      </c>
      <c r="G160" s="42">
        <f t="shared" si="10"/>
        <v>16.333333333333332</v>
      </c>
      <c r="H160" s="42">
        <f t="shared" si="11"/>
        <v>10.133333333333333</v>
      </c>
    </row>
    <row r="161" spans="1:8" hidden="1" x14ac:dyDescent="0.2">
      <c r="A161" s="7" t="s">
        <v>384</v>
      </c>
      <c r="B161" s="8">
        <v>3</v>
      </c>
      <c r="C161" s="8">
        <v>15.3</v>
      </c>
      <c r="D161" s="8">
        <v>1</v>
      </c>
      <c r="E161" s="8">
        <v>14.8</v>
      </c>
      <c r="F161" s="42">
        <f t="shared" si="9"/>
        <v>5.1000000000000005</v>
      </c>
      <c r="G161" s="42">
        <f t="shared" si="10"/>
        <v>14.8</v>
      </c>
      <c r="H161" s="42">
        <f t="shared" si="11"/>
        <v>9.6999999999999993</v>
      </c>
    </row>
    <row r="162" spans="1:8" hidden="1" x14ac:dyDescent="0.2">
      <c r="A162" s="7" t="s">
        <v>279</v>
      </c>
      <c r="B162" s="8">
        <v>2</v>
      </c>
      <c r="C162" s="8">
        <v>4</v>
      </c>
      <c r="D162" s="8">
        <v>2</v>
      </c>
      <c r="E162" s="8">
        <v>23</v>
      </c>
      <c r="F162" s="42">
        <f t="shared" si="9"/>
        <v>2</v>
      </c>
      <c r="G162" s="42">
        <f t="shared" si="10"/>
        <v>11.5</v>
      </c>
      <c r="H162" s="42">
        <f t="shared" si="11"/>
        <v>9.5</v>
      </c>
    </row>
    <row r="163" spans="1:8" hidden="1" x14ac:dyDescent="0.2">
      <c r="A163" s="7" t="s">
        <v>347</v>
      </c>
      <c r="B163" s="8">
        <v>2</v>
      </c>
      <c r="C163" s="8">
        <v>2.5</v>
      </c>
      <c r="D163" s="8">
        <v>8</v>
      </c>
      <c r="E163" s="8">
        <v>82.6</v>
      </c>
      <c r="F163" s="42">
        <f t="shared" si="9"/>
        <v>1.25</v>
      </c>
      <c r="G163" s="42">
        <f t="shared" si="10"/>
        <v>10.324999999999999</v>
      </c>
      <c r="H163" s="42">
        <f t="shared" si="11"/>
        <v>9.0749999999999993</v>
      </c>
    </row>
    <row r="164" spans="1:8" hidden="1" x14ac:dyDescent="0.2">
      <c r="A164" s="7" t="s">
        <v>198</v>
      </c>
      <c r="B164" s="8">
        <v>13</v>
      </c>
      <c r="C164" s="8">
        <v>211.20000000000002</v>
      </c>
      <c r="D164" s="8">
        <v>14</v>
      </c>
      <c r="E164" s="8">
        <v>303.10000000000002</v>
      </c>
      <c r="F164" s="42">
        <f t="shared" si="9"/>
        <v>16.246153846153849</v>
      </c>
      <c r="G164" s="42">
        <f t="shared" si="10"/>
        <v>21.650000000000002</v>
      </c>
      <c r="H164" s="42">
        <f t="shared" si="11"/>
        <v>5.4038461538461533</v>
      </c>
    </row>
    <row r="165" spans="1:8" hidden="1" x14ac:dyDescent="0.2">
      <c r="A165" s="7" t="s">
        <v>372</v>
      </c>
      <c r="B165" s="8">
        <v>5</v>
      </c>
      <c r="C165" s="8">
        <v>40.299999999999997</v>
      </c>
      <c r="D165" s="8">
        <v>14</v>
      </c>
      <c r="E165" s="8">
        <v>301.2</v>
      </c>
      <c r="F165" s="42">
        <f t="shared" si="9"/>
        <v>8.0599999999999987</v>
      </c>
      <c r="G165" s="42">
        <f t="shared" si="10"/>
        <v>21.514285714285712</v>
      </c>
      <c r="H165" s="42">
        <f t="shared" si="11"/>
        <v>13.454285714285714</v>
      </c>
    </row>
    <row r="166" spans="1:8" hidden="1" x14ac:dyDescent="0.2">
      <c r="A166" s="7" t="s">
        <v>126</v>
      </c>
      <c r="B166" s="8">
        <v>1</v>
      </c>
      <c r="C166" s="8">
        <v>11.28</v>
      </c>
      <c r="D166" s="8">
        <v>14</v>
      </c>
      <c r="E166" s="8">
        <v>260.59999999999997</v>
      </c>
      <c r="F166" s="42">
        <f t="shared" si="9"/>
        <v>11.28</v>
      </c>
      <c r="G166" s="42">
        <f t="shared" si="10"/>
        <v>18.61428571428571</v>
      </c>
      <c r="H166" s="42">
        <f t="shared" si="11"/>
        <v>7.334285714285711</v>
      </c>
    </row>
    <row r="167" spans="1:8" hidden="1" x14ac:dyDescent="0.2">
      <c r="A167" s="7" t="s">
        <v>207</v>
      </c>
      <c r="B167" s="8">
        <v>16</v>
      </c>
      <c r="C167" s="8">
        <v>293.40000000000003</v>
      </c>
      <c r="D167" s="8">
        <v>13</v>
      </c>
      <c r="E167" s="8">
        <v>278.60000000000002</v>
      </c>
      <c r="F167" s="42">
        <f t="shared" si="9"/>
        <v>18.337500000000002</v>
      </c>
      <c r="G167" s="42">
        <f t="shared" si="10"/>
        <v>21.430769230769233</v>
      </c>
      <c r="H167" s="42">
        <f t="shared" si="11"/>
        <v>3.0932692307692307</v>
      </c>
    </row>
    <row r="168" spans="1:8" hidden="1" x14ac:dyDescent="0.2">
      <c r="A168" s="7" t="s">
        <v>223</v>
      </c>
      <c r="B168" s="8">
        <v>2</v>
      </c>
      <c r="C168" s="8">
        <v>9.2000000000000011</v>
      </c>
      <c r="D168" s="8">
        <v>5</v>
      </c>
      <c r="E168" s="8">
        <v>58.9</v>
      </c>
      <c r="F168" s="42">
        <f t="shared" si="9"/>
        <v>4.6000000000000005</v>
      </c>
      <c r="G168" s="42">
        <f t="shared" si="10"/>
        <v>11.78</v>
      </c>
      <c r="H168" s="42">
        <f t="shared" si="11"/>
        <v>7.1799999999999988</v>
      </c>
    </row>
    <row r="169" spans="1:8" hidden="1" x14ac:dyDescent="0.2">
      <c r="A169" s="7" t="s">
        <v>150</v>
      </c>
      <c r="B169" s="8">
        <v>12</v>
      </c>
      <c r="C169" s="8">
        <v>201.19999999999996</v>
      </c>
      <c r="D169" s="8">
        <v>12</v>
      </c>
      <c r="E169" s="8">
        <v>245.82</v>
      </c>
      <c r="F169" s="42">
        <f t="shared" si="9"/>
        <v>16.766666666666662</v>
      </c>
      <c r="G169" s="42">
        <f t="shared" si="10"/>
        <v>20.484999999999999</v>
      </c>
      <c r="H169" s="42">
        <f t="shared" si="11"/>
        <v>3.7183333333333373</v>
      </c>
    </row>
    <row r="170" spans="1:8" hidden="1" x14ac:dyDescent="0.2">
      <c r="A170" s="7" t="s">
        <v>349</v>
      </c>
      <c r="B170" s="8">
        <v>2</v>
      </c>
      <c r="C170" s="8">
        <v>9</v>
      </c>
      <c r="D170" s="8">
        <v>1</v>
      </c>
      <c r="E170" s="8">
        <v>11</v>
      </c>
      <c r="F170" s="42">
        <f t="shared" si="9"/>
        <v>4.5</v>
      </c>
      <c r="G170" s="42">
        <f t="shared" si="10"/>
        <v>11</v>
      </c>
      <c r="H170" s="42">
        <f t="shared" si="11"/>
        <v>6.5</v>
      </c>
    </row>
    <row r="171" spans="1:8" hidden="1" x14ac:dyDescent="0.2">
      <c r="A171" s="7" t="s">
        <v>185</v>
      </c>
      <c r="B171" s="8">
        <v>7</v>
      </c>
      <c r="C171" s="8">
        <v>82.78</v>
      </c>
      <c r="D171" s="8">
        <v>7</v>
      </c>
      <c r="E171" s="8">
        <v>139.16</v>
      </c>
      <c r="F171" s="42">
        <f t="shared" si="9"/>
        <v>11.825714285714286</v>
      </c>
      <c r="G171" s="42">
        <f t="shared" si="10"/>
        <v>19.88</v>
      </c>
      <c r="H171" s="42">
        <f t="shared" si="11"/>
        <v>8.0542857142857134</v>
      </c>
    </row>
    <row r="172" spans="1:8" hidden="1" x14ac:dyDescent="0.2">
      <c r="A172" s="7" t="s">
        <v>370</v>
      </c>
      <c r="B172" s="8">
        <v>1</v>
      </c>
      <c r="C172" s="8">
        <v>5.6</v>
      </c>
      <c r="D172" s="8">
        <v>4</v>
      </c>
      <c r="E172" s="8">
        <v>48</v>
      </c>
      <c r="F172" s="42">
        <f t="shared" si="9"/>
        <v>5.6</v>
      </c>
      <c r="G172" s="42">
        <f t="shared" si="10"/>
        <v>12</v>
      </c>
      <c r="H172" s="42">
        <f t="shared" si="11"/>
        <v>6.4</v>
      </c>
    </row>
    <row r="173" spans="1:8" hidden="1" x14ac:dyDescent="0.2">
      <c r="A173" s="7" t="s">
        <v>174</v>
      </c>
      <c r="B173" s="8">
        <v>14</v>
      </c>
      <c r="C173" s="8">
        <v>234.3</v>
      </c>
      <c r="D173" s="8">
        <v>15</v>
      </c>
      <c r="E173" s="8">
        <v>288.10000000000008</v>
      </c>
      <c r="F173" s="42">
        <f t="shared" si="9"/>
        <v>16.735714285714288</v>
      </c>
      <c r="G173" s="42">
        <f t="shared" si="10"/>
        <v>19.206666666666671</v>
      </c>
      <c r="H173" s="42">
        <f t="shared" si="11"/>
        <v>2.470952380952383</v>
      </c>
    </row>
    <row r="174" spans="1:8" hidden="1" x14ac:dyDescent="0.2">
      <c r="A174" s="7" t="s">
        <v>405</v>
      </c>
      <c r="B174" s="8">
        <v>2</v>
      </c>
      <c r="C174" s="8">
        <v>-1</v>
      </c>
      <c r="D174" s="8">
        <v>5</v>
      </c>
      <c r="E174" s="8">
        <v>28</v>
      </c>
      <c r="F174" s="42">
        <f t="shared" si="9"/>
        <v>-0.5</v>
      </c>
      <c r="G174" s="42">
        <f t="shared" si="10"/>
        <v>5.6</v>
      </c>
      <c r="H174" s="42">
        <f t="shared" si="11"/>
        <v>6.1</v>
      </c>
    </row>
    <row r="175" spans="1:8" hidden="1" x14ac:dyDescent="0.2">
      <c r="A175" s="7" t="s">
        <v>203</v>
      </c>
      <c r="B175" s="8">
        <v>3</v>
      </c>
      <c r="C175" s="8">
        <v>36.68</v>
      </c>
      <c r="D175" s="8">
        <v>6</v>
      </c>
      <c r="E175" s="8">
        <v>107.9</v>
      </c>
      <c r="F175" s="42">
        <f t="shared" si="9"/>
        <v>12.226666666666667</v>
      </c>
      <c r="G175" s="42">
        <f t="shared" si="10"/>
        <v>17.983333333333334</v>
      </c>
      <c r="H175" s="42">
        <f t="shared" si="11"/>
        <v>5.7566666666666677</v>
      </c>
    </row>
    <row r="176" spans="1:8" hidden="1" x14ac:dyDescent="0.2">
      <c r="A176" s="7" t="s">
        <v>368</v>
      </c>
      <c r="B176" s="8">
        <v>4</v>
      </c>
      <c r="C176" s="8">
        <v>70.66</v>
      </c>
      <c r="D176" s="8">
        <v>2</v>
      </c>
      <c r="E176" s="8">
        <v>46.8</v>
      </c>
      <c r="F176" s="42">
        <f t="shared" si="9"/>
        <v>17.664999999999999</v>
      </c>
      <c r="G176" s="42">
        <f t="shared" si="10"/>
        <v>23.4</v>
      </c>
      <c r="H176" s="42">
        <f t="shared" si="11"/>
        <v>5.7349999999999994</v>
      </c>
    </row>
    <row r="177" spans="1:8" hidden="1" x14ac:dyDescent="0.2">
      <c r="A177" s="7" t="s">
        <v>168</v>
      </c>
      <c r="B177" s="8">
        <v>14</v>
      </c>
      <c r="C177" s="8">
        <v>310.58000000000004</v>
      </c>
      <c r="D177" s="8">
        <v>14</v>
      </c>
      <c r="E177" s="8">
        <v>267.26</v>
      </c>
      <c r="F177" s="42">
        <f t="shared" si="9"/>
        <v>22.184285714285718</v>
      </c>
      <c r="G177" s="42">
        <f t="shared" si="10"/>
        <v>19.09</v>
      </c>
      <c r="H177" s="42">
        <f t="shared" si="11"/>
        <v>-3.0942857142857179</v>
      </c>
    </row>
    <row r="178" spans="1:8" hidden="1" x14ac:dyDescent="0.2">
      <c r="A178" s="7" t="s">
        <v>141</v>
      </c>
      <c r="B178" s="8">
        <v>5</v>
      </c>
      <c r="C178" s="8">
        <v>74.2</v>
      </c>
      <c r="D178" s="8">
        <v>12</v>
      </c>
      <c r="E178" s="8">
        <v>228.32</v>
      </c>
      <c r="F178" s="42">
        <f t="shared" si="9"/>
        <v>14.84</v>
      </c>
      <c r="G178" s="42">
        <f t="shared" si="10"/>
        <v>19.026666666666667</v>
      </c>
      <c r="H178" s="42">
        <f t="shared" si="11"/>
        <v>4.1866666666666674</v>
      </c>
    </row>
    <row r="179" spans="1:8" hidden="1" x14ac:dyDescent="0.2">
      <c r="A179" s="7" t="s">
        <v>148</v>
      </c>
      <c r="B179" s="8">
        <v>14</v>
      </c>
      <c r="C179" s="8">
        <v>210</v>
      </c>
      <c r="D179" s="8">
        <v>13</v>
      </c>
      <c r="E179" s="8">
        <v>244.4</v>
      </c>
      <c r="F179" s="42">
        <f t="shared" si="9"/>
        <v>15</v>
      </c>
      <c r="G179" s="42">
        <f t="shared" si="10"/>
        <v>18.8</v>
      </c>
      <c r="H179" s="42">
        <f t="shared" si="11"/>
        <v>3.8000000000000007</v>
      </c>
    </row>
    <row r="180" spans="1:8" hidden="1" x14ac:dyDescent="0.2">
      <c r="A180" s="7" t="s">
        <v>248</v>
      </c>
      <c r="B180" s="8">
        <v>12</v>
      </c>
      <c r="C180" s="8">
        <v>138.60000000000002</v>
      </c>
      <c r="D180" s="8">
        <v>14</v>
      </c>
      <c r="E180" s="8">
        <v>262.5</v>
      </c>
      <c r="F180" s="42">
        <f t="shared" si="9"/>
        <v>11.550000000000002</v>
      </c>
      <c r="G180" s="42">
        <f t="shared" si="10"/>
        <v>18.75</v>
      </c>
      <c r="H180" s="42">
        <f t="shared" si="11"/>
        <v>7.1999999999999975</v>
      </c>
    </row>
    <row r="181" spans="1:8" hidden="1" x14ac:dyDescent="0.2">
      <c r="A181" s="7" t="s">
        <v>179</v>
      </c>
      <c r="B181" s="8">
        <v>10</v>
      </c>
      <c r="C181" s="8">
        <v>152.5</v>
      </c>
      <c r="D181" s="8">
        <v>12</v>
      </c>
      <c r="E181" s="8">
        <v>212.39999999999998</v>
      </c>
      <c r="F181" s="42">
        <f t="shared" si="9"/>
        <v>15.25</v>
      </c>
      <c r="G181" s="42">
        <f t="shared" si="10"/>
        <v>17.7</v>
      </c>
      <c r="H181" s="42">
        <f t="shared" si="11"/>
        <v>2.4499999999999993</v>
      </c>
    </row>
    <row r="182" spans="1:8" hidden="1" x14ac:dyDescent="0.2">
      <c r="A182" s="7" t="s">
        <v>208</v>
      </c>
      <c r="B182" s="8">
        <v>15</v>
      </c>
      <c r="C182" s="8">
        <v>241.9</v>
      </c>
      <c r="D182" s="8">
        <v>14</v>
      </c>
      <c r="E182" s="8">
        <v>245.9</v>
      </c>
      <c r="F182" s="42">
        <f t="shared" si="9"/>
        <v>16.126666666666669</v>
      </c>
      <c r="G182" s="42">
        <f t="shared" si="10"/>
        <v>17.564285714285713</v>
      </c>
      <c r="H182" s="42">
        <f t="shared" si="11"/>
        <v>1.4376190476190445</v>
      </c>
    </row>
    <row r="183" spans="1:8" hidden="1" x14ac:dyDescent="0.2">
      <c r="A183" s="7" t="s">
        <v>315</v>
      </c>
      <c r="B183" s="8">
        <v>7</v>
      </c>
      <c r="C183" s="8">
        <v>48.6</v>
      </c>
      <c r="D183" s="8">
        <v>4</v>
      </c>
      <c r="E183" s="8">
        <v>47.2</v>
      </c>
      <c r="F183" s="42">
        <f t="shared" si="9"/>
        <v>6.9428571428571431</v>
      </c>
      <c r="G183" s="42">
        <f t="shared" si="10"/>
        <v>11.8</v>
      </c>
      <c r="H183" s="42">
        <f t="shared" si="11"/>
        <v>4.8571428571428577</v>
      </c>
    </row>
    <row r="184" spans="1:8" hidden="1" x14ac:dyDescent="0.2">
      <c r="A184" s="7" t="s">
        <v>230</v>
      </c>
      <c r="B184" s="8">
        <v>12</v>
      </c>
      <c r="C184" s="8">
        <v>267.38</v>
      </c>
      <c r="D184" s="8">
        <v>5</v>
      </c>
      <c r="E184" s="8">
        <v>87.419999999999987</v>
      </c>
      <c r="F184" s="42">
        <f t="shared" si="9"/>
        <v>22.281666666666666</v>
      </c>
      <c r="G184" s="42">
        <f t="shared" si="10"/>
        <v>17.483999999999998</v>
      </c>
      <c r="H184" s="42">
        <f t="shared" si="11"/>
        <v>-4.7976666666666681</v>
      </c>
    </row>
    <row r="185" spans="1:8" hidden="1" x14ac:dyDescent="0.2">
      <c r="A185" s="7" t="s">
        <v>233</v>
      </c>
      <c r="B185" s="8">
        <v>1</v>
      </c>
      <c r="C185" s="8">
        <v>4.0999999999999996</v>
      </c>
      <c r="D185" s="8">
        <v>1</v>
      </c>
      <c r="E185" s="8">
        <v>8.6</v>
      </c>
      <c r="F185" s="42">
        <f t="shared" si="9"/>
        <v>4.0999999999999996</v>
      </c>
      <c r="G185" s="42">
        <f t="shared" si="10"/>
        <v>8.6</v>
      </c>
      <c r="H185" s="42">
        <f t="shared" si="11"/>
        <v>4.5</v>
      </c>
    </row>
    <row r="186" spans="1:8" hidden="1" x14ac:dyDescent="0.2">
      <c r="A186" s="7" t="s">
        <v>202</v>
      </c>
      <c r="B186" s="8">
        <v>16</v>
      </c>
      <c r="C186" s="8">
        <v>407.40000000000003</v>
      </c>
      <c r="D186" s="8">
        <v>9</v>
      </c>
      <c r="E186" s="8">
        <v>154.04</v>
      </c>
      <c r="F186" s="42">
        <f t="shared" si="9"/>
        <v>25.462500000000002</v>
      </c>
      <c r="G186" s="42">
        <f t="shared" si="10"/>
        <v>17.115555555555556</v>
      </c>
      <c r="H186" s="42">
        <f t="shared" si="11"/>
        <v>-8.3469444444444463</v>
      </c>
    </row>
    <row r="187" spans="1:8" hidden="1" x14ac:dyDescent="0.2">
      <c r="A187" s="7" t="s">
        <v>160</v>
      </c>
      <c r="B187" s="8">
        <v>12</v>
      </c>
      <c r="C187" s="8">
        <v>127.90000000000002</v>
      </c>
      <c r="D187" s="8">
        <v>14</v>
      </c>
      <c r="E187" s="8">
        <v>229.4</v>
      </c>
      <c r="F187" s="42">
        <f t="shared" si="9"/>
        <v>10.658333333333335</v>
      </c>
      <c r="G187" s="42">
        <f t="shared" si="10"/>
        <v>16.385714285714286</v>
      </c>
      <c r="H187" s="42">
        <f t="shared" si="11"/>
        <v>5.7273809523809511</v>
      </c>
    </row>
    <row r="188" spans="1:8" hidden="1" x14ac:dyDescent="0.2">
      <c r="A188" s="7" t="s">
        <v>318</v>
      </c>
      <c r="B188" s="8">
        <v>10</v>
      </c>
      <c r="C188" s="8">
        <v>112.39999999999999</v>
      </c>
      <c r="D188" s="8">
        <v>10</v>
      </c>
      <c r="E188" s="8">
        <v>162.80000000000001</v>
      </c>
      <c r="F188" s="42">
        <f t="shared" ref="F188:F219" si="12">C188/B188</f>
        <v>11.239999999999998</v>
      </c>
      <c r="G188" s="42">
        <f t="shared" ref="G188:G219" si="13">E188/D188</f>
        <v>16.28</v>
      </c>
      <c r="H188" s="42">
        <f t="shared" ref="H188:H219" si="14">G188-F188</f>
        <v>5.0400000000000027</v>
      </c>
    </row>
    <row r="189" spans="1:8" hidden="1" x14ac:dyDescent="0.2">
      <c r="A189" s="7" t="s">
        <v>180</v>
      </c>
      <c r="B189" s="8">
        <v>16</v>
      </c>
      <c r="C189" s="8">
        <v>263.99999999999994</v>
      </c>
      <c r="D189" s="8">
        <v>12</v>
      </c>
      <c r="E189" s="8">
        <v>192.29999999999998</v>
      </c>
      <c r="F189" s="42">
        <f t="shared" si="12"/>
        <v>16.499999999999996</v>
      </c>
      <c r="G189" s="42">
        <f t="shared" si="13"/>
        <v>16.024999999999999</v>
      </c>
      <c r="H189" s="42">
        <f t="shared" si="14"/>
        <v>-0.47499999999999787</v>
      </c>
    </row>
    <row r="190" spans="1:8" hidden="1" x14ac:dyDescent="0.2">
      <c r="A190" s="7" t="s">
        <v>188</v>
      </c>
      <c r="B190" s="8">
        <v>14</v>
      </c>
      <c r="C190" s="8">
        <v>172.6</v>
      </c>
      <c r="D190" s="8">
        <v>10</v>
      </c>
      <c r="E190" s="8">
        <v>151.19999999999999</v>
      </c>
      <c r="F190" s="42">
        <f t="shared" si="12"/>
        <v>12.328571428571427</v>
      </c>
      <c r="G190" s="42">
        <f t="shared" si="13"/>
        <v>15.12</v>
      </c>
      <c r="H190" s="42">
        <f t="shared" si="14"/>
        <v>2.7914285714285718</v>
      </c>
    </row>
    <row r="191" spans="1:8" hidden="1" x14ac:dyDescent="0.2">
      <c r="A191" s="7" t="s">
        <v>390</v>
      </c>
      <c r="B191" s="8">
        <v>2</v>
      </c>
      <c r="C191" s="8">
        <v>5.9</v>
      </c>
      <c r="D191" s="8">
        <v>6</v>
      </c>
      <c r="E191" s="8">
        <v>37.9</v>
      </c>
      <c r="F191" s="42">
        <f t="shared" si="12"/>
        <v>2.95</v>
      </c>
      <c r="G191" s="42">
        <f t="shared" si="13"/>
        <v>6.3166666666666664</v>
      </c>
      <c r="H191" s="42">
        <f t="shared" si="14"/>
        <v>3.3666666666666663</v>
      </c>
    </row>
    <row r="192" spans="1:8" hidden="1" x14ac:dyDescent="0.2">
      <c r="A192" s="7" t="s">
        <v>241</v>
      </c>
      <c r="B192" s="8">
        <v>10</v>
      </c>
      <c r="C192" s="8">
        <v>195.17999999999998</v>
      </c>
      <c r="D192" s="8">
        <v>10</v>
      </c>
      <c r="E192" s="8">
        <v>150.78000000000003</v>
      </c>
      <c r="F192" s="42">
        <f t="shared" si="12"/>
        <v>19.517999999999997</v>
      </c>
      <c r="G192" s="42">
        <f t="shared" si="13"/>
        <v>15.078000000000003</v>
      </c>
      <c r="H192" s="42">
        <f t="shared" si="14"/>
        <v>-4.4399999999999942</v>
      </c>
    </row>
    <row r="193" spans="1:8" hidden="1" x14ac:dyDescent="0.2">
      <c r="A193" s="7" t="s">
        <v>334</v>
      </c>
      <c r="B193" s="8">
        <v>1</v>
      </c>
      <c r="C193" s="8">
        <v>11.8</v>
      </c>
      <c r="D193" s="8">
        <v>9</v>
      </c>
      <c r="E193" s="8">
        <v>135.82000000000002</v>
      </c>
      <c r="F193" s="42">
        <f t="shared" si="12"/>
        <v>11.8</v>
      </c>
      <c r="G193" s="42">
        <f t="shared" si="13"/>
        <v>15.091111111111113</v>
      </c>
      <c r="H193" s="42">
        <f t="shared" si="14"/>
        <v>3.2911111111111122</v>
      </c>
    </row>
    <row r="194" spans="1:8" hidden="1" x14ac:dyDescent="0.2">
      <c r="A194" s="7" t="s">
        <v>147</v>
      </c>
      <c r="B194" s="8">
        <v>4</v>
      </c>
      <c r="C194" s="8">
        <v>52.900000000000006</v>
      </c>
      <c r="D194" s="8">
        <v>7</v>
      </c>
      <c r="E194" s="8">
        <v>115.00000000000003</v>
      </c>
      <c r="F194" s="42">
        <f t="shared" si="12"/>
        <v>13.225000000000001</v>
      </c>
      <c r="G194" s="42">
        <f t="shared" si="13"/>
        <v>16.428571428571434</v>
      </c>
      <c r="H194" s="42">
        <f t="shared" si="14"/>
        <v>3.2035714285714327</v>
      </c>
    </row>
    <row r="195" spans="1:8" hidden="1" x14ac:dyDescent="0.2">
      <c r="A195" s="7" t="s">
        <v>136</v>
      </c>
      <c r="B195" s="8">
        <v>7</v>
      </c>
      <c r="C195" s="8">
        <v>41.900000000000006</v>
      </c>
      <c r="D195" s="8">
        <v>13</v>
      </c>
      <c r="E195" s="8">
        <v>193.5</v>
      </c>
      <c r="F195" s="42">
        <f t="shared" si="12"/>
        <v>5.9857142857142867</v>
      </c>
      <c r="G195" s="42">
        <f t="shared" si="13"/>
        <v>14.884615384615385</v>
      </c>
      <c r="H195" s="42">
        <f t="shared" si="14"/>
        <v>8.8989010989010993</v>
      </c>
    </row>
    <row r="196" spans="1:8" hidden="1" x14ac:dyDescent="0.2">
      <c r="A196" s="7" t="s">
        <v>187</v>
      </c>
      <c r="B196" s="8">
        <v>14</v>
      </c>
      <c r="C196" s="8">
        <v>215.98000000000002</v>
      </c>
      <c r="D196" s="8">
        <v>13</v>
      </c>
      <c r="E196" s="8">
        <v>193</v>
      </c>
      <c r="F196" s="42">
        <f t="shared" si="12"/>
        <v>15.427142857142858</v>
      </c>
      <c r="G196" s="42">
        <f t="shared" si="13"/>
        <v>14.846153846153847</v>
      </c>
      <c r="H196" s="42">
        <f t="shared" si="14"/>
        <v>-0.58098901098901123</v>
      </c>
    </row>
    <row r="197" spans="1:8" hidden="1" x14ac:dyDescent="0.2">
      <c r="A197" s="7" t="s">
        <v>331</v>
      </c>
      <c r="B197" s="8">
        <v>5</v>
      </c>
      <c r="C197" s="8">
        <v>32.299999999999997</v>
      </c>
      <c r="D197" s="8">
        <v>2</v>
      </c>
      <c r="E197" s="8">
        <v>18.7</v>
      </c>
      <c r="F197" s="42">
        <f t="shared" si="12"/>
        <v>6.4599999999999991</v>
      </c>
      <c r="G197" s="42">
        <f t="shared" si="13"/>
        <v>9.35</v>
      </c>
      <c r="H197" s="42">
        <f t="shared" si="14"/>
        <v>2.8900000000000006</v>
      </c>
    </row>
    <row r="198" spans="1:8" hidden="1" x14ac:dyDescent="0.2">
      <c r="A198" s="7" t="s">
        <v>231</v>
      </c>
      <c r="B198" s="8">
        <v>14</v>
      </c>
      <c r="C198" s="8">
        <v>284.8</v>
      </c>
      <c r="D198" s="8">
        <v>12</v>
      </c>
      <c r="E198" s="8">
        <v>176.39999999999998</v>
      </c>
      <c r="F198" s="42">
        <f t="shared" si="12"/>
        <v>20.342857142857145</v>
      </c>
      <c r="G198" s="42">
        <f t="shared" si="13"/>
        <v>14.699999999999998</v>
      </c>
      <c r="H198" s="42">
        <f t="shared" si="14"/>
        <v>-5.6428571428571477</v>
      </c>
    </row>
    <row r="199" spans="1:8" hidden="1" x14ac:dyDescent="0.2">
      <c r="A199" s="7" t="s">
        <v>154</v>
      </c>
      <c r="B199" s="8">
        <v>16</v>
      </c>
      <c r="C199" s="8">
        <v>297.79999999999995</v>
      </c>
      <c r="D199" s="8">
        <v>14</v>
      </c>
      <c r="E199" s="8">
        <v>203.8</v>
      </c>
      <c r="F199" s="42">
        <f t="shared" si="12"/>
        <v>18.612499999999997</v>
      </c>
      <c r="G199" s="42">
        <f t="shared" si="13"/>
        <v>14.557142857142859</v>
      </c>
      <c r="H199" s="42">
        <f t="shared" si="14"/>
        <v>-4.0553571428571384</v>
      </c>
    </row>
    <row r="200" spans="1:8" hidden="1" x14ac:dyDescent="0.2">
      <c r="A200" s="7" t="s">
        <v>428</v>
      </c>
      <c r="B200" s="8">
        <v>2</v>
      </c>
      <c r="C200" s="8">
        <v>5.5</v>
      </c>
      <c r="D200" s="8">
        <v>1</v>
      </c>
      <c r="E200" s="8">
        <v>5.4</v>
      </c>
      <c r="F200" s="42">
        <f t="shared" si="12"/>
        <v>2.75</v>
      </c>
      <c r="G200" s="42">
        <f t="shared" si="13"/>
        <v>5.4</v>
      </c>
      <c r="H200" s="42">
        <f t="shared" si="14"/>
        <v>2.6500000000000004</v>
      </c>
    </row>
    <row r="201" spans="1:8" hidden="1" x14ac:dyDescent="0.2">
      <c r="A201" s="7" t="s">
        <v>385</v>
      </c>
      <c r="B201" s="8">
        <v>4</v>
      </c>
      <c r="C201" s="8">
        <v>16</v>
      </c>
      <c r="D201" s="8">
        <v>4</v>
      </c>
      <c r="E201" s="8">
        <v>26</v>
      </c>
      <c r="F201" s="42">
        <f t="shared" si="12"/>
        <v>4</v>
      </c>
      <c r="G201" s="42">
        <f t="shared" si="13"/>
        <v>6.5</v>
      </c>
      <c r="H201" s="42">
        <f t="shared" si="14"/>
        <v>2.5</v>
      </c>
    </row>
    <row r="202" spans="1:8" hidden="1" x14ac:dyDescent="0.2">
      <c r="A202" s="7" t="s">
        <v>255</v>
      </c>
      <c r="B202" s="8">
        <v>12</v>
      </c>
      <c r="C202" s="8">
        <v>147.20000000000005</v>
      </c>
      <c r="D202" s="8">
        <v>7</v>
      </c>
      <c r="E202" s="8">
        <v>100.29999999999998</v>
      </c>
      <c r="F202" s="42">
        <f t="shared" si="12"/>
        <v>12.266666666666671</v>
      </c>
      <c r="G202" s="42">
        <f t="shared" si="13"/>
        <v>14.328571428571426</v>
      </c>
      <c r="H202" s="42">
        <f t="shared" si="14"/>
        <v>2.0619047619047546</v>
      </c>
    </row>
    <row r="203" spans="1:8" hidden="1" x14ac:dyDescent="0.2">
      <c r="A203" s="7" t="s">
        <v>256</v>
      </c>
      <c r="B203" s="8">
        <v>14</v>
      </c>
      <c r="C203" s="8">
        <v>220.99999999999994</v>
      </c>
      <c r="D203" s="8">
        <v>14</v>
      </c>
      <c r="E203" s="8">
        <v>199.89999999999998</v>
      </c>
      <c r="F203" s="42">
        <f t="shared" si="12"/>
        <v>15.785714285714281</v>
      </c>
      <c r="G203" s="42">
        <f t="shared" si="13"/>
        <v>14.278571428571427</v>
      </c>
      <c r="H203" s="42">
        <f t="shared" si="14"/>
        <v>-1.5071428571428545</v>
      </c>
    </row>
    <row r="204" spans="1:8" hidden="1" x14ac:dyDescent="0.2">
      <c r="A204" s="7" t="s">
        <v>155</v>
      </c>
      <c r="B204" s="8">
        <v>6</v>
      </c>
      <c r="C204" s="8">
        <v>20.400000000000002</v>
      </c>
      <c r="D204" s="8">
        <v>2</v>
      </c>
      <c r="E204" s="8">
        <v>11.600000000000001</v>
      </c>
      <c r="F204" s="42">
        <f t="shared" si="12"/>
        <v>3.4000000000000004</v>
      </c>
      <c r="G204" s="42">
        <f t="shared" si="13"/>
        <v>5.8000000000000007</v>
      </c>
      <c r="H204" s="42">
        <f t="shared" si="14"/>
        <v>2.4000000000000004</v>
      </c>
    </row>
    <row r="205" spans="1:8" hidden="1" x14ac:dyDescent="0.2">
      <c r="A205" s="7" t="s">
        <v>216</v>
      </c>
      <c r="B205" s="8">
        <v>14</v>
      </c>
      <c r="C205" s="8">
        <v>293.89999999999998</v>
      </c>
      <c r="D205" s="8">
        <v>15</v>
      </c>
      <c r="E205" s="8">
        <v>206.99999999999997</v>
      </c>
      <c r="F205" s="42">
        <f t="shared" si="12"/>
        <v>20.99285714285714</v>
      </c>
      <c r="G205" s="42">
        <f t="shared" si="13"/>
        <v>13.799999999999999</v>
      </c>
      <c r="H205" s="42">
        <f t="shared" si="14"/>
        <v>-7.1928571428571413</v>
      </c>
    </row>
    <row r="206" spans="1:8" hidden="1" x14ac:dyDescent="0.2">
      <c r="A206" s="7" t="s">
        <v>137</v>
      </c>
      <c r="B206" s="8">
        <v>12</v>
      </c>
      <c r="C206" s="8">
        <v>131.19999999999999</v>
      </c>
      <c r="D206" s="8">
        <v>14</v>
      </c>
      <c r="E206" s="8">
        <v>192.9</v>
      </c>
      <c r="F206" s="42">
        <f t="shared" si="12"/>
        <v>10.933333333333332</v>
      </c>
      <c r="G206" s="42">
        <f t="shared" si="13"/>
        <v>13.778571428571428</v>
      </c>
      <c r="H206" s="42">
        <f t="shared" si="14"/>
        <v>2.8452380952380967</v>
      </c>
    </row>
    <row r="207" spans="1:8" hidden="1" x14ac:dyDescent="0.2">
      <c r="A207" s="7" t="s">
        <v>151</v>
      </c>
      <c r="B207" s="8">
        <v>12</v>
      </c>
      <c r="C207" s="8">
        <v>165.89999999999998</v>
      </c>
      <c r="D207" s="8">
        <v>14</v>
      </c>
      <c r="E207" s="8">
        <v>192.9</v>
      </c>
      <c r="F207" s="42">
        <f t="shared" si="12"/>
        <v>13.824999999999998</v>
      </c>
      <c r="G207" s="42">
        <f t="shared" si="13"/>
        <v>13.778571428571428</v>
      </c>
      <c r="H207" s="42">
        <f t="shared" si="14"/>
        <v>-4.6428571428569043E-2</v>
      </c>
    </row>
    <row r="208" spans="1:8" hidden="1" x14ac:dyDescent="0.2">
      <c r="A208" s="7" t="s">
        <v>325</v>
      </c>
      <c r="B208" s="8">
        <v>9</v>
      </c>
      <c r="C208" s="8">
        <v>153.22000000000003</v>
      </c>
      <c r="D208" s="8">
        <v>6</v>
      </c>
      <c r="E208" s="8">
        <v>82.66</v>
      </c>
      <c r="F208" s="42">
        <f t="shared" si="12"/>
        <v>17.024444444444448</v>
      </c>
      <c r="G208" s="42">
        <f t="shared" si="13"/>
        <v>13.776666666666666</v>
      </c>
      <c r="H208" s="42">
        <f t="shared" si="14"/>
        <v>-3.2477777777777828</v>
      </c>
    </row>
    <row r="209" spans="1:8" hidden="1" x14ac:dyDescent="0.2">
      <c r="A209" s="7" t="s">
        <v>237</v>
      </c>
      <c r="B209" s="8">
        <v>9</v>
      </c>
      <c r="C209" s="8">
        <v>63</v>
      </c>
      <c r="D209" s="8">
        <v>2</v>
      </c>
      <c r="E209" s="8">
        <v>18</v>
      </c>
      <c r="F209" s="42">
        <f t="shared" si="12"/>
        <v>7</v>
      </c>
      <c r="G209" s="42">
        <f t="shared" si="13"/>
        <v>9</v>
      </c>
      <c r="H209" s="42">
        <f t="shared" si="14"/>
        <v>2</v>
      </c>
    </row>
    <row r="210" spans="1:8" hidden="1" x14ac:dyDescent="0.2">
      <c r="A210" s="7" t="s">
        <v>278</v>
      </c>
      <c r="B210" s="8">
        <v>9</v>
      </c>
      <c r="C210" s="8">
        <v>103.5</v>
      </c>
      <c r="D210" s="8">
        <v>13</v>
      </c>
      <c r="E210" s="8">
        <v>177.39999999999998</v>
      </c>
      <c r="F210" s="42">
        <f t="shared" si="12"/>
        <v>11.5</v>
      </c>
      <c r="G210" s="42">
        <f t="shared" si="13"/>
        <v>13.646153846153844</v>
      </c>
      <c r="H210" s="42">
        <f t="shared" si="14"/>
        <v>2.1461538461538439</v>
      </c>
    </row>
    <row r="211" spans="1:8" hidden="1" x14ac:dyDescent="0.2">
      <c r="A211" s="7" t="s">
        <v>189</v>
      </c>
      <c r="B211" s="8">
        <v>8</v>
      </c>
      <c r="C211" s="8">
        <v>61.4</v>
      </c>
      <c r="D211" s="8">
        <v>12</v>
      </c>
      <c r="E211" s="8">
        <v>159.69999999999999</v>
      </c>
      <c r="F211" s="42">
        <f t="shared" si="12"/>
        <v>7.6749999999999998</v>
      </c>
      <c r="G211" s="42">
        <f t="shared" si="13"/>
        <v>13.308333333333332</v>
      </c>
      <c r="H211" s="42">
        <f t="shared" si="14"/>
        <v>5.633333333333332</v>
      </c>
    </row>
    <row r="212" spans="1:8" hidden="1" x14ac:dyDescent="0.2">
      <c r="A212" s="7" t="s">
        <v>351</v>
      </c>
      <c r="B212" s="8">
        <v>1</v>
      </c>
      <c r="C212" s="8">
        <v>6.2</v>
      </c>
      <c r="D212" s="8">
        <v>6</v>
      </c>
      <c r="E212" s="8">
        <v>46.900000000000006</v>
      </c>
      <c r="F212" s="42">
        <f t="shared" si="12"/>
        <v>6.2</v>
      </c>
      <c r="G212" s="42">
        <f t="shared" si="13"/>
        <v>7.8166666666666673</v>
      </c>
      <c r="H212" s="42">
        <f t="shared" si="14"/>
        <v>1.6166666666666671</v>
      </c>
    </row>
    <row r="213" spans="1:8" hidden="1" x14ac:dyDescent="0.2">
      <c r="A213" s="7" t="s">
        <v>276</v>
      </c>
      <c r="B213" s="8">
        <v>8</v>
      </c>
      <c r="C213" s="8">
        <v>133.30000000000001</v>
      </c>
      <c r="D213" s="8">
        <v>11</v>
      </c>
      <c r="E213" s="8">
        <v>144.1</v>
      </c>
      <c r="F213" s="42">
        <f t="shared" si="12"/>
        <v>16.662500000000001</v>
      </c>
      <c r="G213" s="42">
        <f t="shared" si="13"/>
        <v>13.1</v>
      </c>
      <c r="H213" s="42">
        <f t="shared" si="14"/>
        <v>-3.5625000000000018</v>
      </c>
    </row>
    <row r="214" spans="1:8" hidden="1" x14ac:dyDescent="0.2">
      <c r="A214" s="7" t="s">
        <v>289</v>
      </c>
      <c r="B214" s="8">
        <v>7</v>
      </c>
      <c r="C214" s="8">
        <v>39</v>
      </c>
      <c r="D214" s="8">
        <v>3</v>
      </c>
      <c r="E214" s="8">
        <v>21</v>
      </c>
      <c r="F214" s="42">
        <f t="shared" si="12"/>
        <v>5.5714285714285712</v>
      </c>
      <c r="G214" s="42">
        <f t="shared" si="13"/>
        <v>7</v>
      </c>
      <c r="H214" s="42">
        <f t="shared" si="14"/>
        <v>1.4285714285714288</v>
      </c>
    </row>
    <row r="215" spans="1:8" hidden="1" x14ac:dyDescent="0.2">
      <c r="A215" s="7" t="s">
        <v>192</v>
      </c>
      <c r="B215" s="8">
        <v>13</v>
      </c>
      <c r="C215" s="8">
        <v>101</v>
      </c>
      <c r="D215" s="8">
        <v>7</v>
      </c>
      <c r="E215" s="8">
        <v>91</v>
      </c>
      <c r="F215" s="42">
        <f t="shared" si="12"/>
        <v>7.7692307692307692</v>
      </c>
      <c r="G215" s="42">
        <f t="shared" si="13"/>
        <v>13</v>
      </c>
      <c r="H215" s="42">
        <f t="shared" si="14"/>
        <v>5.2307692307692308</v>
      </c>
    </row>
    <row r="216" spans="1:8" hidden="1" x14ac:dyDescent="0.2">
      <c r="A216" s="7" t="s">
        <v>173</v>
      </c>
      <c r="B216" s="8">
        <v>3</v>
      </c>
      <c r="C216" s="8">
        <v>13.4</v>
      </c>
      <c r="D216" s="8">
        <v>2</v>
      </c>
      <c r="E216" s="8">
        <v>11.600000000000001</v>
      </c>
      <c r="F216" s="42">
        <f t="shared" si="12"/>
        <v>4.4666666666666668</v>
      </c>
      <c r="G216" s="42">
        <f t="shared" si="13"/>
        <v>5.8000000000000007</v>
      </c>
      <c r="H216" s="42">
        <f t="shared" si="14"/>
        <v>1.3333333333333339</v>
      </c>
    </row>
    <row r="217" spans="1:8" hidden="1" x14ac:dyDescent="0.2">
      <c r="A217" s="7" t="s">
        <v>239</v>
      </c>
      <c r="B217" s="8">
        <v>2</v>
      </c>
      <c r="C217" s="8">
        <v>14</v>
      </c>
      <c r="D217" s="8">
        <v>3</v>
      </c>
      <c r="E217" s="8">
        <v>25</v>
      </c>
      <c r="F217" s="42">
        <f t="shared" si="12"/>
        <v>7</v>
      </c>
      <c r="G217" s="42">
        <f t="shared" si="13"/>
        <v>8.3333333333333339</v>
      </c>
      <c r="H217" s="42">
        <f t="shared" si="14"/>
        <v>1.3333333333333339</v>
      </c>
    </row>
    <row r="218" spans="1:8" hidden="1" x14ac:dyDescent="0.2">
      <c r="A218" s="7" t="s">
        <v>177</v>
      </c>
      <c r="B218" s="8">
        <v>15</v>
      </c>
      <c r="C218" s="8">
        <v>212.90000000000003</v>
      </c>
      <c r="D218" s="8">
        <v>12</v>
      </c>
      <c r="E218" s="8">
        <v>155.4</v>
      </c>
      <c r="F218" s="42">
        <f t="shared" si="12"/>
        <v>14.193333333333335</v>
      </c>
      <c r="G218" s="42">
        <f t="shared" si="13"/>
        <v>12.950000000000001</v>
      </c>
      <c r="H218" s="42">
        <f t="shared" si="14"/>
        <v>-1.2433333333333341</v>
      </c>
    </row>
    <row r="219" spans="1:8" hidden="1" x14ac:dyDescent="0.2">
      <c r="A219" s="7" t="s">
        <v>260</v>
      </c>
      <c r="B219" s="8">
        <v>2</v>
      </c>
      <c r="C219" s="8">
        <v>17</v>
      </c>
      <c r="D219" s="8">
        <v>6</v>
      </c>
      <c r="E219" s="8">
        <v>58</v>
      </c>
      <c r="F219" s="42">
        <f t="shared" si="12"/>
        <v>8.5</v>
      </c>
      <c r="G219" s="42">
        <f t="shared" si="13"/>
        <v>9.6666666666666661</v>
      </c>
      <c r="H219" s="42">
        <f t="shared" si="14"/>
        <v>1.1666666666666661</v>
      </c>
    </row>
    <row r="220" spans="1:8" hidden="1" x14ac:dyDescent="0.2">
      <c r="A220" s="7" t="s">
        <v>386</v>
      </c>
      <c r="B220" s="8">
        <v>4</v>
      </c>
      <c r="C220" s="8">
        <v>59.879999999999995</v>
      </c>
      <c r="D220" s="8">
        <v>7</v>
      </c>
      <c r="E220" s="8">
        <v>112.78</v>
      </c>
      <c r="F220" s="42">
        <f t="shared" ref="F220:F251" si="15">C220/B220</f>
        <v>14.969999999999999</v>
      </c>
      <c r="G220" s="42">
        <f t="shared" ref="G220:G251" si="16">E220/D220</f>
        <v>16.111428571428572</v>
      </c>
      <c r="H220" s="42">
        <f t="shared" ref="H220:H251" si="17">G220-F220</f>
        <v>1.1414285714285732</v>
      </c>
    </row>
    <row r="221" spans="1:8" hidden="1" x14ac:dyDescent="0.2">
      <c r="A221" s="7" t="s">
        <v>232</v>
      </c>
      <c r="B221" s="8">
        <v>10</v>
      </c>
      <c r="C221" s="8">
        <v>147.4</v>
      </c>
      <c r="D221" s="8">
        <v>12</v>
      </c>
      <c r="E221" s="8">
        <v>153.6</v>
      </c>
      <c r="F221" s="42">
        <f t="shared" si="15"/>
        <v>14.74</v>
      </c>
      <c r="G221" s="42">
        <f t="shared" si="16"/>
        <v>12.799999999999999</v>
      </c>
      <c r="H221" s="42">
        <f t="shared" si="17"/>
        <v>-1.9400000000000013</v>
      </c>
    </row>
    <row r="222" spans="1:8" hidden="1" x14ac:dyDescent="0.2">
      <c r="A222" s="7" t="s">
        <v>327</v>
      </c>
      <c r="B222" s="8">
        <v>10</v>
      </c>
      <c r="C222" s="8">
        <v>93.4</v>
      </c>
      <c r="D222" s="8">
        <v>8</v>
      </c>
      <c r="E222" s="8">
        <v>101.19999999999999</v>
      </c>
      <c r="F222" s="42">
        <f t="shared" si="15"/>
        <v>9.34</v>
      </c>
      <c r="G222" s="42">
        <f t="shared" si="16"/>
        <v>12.649999999999999</v>
      </c>
      <c r="H222" s="42">
        <f t="shared" si="17"/>
        <v>3.3099999999999987</v>
      </c>
    </row>
    <row r="223" spans="1:8" hidden="1" x14ac:dyDescent="0.2">
      <c r="A223" s="7" t="s">
        <v>357</v>
      </c>
      <c r="B223" s="8">
        <v>3</v>
      </c>
      <c r="C223" s="8">
        <v>15</v>
      </c>
      <c r="D223" s="8">
        <v>4</v>
      </c>
      <c r="E223" s="8">
        <v>24</v>
      </c>
      <c r="F223" s="42">
        <f t="shared" si="15"/>
        <v>5</v>
      </c>
      <c r="G223" s="42">
        <f t="shared" si="16"/>
        <v>6</v>
      </c>
      <c r="H223" s="42">
        <f t="shared" si="17"/>
        <v>1</v>
      </c>
    </row>
    <row r="224" spans="1:8" hidden="1" x14ac:dyDescent="0.2">
      <c r="A224" s="7" t="s">
        <v>314</v>
      </c>
      <c r="B224" s="8">
        <v>9</v>
      </c>
      <c r="C224" s="8">
        <v>150.1</v>
      </c>
      <c r="D224" s="8">
        <v>12</v>
      </c>
      <c r="E224" s="8">
        <v>151.50000000000003</v>
      </c>
      <c r="F224" s="42">
        <f t="shared" si="15"/>
        <v>16.677777777777777</v>
      </c>
      <c r="G224" s="42">
        <f t="shared" si="16"/>
        <v>12.625000000000002</v>
      </c>
      <c r="H224" s="42">
        <f t="shared" si="17"/>
        <v>-4.0527777777777754</v>
      </c>
    </row>
    <row r="225" spans="1:8" hidden="1" x14ac:dyDescent="0.2">
      <c r="A225" s="7" t="s">
        <v>299</v>
      </c>
      <c r="B225" s="8">
        <v>6</v>
      </c>
      <c r="C225" s="8">
        <v>32.6</v>
      </c>
      <c r="D225" s="8">
        <v>7</v>
      </c>
      <c r="E225" s="8">
        <v>86.09999999999998</v>
      </c>
      <c r="F225" s="42">
        <f t="shared" si="15"/>
        <v>5.4333333333333336</v>
      </c>
      <c r="G225" s="42">
        <f t="shared" si="16"/>
        <v>12.299999999999997</v>
      </c>
      <c r="H225" s="42">
        <f t="shared" si="17"/>
        <v>6.8666666666666636</v>
      </c>
    </row>
    <row r="226" spans="1:8" hidden="1" x14ac:dyDescent="0.2">
      <c r="A226" s="7" t="s">
        <v>145</v>
      </c>
      <c r="B226" s="8">
        <v>11</v>
      </c>
      <c r="C226" s="8">
        <v>152.6</v>
      </c>
      <c r="D226" s="8">
        <v>12</v>
      </c>
      <c r="E226" s="8">
        <v>146.9</v>
      </c>
      <c r="F226" s="42">
        <f t="shared" si="15"/>
        <v>13.872727272727273</v>
      </c>
      <c r="G226" s="42">
        <f t="shared" si="16"/>
        <v>12.241666666666667</v>
      </c>
      <c r="H226" s="42">
        <f t="shared" si="17"/>
        <v>-1.6310606060606059</v>
      </c>
    </row>
    <row r="227" spans="1:8" hidden="1" x14ac:dyDescent="0.2">
      <c r="A227" s="7" t="s">
        <v>343</v>
      </c>
      <c r="B227" s="8">
        <v>9</v>
      </c>
      <c r="C227" s="8">
        <v>102</v>
      </c>
      <c r="D227" s="8">
        <v>7</v>
      </c>
      <c r="E227" s="8">
        <v>85.4</v>
      </c>
      <c r="F227" s="42">
        <f t="shared" si="15"/>
        <v>11.333333333333334</v>
      </c>
      <c r="G227" s="42">
        <f t="shared" si="16"/>
        <v>12.200000000000001</v>
      </c>
      <c r="H227" s="42">
        <f t="shared" si="17"/>
        <v>0.86666666666666714</v>
      </c>
    </row>
    <row r="228" spans="1:8" hidden="1" x14ac:dyDescent="0.2">
      <c r="A228" s="7" t="s">
        <v>226</v>
      </c>
      <c r="B228" s="8">
        <v>14</v>
      </c>
      <c r="C228" s="8">
        <v>178.4</v>
      </c>
      <c r="D228" s="8">
        <v>13</v>
      </c>
      <c r="E228" s="8">
        <v>157.76000000000002</v>
      </c>
      <c r="F228" s="42">
        <f t="shared" si="15"/>
        <v>12.742857142857144</v>
      </c>
      <c r="G228" s="42">
        <f t="shared" si="16"/>
        <v>12.135384615384616</v>
      </c>
      <c r="H228" s="42">
        <f t="shared" si="17"/>
        <v>-0.60747252747252745</v>
      </c>
    </row>
    <row r="229" spans="1:8" hidden="1" x14ac:dyDescent="0.2">
      <c r="A229" s="7" t="s">
        <v>298</v>
      </c>
      <c r="B229" s="8">
        <v>4</v>
      </c>
      <c r="C229" s="8">
        <v>31.200000000000003</v>
      </c>
      <c r="D229" s="8">
        <v>11</v>
      </c>
      <c r="E229" s="8">
        <v>92.6</v>
      </c>
      <c r="F229" s="42">
        <f t="shared" si="15"/>
        <v>7.8000000000000007</v>
      </c>
      <c r="G229" s="42">
        <f t="shared" si="16"/>
        <v>8.418181818181818</v>
      </c>
      <c r="H229" s="42">
        <f t="shared" si="17"/>
        <v>0.61818181818181728</v>
      </c>
    </row>
    <row r="230" spans="1:8" hidden="1" x14ac:dyDescent="0.2">
      <c r="A230" s="7" t="s">
        <v>142</v>
      </c>
      <c r="B230" s="8">
        <v>5</v>
      </c>
      <c r="C230" s="8">
        <v>28</v>
      </c>
      <c r="D230" s="8">
        <v>13</v>
      </c>
      <c r="E230" s="8">
        <v>157</v>
      </c>
      <c r="F230" s="42">
        <f t="shared" si="15"/>
        <v>5.6</v>
      </c>
      <c r="G230" s="42">
        <f t="shared" si="16"/>
        <v>12.076923076923077</v>
      </c>
      <c r="H230" s="42">
        <f t="shared" si="17"/>
        <v>6.476923076923077</v>
      </c>
    </row>
    <row r="231" spans="1:8" hidden="1" x14ac:dyDescent="0.2">
      <c r="A231" s="7" t="s">
        <v>182</v>
      </c>
      <c r="B231" s="8">
        <v>16</v>
      </c>
      <c r="C231" s="8">
        <v>193.69999999999996</v>
      </c>
      <c r="D231" s="8">
        <v>11</v>
      </c>
      <c r="E231" s="8">
        <v>132.4</v>
      </c>
      <c r="F231" s="42">
        <f t="shared" si="15"/>
        <v>12.106249999999998</v>
      </c>
      <c r="G231" s="42">
        <f t="shared" si="16"/>
        <v>12.036363636363637</v>
      </c>
      <c r="H231" s="42">
        <f t="shared" si="17"/>
        <v>-6.9886363636360471E-2</v>
      </c>
    </row>
    <row r="232" spans="1:8" hidden="1" x14ac:dyDescent="0.2">
      <c r="A232" s="7" t="s">
        <v>306</v>
      </c>
      <c r="B232" s="8">
        <v>11</v>
      </c>
      <c r="C232" s="8">
        <v>153.20000000000002</v>
      </c>
      <c r="D232" s="8">
        <v>5</v>
      </c>
      <c r="E232" s="8">
        <v>58.999999999999993</v>
      </c>
      <c r="F232" s="42">
        <f t="shared" si="15"/>
        <v>13.927272727272729</v>
      </c>
      <c r="G232" s="42">
        <f t="shared" si="16"/>
        <v>11.799999999999999</v>
      </c>
      <c r="H232" s="42">
        <f t="shared" si="17"/>
        <v>-2.1272727272727305</v>
      </c>
    </row>
    <row r="233" spans="1:8" hidden="1" x14ac:dyDescent="0.2">
      <c r="A233" s="7" t="s">
        <v>224</v>
      </c>
      <c r="B233" s="8">
        <v>14</v>
      </c>
      <c r="C233" s="8">
        <v>171.8</v>
      </c>
      <c r="D233" s="8">
        <v>7</v>
      </c>
      <c r="E233" s="8">
        <v>81.499999999999986</v>
      </c>
      <c r="F233" s="42">
        <f t="shared" si="15"/>
        <v>12.271428571428572</v>
      </c>
      <c r="G233" s="42">
        <f t="shared" si="16"/>
        <v>11.642857142857141</v>
      </c>
      <c r="H233" s="42">
        <f t="shared" si="17"/>
        <v>-0.62857142857143167</v>
      </c>
    </row>
    <row r="234" spans="1:8" hidden="1" x14ac:dyDescent="0.2">
      <c r="A234" s="7" t="s">
        <v>254</v>
      </c>
      <c r="B234" s="8">
        <v>13</v>
      </c>
      <c r="C234" s="8">
        <v>96.799999999999983</v>
      </c>
      <c r="D234" s="8">
        <v>11</v>
      </c>
      <c r="E234" s="8">
        <v>125.4</v>
      </c>
      <c r="F234" s="42">
        <f t="shared" si="15"/>
        <v>7.4461538461538446</v>
      </c>
      <c r="G234" s="42">
        <f t="shared" si="16"/>
        <v>11.4</v>
      </c>
      <c r="H234" s="42">
        <f t="shared" si="17"/>
        <v>3.9538461538461558</v>
      </c>
    </row>
    <row r="235" spans="1:8" hidden="1" x14ac:dyDescent="0.2">
      <c r="A235" s="7" t="s">
        <v>161</v>
      </c>
      <c r="B235" s="8">
        <v>7</v>
      </c>
      <c r="C235" s="8">
        <v>46</v>
      </c>
      <c r="D235" s="8">
        <v>12</v>
      </c>
      <c r="E235" s="8">
        <v>136.1</v>
      </c>
      <c r="F235" s="42">
        <f t="shared" si="15"/>
        <v>6.5714285714285712</v>
      </c>
      <c r="G235" s="42">
        <f t="shared" si="16"/>
        <v>11.341666666666667</v>
      </c>
      <c r="H235" s="42">
        <f t="shared" si="17"/>
        <v>4.7702380952380956</v>
      </c>
    </row>
    <row r="236" spans="1:8" hidden="1" x14ac:dyDescent="0.2">
      <c r="A236" s="7" t="s">
        <v>259</v>
      </c>
      <c r="B236" s="8">
        <v>9</v>
      </c>
      <c r="C236" s="8">
        <v>122.9</v>
      </c>
      <c r="D236" s="8">
        <v>9</v>
      </c>
      <c r="E236" s="8">
        <v>101.9</v>
      </c>
      <c r="F236" s="42">
        <f t="shared" si="15"/>
        <v>13.655555555555557</v>
      </c>
      <c r="G236" s="42">
        <f t="shared" si="16"/>
        <v>11.322222222222223</v>
      </c>
      <c r="H236" s="42">
        <f t="shared" si="17"/>
        <v>-2.3333333333333339</v>
      </c>
    </row>
    <row r="237" spans="1:8" hidden="1" x14ac:dyDescent="0.2">
      <c r="A237" s="7" t="s">
        <v>313</v>
      </c>
      <c r="B237" s="8">
        <v>8</v>
      </c>
      <c r="C237" s="8">
        <v>103.60000000000001</v>
      </c>
      <c r="D237" s="8">
        <v>9</v>
      </c>
      <c r="E237" s="8">
        <v>101.3</v>
      </c>
      <c r="F237" s="42">
        <f t="shared" si="15"/>
        <v>12.950000000000001</v>
      </c>
      <c r="G237" s="42">
        <f t="shared" si="16"/>
        <v>11.255555555555555</v>
      </c>
      <c r="H237" s="42">
        <f t="shared" si="17"/>
        <v>-1.6944444444444464</v>
      </c>
    </row>
    <row r="238" spans="1:8" hidden="1" x14ac:dyDescent="0.2">
      <c r="A238" s="7" t="s">
        <v>133</v>
      </c>
      <c r="B238" s="8">
        <v>14</v>
      </c>
      <c r="C238" s="8">
        <v>149.29999999999998</v>
      </c>
      <c r="D238" s="8">
        <v>4</v>
      </c>
      <c r="E238" s="8">
        <v>43</v>
      </c>
      <c r="F238" s="42">
        <f t="shared" si="15"/>
        <v>10.664285714285713</v>
      </c>
      <c r="G238" s="42">
        <f t="shared" si="16"/>
        <v>10.75</v>
      </c>
      <c r="H238" s="42">
        <f t="shared" si="17"/>
        <v>8.5714285714287186E-2</v>
      </c>
    </row>
    <row r="239" spans="1:8" hidden="1" x14ac:dyDescent="0.2">
      <c r="A239" s="7" t="s">
        <v>195</v>
      </c>
      <c r="B239" s="8">
        <v>14</v>
      </c>
      <c r="C239" s="8">
        <v>157</v>
      </c>
      <c r="D239" s="8">
        <v>12</v>
      </c>
      <c r="E239" s="8">
        <v>134</v>
      </c>
      <c r="F239" s="42">
        <f t="shared" si="15"/>
        <v>11.214285714285714</v>
      </c>
      <c r="G239" s="42">
        <f t="shared" si="16"/>
        <v>11.166666666666666</v>
      </c>
      <c r="H239" s="42">
        <f t="shared" si="17"/>
        <v>-4.761904761904745E-2</v>
      </c>
    </row>
    <row r="240" spans="1:8" hidden="1" x14ac:dyDescent="0.2">
      <c r="A240" s="7" t="s">
        <v>389</v>
      </c>
      <c r="B240" s="8">
        <v>2</v>
      </c>
      <c r="C240" s="8">
        <v>11</v>
      </c>
      <c r="D240" s="8">
        <v>1</v>
      </c>
      <c r="E240" s="8">
        <v>5.5</v>
      </c>
      <c r="F240" s="42">
        <f t="shared" si="15"/>
        <v>5.5</v>
      </c>
      <c r="G240" s="42">
        <f t="shared" si="16"/>
        <v>5.5</v>
      </c>
      <c r="H240" s="42">
        <f t="shared" si="17"/>
        <v>0</v>
      </c>
    </row>
    <row r="241" spans="1:8" hidden="1" x14ac:dyDescent="0.2">
      <c r="A241" s="7" t="s">
        <v>209</v>
      </c>
      <c r="B241" s="8">
        <v>11</v>
      </c>
      <c r="C241" s="8">
        <v>68.100000000000009</v>
      </c>
      <c r="D241" s="8">
        <v>6</v>
      </c>
      <c r="E241" s="8">
        <v>66.900000000000006</v>
      </c>
      <c r="F241" s="42">
        <f t="shared" si="15"/>
        <v>6.1909090909090914</v>
      </c>
      <c r="G241" s="42">
        <f t="shared" si="16"/>
        <v>11.15</v>
      </c>
      <c r="H241" s="42">
        <f t="shared" si="17"/>
        <v>4.959090909090909</v>
      </c>
    </row>
    <row r="242" spans="1:8" hidden="1" x14ac:dyDescent="0.2">
      <c r="A242" s="7" t="s">
        <v>200</v>
      </c>
      <c r="B242" s="8">
        <v>3</v>
      </c>
      <c r="C242" s="8">
        <v>10.8</v>
      </c>
      <c r="D242" s="8">
        <v>5</v>
      </c>
      <c r="E242" s="8">
        <v>17.8</v>
      </c>
      <c r="F242" s="42">
        <f t="shared" si="15"/>
        <v>3.6</v>
      </c>
      <c r="G242" s="42">
        <f t="shared" si="16"/>
        <v>3.56</v>
      </c>
      <c r="H242" s="42">
        <f t="shared" si="17"/>
        <v>-4.0000000000000036E-2</v>
      </c>
    </row>
    <row r="243" spans="1:8" hidden="1" x14ac:dyDescent="0.2">
      <c r="A243" s="7" t="s">
        <v>244</v>
      </c>
      <c r="B243" s="8">
        <v>7</v>
      </c>
      <c r="C243" s="8">
        <v>76.400000000000006</v>
      </c>
      <c r="D243" s="8">
        <v>6</v>
      </c>
      <c r="E243" s="8">
        <v>66.699999999999989</v>
      </c>
      <c r="F243" s="42">
        <f t="shared" si="15"/>
        <v>10.914285714285715</v>
      </c>
      <c r="G243" s="42">
        <f t="shared" si="16"/>
        <v>11.116666666666665</v>
      </c>
      <c r="H243" s="42">
        <f t="shared" si="17"/>
        <v>0.20238095238095077</v>
      </c>
    </row>
    <row r="244" spans="1:8" hidden="1" x14ac:dyDescent="0.2">
      <c r="A244" s="7" t="s">
        <v>236</v>
      </c>
      <c r="B244" s="8">
        <v>12</v>
      </c>
      <c r="C244" s="8">
        <v>164.09999999999997</v>
      </c>
      <c r="D244" s="8">
        <v>8</v>
      </c>
      <c r="E244" s="8">
        <v>87.8</v>
      </c>
      <c r="F244" s="42">
        <f t="shared" si="15"/>
        <v>13.674999999999997</v>
      </c>
      <c r="G244" s="42">
        <f t="shared" si="16"/>
        <v>10.975</v>
      </c>
      <c r="H244" s="42">
        <f t="shared" si="17"/>
        <v>-2.6999999999999975</v>
      </c>
    </row>
    <row r="245" spans="1:8" hidden="1" x14ac:dyDescent="0.2">
      <c r="A245" s="7" t="s">
        <v>181</v>
      </c>
      <c r="B245" s="8">
        <v>14</v>
      </c>
      <c r="C245" s="8">
        <v>203.72000000000003</v>
      </c>
      <c r="D245" s="8">
        <v>9</v>
      </c>
      <c r="E245" s="8">
        <v>98.419999999999987</v>
      </c>
      <c r="F245" s="42">
        <f t="shared" si="15"/>
        <v>14.551428571428573</v>
      </c>
      <c r="G245" s="42">
        <f t="shared" si="16"/>
        <v>10.935555555555554</v>
      </c>
      <c r="H245" s="42">
        <f t="shared" si="17"/>
        <v>-3.615873015873019</v>
      </c>
    </row>
    <row r="246" spans="1:8" hidden="1" x14ac:dyDescent="0.2">
      <c r="A246" s="7" t="s">
        <v>258</v>
      </c>
      <c r="B246" s="8">
        <v>3</v>
      </c>
      <c r="C246" s="8">
        <v>48.819999999999993</v>
      </c>
      <c r="D246" s="8">
        <v>3</v>
      </c>
      <c r="E246" s="8">
        <v>48.480000000000004</v>
      </c>
      <c r="F246" s="42">
        <f t="shared" si="15"/>
        <v>16.27333333333333</v>
      </c>
      <c r="G246" s="42">
        <f t="shared" si="16"/>
        <v>16.16</v>
      </c>
      <c r="H246" s="42">
        <f t="shared" si="17"/>
        <v>-0.11333333333332973</v>
      </c>
    </row>
    <row r="247" spans="1:8" hidden="1" x14ac:dyDescent="0.2">
      <c r="A247" s="7" t="s">
        <v>134</v>
      </c>
      <c r="B247" s="8">
        <v>12</v>
      </c>
      <c r="C247" s="8">
        <v>110.30000000000001</v>
      </c>
      <c r="D247" s="8">
        <v>13</v>
      </c>
      <c r="E247" s="8">
        <v>141.59999999999997</v>
      </c>
      <c r="F247" s="42">
        <f t="shared" si="15"/>
        <v>9.1916666666666682</v>
      </c>
      <c r="G247" s="42">
        <f t="shared" si="16"/>
        <v>10.892307692307689</v>
      </c>
      <c r="H247" s="42">
        <f t="shared" si="17"/>
        <v>1.7006410256410209</v>
      </c>
    </row>
    <row r="248" spans="1:8" hidden="1" x14ac:dyDescent="0.2">
      <c r="A248" s="7" t="s">
        <v>146</v>
      </c>
      <c r="B248" s="8">
        <v>12</v>
      </c>
      <c r="C248" s="8">
        <v>93.399999999999977</v>
      </c>
      <c r="D248" s="8">
        <v>11</v>
      </c>
      <c r="E248" s="8">
        <v>119.40000000000002</v>
      </c>
      <c r="F248" s="42">
        <f t="shared" si="15"/>
        <v>7.7833333333333314</v>
      </c>
      <c r="G248" s="42">
        <f t="shared" si="16"/>
        <v>10.854545454545457</v>
      </c>
      <c r="H248" s="42">
        <f t="shared" si="17"/>
        <v>3.0712121212121257</v>
      </c>
    </row>
    <row r="249" spans="1:8" hidden="1" x14ac:dyDescent="0.2">
      <c r="A249" s="7" t="s">
        <v>178</v>
      </c>
      <c r="B249" s="8">
        <v>13</v>
      </c>
      <c r="C249" s="8">
        <v>113.6</v>
      </c>
      <c r="D249" s="8">
        <v>14</v>
      </c>
      <c r="E249" s="8">
        <v>151.71999999999997</v>
      </c>
      <c r="F249" s="42">
        <f t="shared" si="15"/>
        <v>8.7384615384615376</v>
      </c>
      <c r="G249" s="42">
        <f t="shared" si="16"/>
        <v>10.837142857142855</v>
      </c>
      <c r="H249" s="42">
        <f t="shared" si="17"/>
        <v>2.0986813186813169</v>
      </c>
    </row>
    <row r="250" spans="1:8" hidden="1" x14ac:dyDescent="0.2">
      <c r="A250" s="7" t="s">
        <v>219</v>
      </c>
      <c r="B250" s="8">
        <v>12</v>
      </c>
      <c r="C250" s="8">
        <v>126.49999999999999</v>
      </c>
      <c r="D250" s="8">
        <v>14</v>
      </c>
      <c r="E250" s="8">
        <v>147.4</v>
      </c>
      <c r="F250" s="42">
        <f t="shared" si="15"/>
        <v>10.541666666666666</v>
      </c>
      <c r="G250" s="42">
        <f t="shared" si="16"/>
        <v>10.528571428571428</v>
      </c>
      <c r="H250" s="42">
        <f t="shared" si="17"/>
        <v>-1.3095238095237605E-2</v>
      </c>
    </row>
    <row r="251" spans="1:8" hidden="1" x14ac:dyDescent="0.2">
      <c r="A251" s="7" t="s">
        <v>251</v>
      </c>
      <c r="B251" s="8">
        <v>4</v>
      </c>
      <c r="C251" s="8">
        <v>32</v>
      </c>
      <c r="D251" s="8">
        <v>9</v>
      </c>
      <c r="E251" s="8">
        <v>67</v>
      </c>
      <c r="F251" s="42">
        <f t="shared" si="15"/>
        <v>8</v>
      </c>
      <c r="G251" s="42">
        <f t="shared" si="16"/>
        <v>7.4444444444444446</v>
      </c>
      <c r="H251" s="42">
        <f t="shared" si="17"/>
        <v>-0.55555555555555536</v>
      </c>
    </row>
    <row r="252" spans="1:8" hidden="1" x14ac:dyDescent="0.2">
      <c r="A252" s="7" t="s">
        <v>222</v>
      </c>
      <c r="B252" s="8">
        <v>12</v>
      </c>
      <c r="C252" s="8">
        <v>131.29999999999998</v>
      </c>
      <c r="D252" s="8">
        <v>13</v>
      </c>
      <c r="E252" s="8">
        <v>136.79999999999998</v>
      </c>
      <c r="F252" s="42">
        <f t="shared" ref="F252:F283" si="18">C252/B252</f>
        <v>10.941666666666665</v>
      </c>
      <c r="G252" s="42">
        <f t="shared" ref="G252:G283" si="19">E252/D252</f>
        <v>10.523076923076921</v>
      </c>
      <c r="H252" s="42">
        <f t="shared" ref="H252:H283" si="20">G252-F252</f>
        <v>-0.41858974358974343</v>
      </c>
    </row>
    <row r="253" spans="1:8" hidden="1" x14ac:dyDescent="0.2">
      <c r="A253" s="7" t="s">
        <v>205</v>
      </c>
      <c r="B253" s="8">
        <v>13</v>
      </c>
      <c r="C253" s="8">
        <v>165.4</v>
      </c>
      <c r="D253" s="8">
        <v>14</v>
      </c>
      <c r="E253" s="8">
        <v>147.1</v>
      </c>
      <c r="F253" s="42">
        <f t="shared" si="18"/>
        <v>12.723076923076924</v>
      </c>
      <c r="G253" s="42">
        <f t="shared" si="19"/>
        <v>10.507142857142856</v>
      </c>
      <c r="H253" s="42">
        <f t="shared" si="20"/>
        <v>-2.2159340659340678</v>
      </c>
    </row>
    <row r="254" spans="1:8" hidden="1" x14ac:dyDescent="0.2">
      <c r="A254" s="7" t="s">
        <v>361</v>
      </c>
      <c r="B254" s="8">
        <v>5</v>
      </c>
      <c r="C254" s="8">
        <v>44</v>
      </c>
      <c r="D254" s="8">
        <v>4</v>
      </c>
      <c r="E254" s="8">
        <v>32.699999999999996</v>
      </c>
      <c r="F254" s="42">
        <f t="shared" si="18"/>
        <v>8.8000000000000007</v>
      </c>
      <c r="G254" s="42">
        <f t="shared" si="19"/>
        <v>8.1749999999999989</v>
      </c>
      <c r="H254" s="42">
        <f t="shared" si="20"/>
        <v>-0.62500000000000178</v>
      </c>
    </row>
    <row r="255" spans="1:8" hidden="1" x14ac:dyDescent="0.2">
      <c r="A255" s="7" t="s">
        <v>350</v>
      </c>
      <c r="B255" s="8">
        <v>9</v>
      </c>
      <c r="C255" s="8">
        <v>90</v>
      </c>
      <c r="D255" s="8">
        <v>14</v>
      </c>
      <c r="E255" s="8">
        <v>147</v>
      </c>
      <c r="F255" s="42">
        <f t="shared" si="18"/>
        <v>10</v>
      </c>
      <c r="G255" s="42">
        <f t="shared" si="19"/>
        <v>10.5</v>
      </c>
      <c r="H255" s="42">
        <f t="shared" si="20"/>
        <v>0.5</v>
      </c>
    </row>
    <row r="256" spans="1:8" hidden="1" x14ac:dyDescent="0.2">
      <c r="A256" s="7" t="s">
        <v>175</v>
      </c>
      <c r="B256" s="8">
        <v>5</v>
      </c>
      <c r="C256" s="8">
        <v>40.599999999999994</v>
      </c>
      <c r="D256" s="8">
        <v>11</v>
      </c>
      <c r="E256" s="8">
        <v>114.60000000000001</v>
      </c>
      <c r="F256" s="42">
        <f t="shared" si="18"/>
        <v>8.1199999999999992</v>
      </c>
      <c r="G256" s="42">
        <f t="shared" si="19"/>
        <v>10.41818181818182</v>
      </c>
      <c r="H256" s="42">
        <f t="shared" si="20"/>
        <v>2.2981818181818205</v>
      </c>
    </row>
    <row r="257" spans="1:8" hidden="1" x14ac:dyDescent="0.2">
      <c r="A257" s="7" t="s">
        <v>210</v>
      </c>
      <c r="B257" s="8">
        <v>16</v>
      </c>
      <c r="C257" s="8">
        <v>174</v>
      </c>
      <c r="D257" s="8">
        <v>13</v>
      </c>
      <c r="E257" s="8">
        <v>135</v>
      </c>
      <c r="F257" s="42">
        <f t="shared" si="18"/>
        <v>10.875</v>
      </c>
      <c r="G257" s="42">
        <f t="shared" si="19"/>
        <v>10.384615384615385</v>
      </c>
      <c r="H257" s="42">
        <f t="shared" si="20"/>
        <v>-0.49038461538461497</v>
      </c>
    </row>
    <row r="258" spans="1:8" hidden="1" x14ac:dyDescent="0.2">
      <c r="A258" s="7" t="s">
        <v>288</v>
      </c>
      <c r="B258" s="8">
        <v>10</v>
      </c>
      <c r="C258" s="8">
        <v>140.79999999999998</v>
      </c>
      <c r="D258" s="8">
        <v>12</v>
      </c>
      <c r="E258" s="8">
        <v>122.60000000000002</v>
      </c>
      <c r="F258" s="42">
        <f t="shared" si="18"/>
        <v>14.079999999999998</v>
      </c>
      <c r="G258" s="42">
        <f t="shared" si="19"/>
        <v>10.216666666666669</v>
      </c>
      <c r="H258" s="42">
        <f t="shared" si="20"/>
        <v>-3.8633333333333297</v>
      </c>
    </row>
    <row r="259" spans="1:8" hidden="1" x14ac:dyDescent="0.2">
      <c r="A259" s="7" t="s">
        <v>213</v>
      </c>
      <c r="B259" s="8">
        <v>9</v>
      </c>
      <c r="C259" s="8">
        <v>58.399999999999991</v>
      </c>
      <c r="D259" s="8">
        <v>2</v>
      </c>
      <c r="E259" s="8">
        <v>10.3</v>
      </c>
      <c r="F259" s="42">
        <f t="shared" si="18"/>
        <v>6.488888888888888</v>
      </c>
      <c r="G259" s="42">
        <f t="shared" si="19"/>
        <v>5.15</v>
      </c>
      <c r="H259" s="42">
        <f t="shared" si="20"/>
        <v>-1.3388888888888877</v>
      </c>
    </row>
    <row r="260" spans="1:8" hidden="1" x14ac:dyDescent="0.2">
      <c r="A260" s="7" t="s">
        <v>218</v>
      </c>
      <c r="B260" s="8">
        <v>12</v>
      </c>
      <c r="C260" s="8">
        <v>161.29999999999998</v>
      </c>
      <c r="D260" s="8">
        <v>4</v>
      </c>
      <c r="E260" s="8">
        <v>48.1</v>
      </c>
      <c r="F260" s="42">
        <f t="shared" si="18"/>
        <v>13.441666666666665</v>
      </c>
      <c r="G260" s="42">
        <f t="shared" si="19"/>
        <v>12.025</v>
      </c>
      <c r="H260" s="42">
        <f t="shared" si="20"/>
        <v>-1.4166666666666643</v>
      </c>
    </row>
    <row r="261" spans="1:8" hidden="1" x14ac:dyDescent="0.2">
      <c r="A261" s="7" t="s">
        <v>273</v>
      </c>
      <c r="B261" s="8">
        <v>7</v>
      </c>
      <c r="C261" s="8">
        <v>65</v>
      </c>
      <c r="D261" s="8">
        <v>5</v>
      </c>
      <c r="E261" s="8">
        <v>50</v>
      </c>
      <c r="F261" s="42">
        <f t="shared" si="18"/>
        <v>9.2857142857142865</v>
      </c>
      <c r="G261" s="42">
        <f t="shared" si="19"/>
        <v>10</v>
      </c>
      <c r="H261" s="42">
        <f t="shared" si="20"/>
        <v>0.71428571428571352</v>
      </c>
    </row>
    <row r="262" spans="1:8" hidden="1" x14ac:dyDescent="0.2">
      <c r="A262" s="7" t="s">
        <v>186</v>
      </c>
      <c r="B262" s="8">
        <v>12</v>
      </c>
      <c r="C262" s="8">
        <v>133.5</v>
      </c>
      <c r="D262" s="8">
        <v>13</v>
      </c>
      <c r="E262" s="8">
        <v>129</v>
      </c>
      <c r="F262" s="42">
        <f t="shared" si="18"/>
        <v>11.125</v>
      </c>
      <c r="G262" s="42">
        <f t="shared" si="19"/>
        <v>9.9230769230769234</v>
      </c>
      <c r="H262" s="42">
        <f t="shared" si="20"/>
        <v>-1.2019230769230766</v>
      </c>
    </row>
    <row r="263" spans="1:8" hidden="1" x14ac:dyDescent="0.2">
      <c r="A263" s="7" t="s">
        <v>249</v>
      </c>
      <c r="B263" s="8">
        <v>14</v>
      </c>
      <c r="C263" s="8">
        <v>123</v>
      </c>
      <c r="D263" s="8">
        <v>15</v>
      </c>
      <c r="E263" s="8">
        <v>146.4</v>
      </c>
      <c r="F263" s="42">
        <f t="shared" si="18"/>
        <v>8.7857142857142865</v>
      </c>
      <c r="G263" s="42">
        <f t="shared" si="19"/>
        <v>9.76</v>
      </c>
      <c r="H263" s="42">
        <f t="shared" si="20"/>
        <v>0.97428571428571331</v>
      </c>
    </row>
    <row r="264" spans="1:8" hidden="1" x14ac:dyDescent="0.2">
      <c r="A264" s="7" t="s">
        <v>292</v>
      </c>
      <c r="B264" s="8">
        <v>11</v>
      </c>
      <c r="C264" s="8">
        <v>108.7</v>
      </c>
      <c r="D264" s="8">
        <v>11</v>
      </c>
      <c r="E264" s="8">
        <v>106.6</v>
      </c>
      <c r="F264" s="42">
        <f t="shared" si="18"/>
        <v>9.8818181818181827</v>
      </c>
      <c r="G264" s="42">
        <f t="shared" si="19"/>
        <v>9.6909090909090896</v>
      </c>
      <c r="H264" s="42">
        <f t="shared" si="20"/>
        <v>-0.19090909090909314</v>
      </c>
    </row>
    <row r="265" spans="1:8" hidden="1" x14ac:dyDescent="0.2">
      <c r="A265" s="7" t="s">
        <v>193</v>
      </c>
      <c r="B265" s="8">
        <v>13</v>
      </c>
      <c r="C265" s="8">
        <v>109</v>
      </c>
      <c r="D265" s="8">
        <v>9</v>
      </c>
      <c r="E265" s="8">
        <v>87</v>
      </c>
      <c r="F265" s="42">
        <f t="shared" si="18"/>
        <v>8.384615384615385</v>
      </c>
      <c r="G265" s="42">
        <f t="shared" si="19"/>
        <v>9.6666666666666661</v>
      </c>
      <c r="H265" s="42">
        <f t="shared" si="20"/>
        <v>1.282051282051281</v>
      </c>
    </row>
    <row r="266" spans="1:8" hidden="1" x14ac:dyDescent="0.2">
      <c r="A266" s="7" t="s">
        <v>156</v>
      </c>
      <c r="B266" s="8">
        <v>14</v>
      </c>
      <c r="C266" s="8">
        <v>121</v>
      </c>
      <c r="D266" s="8">
        <v>9</v>
      </c>
      <c r="E266" s="8">
        <v>86.9</v>
      </c>
      <c r="F266" s="42">
        <f t="shared" si="18"/>
        <v>8.6428571428571423</v>
      </c>
      <c r="G266" s="42">
        <f t="shared" si="19"/>
        <v>9.6555555555555568</v>
      </c>
      <c r="H266" s="42">
        <f t="shared" si="20"/>
        <v>1.0126984126984144</v>
      </c>
    </row>
    <row r="267" spans="1:8" hidden="1" x14ac:dyDescent="0.2">
      <c r="A267" s="7" t="s">
        <v>295</v>
      </c>
      <c r="B267" s="8">
        <v>15</v>
      </c>
      <c r="C267" s="8">
        <v>192.60000000000002</v>
      </c>
      <c r="D267" s="8">
        <v>6</v>
      </c>
      <c r="E267" s="8">
        <v>57.5</v>
      </c>
      <c r="F267" s="42">
        <f t="shared" si="18"/>
        <v>12.840000000000002</v>
      </c>
      <c r="G267" s="42">
        <f t="shared" si="19"/>
        <v>9.5833333333333339</v>
      </c>
      <c r="H267" s="42">
        <f t="shared" si="20"/>
        <v>-3.2566666666666677</v>
      </c>
    </row>
    <row r="268" spans="1:8" hidden="1" x14ac:dyDescent="0.2">
      <c r="A268" s="7" t="s">
        <v>250</v>
      </c>
      <c r="B268" s="8">
        <v>14</v>
      </c>
      <c r="C268" s="8">
        <v>301.20000000000005</v>
      </c>
      <c r="D268" s="8">
        <v>4</v>
      </c>
      <c r="E268" s="8">
        <v>79.2</v>
      </c>
      <c r="F268" s="42">
        <f t="shared" si="18"/>
        <v>21.514285714285716</v>
      </c>
      <c r="G268" s="42">
        <f t="shared" si="19"/>
        <v>19.8</v>
      </c>
      <c r="H268" s="42">
        <f t="shared" si="20"/>
        <v>-1.7142857142857153</v>
      </c>
    </row>
    <row r="269" spans="1:8" hidden="1" x14ac:dyDescent="0.2">
      <c r="A269" s="7" t="s">
        <v>162</v>
      </c>
      <c r="B269" s="8">
        <v>14</v>
      </c>
      <c r="C269" s="8">
        <v>132.19999999999999</v>
      </c>
      <c r="D269" s="8">
        <v>11</v>
      </c>
      <c r="E269" s="8">
        <v>105.40000000000002</v>
      </c>
      <c r="F269" s="42">
        <f t="shared" si="18"/>
        <v>9.4428571428571413</v>
      </c>
      <c r="G269" s="42">
        <f t="shared" si="19"/>
        <v>9.5818181818181838</v>
      </c>
      <c r="H269" s="42">
        <f t="shared" si="20"/>
        <v>0.1389610389610425</v>
      </c>
    </row>
    <row r="270" spans="1:8" hidden="1" x14ac:dyDescent="0.2">
      <c r="A270" s="7" t="s">
        <v>376</v>
      </c>
      <c r="B270" s="8">
        <v>4</v>
      </c>
      <c r="C270" s="8">
        <v>27.7</v>
      </c>
      <c r="D270" s="8">
        <v>11</v>
      </c>
      <c r="E270" s="8">
        <v>56.4</v>
      </c>
      <c r="F270" s="42">
        <f t="shared" si="18"/>
        <v>6.9249999999999998</v>
      </c>
      <c r="G270" s="42">
        <f t="shared" si="19"/>
        <v>5.127272727272727</v>
      </c>
      <c r="H270" s="42">
        <f t="shared" si="20"/>
        <v>-1.7977272727272728</v>
      </c>
    </row>
    <row r="271" spans="1:8" hidden="1" x14ac:dyDescent="0.2">
      <c r="A271" s="7" t="s">
        <v>303</v>
      </c>
      <c r="B271" s="8">
        <v>8</v>
      </c>
      <c r="C271" s="8">
        <v>91.300000000000011</v>
      </c>
      <c r="D271" s="8">
        <v>9</v>
      </c>
      <c r="E271" s="8">
        <v>85.1</v>
      </c>
      <c r="F271" s="42">
        <f t="shared" si="18"/>
        <v>11.412500000000001</v>
      </c>
      <c r="G271" s="42">
        <f t="shared" si="19"/>
        <v>9.4555555555555557</v>
      </c>
      <c r="H271" s="42">
        <f t="shared" si="20"/>
        <v>-1.9569444444444457</v>
      </c>
    </row>
    <row r="272" spans="1:8" hidden="1" x14ac:dyDescent="0.2">
      <c r="A272" s="7" t="s">
        <v>280</v>
      </c>
      <c r="B272" s="8">
        <v>11</v>
      </c>
      <c r="C272" s="8">
        <v>81.3</v>
      </c>
      <c r="D272" s="8">
        <v>12</v>
      </c>
      <c r="E272" s="8">
        <v>111.4</v>
      </c>
      <c r="F272" s="42">
        <f t="shared" si="18"/>
        <v>7.3909090909090907</v>
      </c>
      <c r="G272" s="42">
        <f t="shared" si="19"/>
        <v>9.2833333333333332</v>
      </c>
      <c r="H272" s="42">
        <f t="shared" si="20"/>
        <v>1.8924242424242426</v>
      </c>
    </row>
    <row r="273" spans="1:8" hidden="1" x14ac:dyDescent="0.2">
      <c r="A273" s="7" t="s">
        <v>322</v>
      </c>
      <c r="B273" s="8">
        <v>7</v>
      </c>
      <c r="C273" s="8">
        <v>63.900000000000006</v>
      </c>
      <c r="D273" s="8">
        <v>1</v>
      </c>
      <c r="E273" s="8">
        <v>7.2</v>
      </c>
      <c r="F273" s="42">
        <f t="shared" si="18"/>
        <v>9.1285714285714299</v>
      </c>
      <c r="G273" s="42">
        <f t="shared" si="19"/>
        <v>7.2</v>
      </c>
      <c r="H273" s="42">
        <f t="shared" si="20"/>
        <v>-1.9285714285714297</v>
      </c>
    </row>
    <row r="274" spans="1:8" hidden="1" x14ac:dyDescent="0.2">
      <c r="A274" s="7" t="s">
        <v>199</v>
      </c>
      <c r="B274" s="8">
        <v>8</v>
      </c>
      <c r="C274" s="8">
        <v>98.42</v>
      </c>
      <c r="D274" s="8">
        <v>10</v>
      </c>
      <c r="E274" s="8">
        <v>92.09999999999998</v>
      </c>
      <c r="F274" s="42">
        <f t="shared" si="18"/>
        <v>12.3025</v>
      </c>
      <c r="G274" s="42">
        <f t="shared" si="19"/>
        <v>9.2099999999999973</v>
      </c>
      <c r="H274" s="42">
        <f t="shared" si="20"/>
        <v>-3.0925000000000029</v>
      </c>
    </row>
    <row r="275" spans="1:8" hidden="1" x14ac:dyDescent="0.2">
      <c r="A275" s="7" t="s">
        <v>253</v>
      </c>
      <c r="B275" s="8">
        <v>8</v>
      </c>
      <c r="C275" s="8">
        <v>23</v>
      </c>
      <c r="D275" s="8">
        <v>5</v>
      </c>
      <c r="E275" s="8">
        <v>46</v>
      </c>
      <c r="F275" s="42">
        <f t="shared" si="18"/>
        <v>2.875</v>
      </c>
      <c r="G275" s="42">
        <f t="shared" si="19"/>
        <v>9.1999999999999993</v>
      </c>
      <c r="H275" s="42">
        <f t="shared" si="20"/>
        <v>6.3249999999999993</v>
      </c>
    </row>
    <row r="276" spans="1:8" hidden="1" x14ac:dyDescent="0.2">
      <c r="A276" s="7" t="s">
        <v>344</v>
      </c>
      <c r="B276" s="8">
        <v>1</v>
      </c>
      <c r="C276" s="8">
        <v>3.7</v>
      </c>
      <c r="D276" s="8">
        <v>1</v>
      </c>
      <c r="E276" s="8">
        <v>1.7</v>
      </c>
      <c r="F276" s="42">
        <f t="shared" si="18"/>
        <v>3.7</v>
      </c>
      <c r="G276" s="42">
        <f t="shared" si="19"/>
        <v>1.7</v>
      </c>
      <c r="H276" s="42">
        <f t="shared" si="20"/>
        <v>-2</v>
      </c>
    </row>
    <row r="277" spans="1:8" hidden="1" x14ac:dyDescent="0.2">
      <c r="A277" s="7" t="s">
        <v>171</v>
      </c>
      <c r="B277" s="8">
        <v>14</v>
      </c>
      <c r="C277" s="8">
        <v>214.48000000000002</v>
      </c>
      <c r="D277" s="8">
        <v>14</v>
      </c>
      <c r="E277" s="8">
        <v>128.6</v>
      </c>
      <c r="F277" s="42">
        <f t="shared" si="18"/>
        <v>15.320000000000002</v>
      </c>
      <c r="G277" s="42">
        <f t="shared" si="19"/>
        <v>9.1857142857142851</v>
      </c>
      <c r="H277" s="42">
        <f t="shared" si="20"/>
        <v>-6.134285714285717</v>
      </c>
    </row>
    <row r="278" spans="1:8" hidden="1" x14ac:dyDescent="0.2">
      <c r="A278" s="7" t="s">
        <v>225</v>
      </c>
      <c r="B278" s="8">
        <v>11</v>
      </c>
      <c r="C278" s="8">
        <v>148.30000000000001</v>
      </c>
      <c r="D278" s="8">
        <v>12</v>
      </c>
      <c r="E278" s="8">
        <v>109.8</v>
      </c>
      <c r="F278" s="42">
        <f t="shared" si="18"/>
        <v>13.481818181818182</v>
      </c>
      <c r="G278" s="42">
        <f t="shared" si="19"/>
        <v>9.15</v>
      </c>
      <c r="H278" s="42">
        <f t="shared" si="20"/>
        <v>-4.331818181818182</v>
      </c>
    </row>
    <row r="279" spans="1:8" hidden="1" x14ac:dyDescent="0.2">
      <c r="A279" s="7" t="s">
        <v>304</v>
      </c>
      <c r="B279" s="8">
        <v>9</v>
      </c>
      <c r="C279" s="8">
        <v>72.5</v>
      </c>
      <c r="D279" s="8">
        <v>8</v>
      </c>
      <c r="E279" s="8">
        <v>73</v>
      </c>
      <c r="F279" s="42">
        <f t="shared" si="18"/>
        <v>8.0555555555555554</v>
      </c>
      <c r="G279" s="42">
        <f t="shared" si="19"/>
        <v>9.125</v>
      </c>
      <c r="H279" s="42">
        <f t="shared" si="20"/>
        <v>1.0694444444444446</v>
      </c>
    </row>
    <row r="280" spans="1:8" hidden="1" x14ac:dyDescent="0.2">
      <c r="A280" s="7" t="s">
        <v>403</v>
      </c>
      <c r="B280" s="8">
        <v>7</v>
      </c>
      <c r="C280" s="8">
        <v>101.29999999999998</v>
      </c>
      <c r="D280" s="8">
        <v>8</v>
      </c>
      <c r="E280" s="8">
        <v>72.900000000000006</v>
      </c>
      <c r="F280" s="42">
        <f t="shared" si="18"/>
        <v>14.47142857142857</v>
      </c>
      <c r="G280" s="42">
        <f t="shared" si="19"/>
        <v>9.1125000000000007</v>
      </c>
      <c r="H280" s="42">
        <f t="shared" si="20"/>
        <v>-5.358928571428569</v>
      </c>
    </row>
    <row r="281" spans="1:8" hidden="1" x14ac:dyDescent="0.2">
      <c r="A281" s="7" t="s">
        <v>316</v>
      </c>
      <c r="B281" s="8">
        <v>1</v>
      </c>
      <c r="C281" s="8">
        <v>26.56</v>
      </c>
      <c r="D281" s="8">
        <v>1</v>
      </c>
      <c r="E281" s="8">
        <v>24.32</v>
      </c>
      <c r="F281" s="42">
        <f t="shared" si="18"/>
        <v>26.56</v>
      </c>
      <c r="G281" s="42">
        <f t="shared" si="19"/>
        <v>24.32</v>
      </c>
      <c r="H281" s="42">
        <f t="shared" si="20"/>
        <v>-2.2399999999999984</v>
      </c>
    </row>
    <row r="282" spans="1:8" hidden="1" x14ac:dyDescent="0.2">
      <c r="A282" s="7" t="s">
        <v>172</v>
      </c>
      <c r="B282" s="8">
        <v>14</v>
      </c>
      <c r="C282" s="8">
        <v>151.80000000000001</v>
      </c>
      <c r="D282" s="8">
        <v>11</v>
      </c>
      <c r="E282" s="8">
        <v>98.28</v>
      </c>
      <c r="F282" s="42">
        <f t="shared" si="18"/>
        <v>10.842857142857143</v>
      </c>
      <c r="G282" s="42">
        <f t="shared" si="19"/>
        <v>8.9345454545454555</v>
      </c>
      <c r="H282" s="42">
        <f t="shared" si="20"/>
        <v>-1.908311688311688</v>
      </c>
    </row>
    <row r="283" spans="1:8" x14ac:dyDescent="0.2">
      <c r="A283" s="7" t="s">
        <v>277</v>
      </c>
      <c r="B283" s="8">
        <v>12</v>
      </c>
      <c r="C283" s="8">
        <v>158.80000000000001</v>
      </c>
      <c r="D283" s="8">
        <v>8</v>
      </c>
      <c r="E283" s="8">
        <v>70.599999999999994</v>
      </c>
      <c r="F283" s="42">
        <f t="shared" si="18"/>
        <v>13.233333333333334</v>
      </c>
      <c r="G283" s="42">
        <f t="shared" si="19"/>
        <v>8.8249999999999993</v>
      </c>
      <c r="H283" s="42">
        <f t="shared" si="20"/>
        <v>-4.408333333333335</v>
      </c>
    </row>
    <row r="284" spans="1:8" hidden="1" x14ac:dyDescent="0.2">
      <c r="A284" s="7" t="s">
        <v>211</v>
      </c>
      <c r="B284" s="8">
        <v>5</v>
      </c>
      <c r="C284" s="8">
        <v>31</v>
      </c>
      <c r="D284" s="8">
        <v>2</v>
      </c>
      <c r="E284" s="8">
        <v>7</v>
      </c>
      <c r="F284" s="42">
        <f t="shared" ref="F284:F315" si="21">C284/B284</f>
        <v>6.2</v>
      </c>
      <c r="G284" s="42">
        <f t="shared" ref="G284:G315" si="22">E284/D284</f>
        <v>3.5</v>
      </c>
      <c r="H284" s="42">
        <f t="shared" ref="H284:H315" si="23">G284-F284</f>
        <v>-2.7</v>
      </c>
    </row>
    <row r="285" spans="1:8" hidden="1" x14ac:dyDescent="0.2">
      <c r="A285" s="7" t="s">
        <v>262</v>
      </c>
      <c r="B285" s="8">
        <v>5</v>
      </c>
      <c r="C285" s="8">
        <v>55</v>
      </c>
      <c r="D285" s="8">
        <v>9</v>
      </c>
      <c r="E285" s="8">
        <v>79.199999999999989</v>
      </c>
      <c r="F285" s="42">
        <f t="shared" si="21"/>
        <v>11</v>
      </c>
      <c r="G285" s="42">
        <f t="shared" si="22"/>
        <v>8.7999999999999989</v>
      </c>
      <c r="H285" s="42">
        <f t="shared" si="23"/>
        <v>-2.2000000000000011</v>
      </c>
    </row>
    <row r="286" spans="1:8" hidden="1" x14ac:dyDescent="0.2">
      <c r="A286" s="7" t="s">
        <v>374</v>
      </c>
      <c r="B286" s="8">
        <v>5</v>
      </c>
      <c r="C286" s="8">
        <v>52</v>
      </c>
      <c r="D286" s="8">
        <v>13</v>
      </c>
      <c r="E286" s="8">
        <v>114</v>
      </c>
      <c r="F286" s="42">
        <f t="shared" si="21"/>
        <v>10.4</v>
      </c>
      <c r="G286" s="42">
        <f t="shared" si="22"/>
        <v>8.7692307692307701</v>
      </c>
      <c r="H286" s="42">
        <f t="shared" si="23"/>
        <v>-1.6307692307692303</v>
      </c>
    </row>
    <row r="287" spans="1:8" hidden="1" x14ac:dyDescent="0.2">
      <c r="A287" s="7" t="s">
        <v>323</v>
      </c>
      <c r="B287" s="8">
        <v>9</v>
      </c>
      <c r="C287" s="8">
        <v>104</v>
      </c>
      <c r="D287" s="8">
        <v>11</v>
      </c>
      <c r="E287" s="8">
        <v>95</v>
      </c>
      <c r="F287" s="42">
        <f t="shared" si="21"/>
        <v>11.555555555555555</v>
      </c>
      <c r="G287" s="42">
        <f t="shared" si="22"/>
        <v>8.6363636363636367</v>
      </c>
      <c r="H287" s="42">
        <f t="shared" si="23"/>
        <v>-2.9191919191919187</v>
      </c>
    </row>
    <row r="288" spans="1:8" hidden="1" x14ac:dyDescent="0.2">
      <c r="A288" s="7" t="s">
        <v>167</v>
      </c>
      <c r="B288" s="8">
        <v>11</v>
      </c>
      <c r="C288" s="8">
        <v>109</v>
      </c>
      <c r="D288" s="8">
        <v>3</v>
      </c>
      <c r="E288" s="8">
        <v>21</v>
      </c>
      <c r="F288" s="42">
        <f t="shared" si="21"/>
        <v>9.9090909090909083</v>
      </c>
      <c r="G288" s="42">
        <f t="shared" si="22"/>
        <v>7</v>
      </c>
      <c r="H288" s="42">
        <f t="shared" si="23"/>
        <v>-2.9090909090909083</v>
      </c>
    </row>
    <row r="289" spans="1:8" hidden="1" x14ac:dyDescent="0.2">
      <c r="A289" s="7" t="s">
        <v>157</v>
      </c>
      <c r="B289" s="8">
        <v>12</v>
      </c>
      <c r="C289" s="8">
        <v>100</v>
      </c>
      <c r="D289" s="8">
        <v>8</v>
      </c>
      <c r="E289" s="8">
        <v>69</v>
      </c>
      <c r="F289" s="42">
        <f t="shared" si="21"/>
        <v>8.3333333333333339</v>
      </c>
      <c r="G289" s="42">
        <f t="shared" si="22"/>
        <v>8.625</v>
      </c>
      <c r="H289" s="42">
        <f t="shared" si="23"/>
        <v>0.29166666666666607</v>
      </c>
    </row>
    <row r="290" spans="1:8" hidden="1" x14ac:dyDescent="0.2">
      <c r="A290" s="7" t="s">
        <v>228</v>
      </c>
      <c r="B290" s="8">
        <v>6</v>
      </c>
      <c r="C290" s="8">
        <v>46</v>
      </c>
      <c r="D290" s="8">
        <v>5</v>
      </c>
      <c r="E290" s="8">
        <v>42</v>
      </c>
      <c r="F290" s="42">
        <f t="shared" si="21"/>
        <v>7.666666666666667</v>
      </c>
      <c r="G290" s="42">
        <f t="shared" si="22"/>
        <v>8.4</v>
      </c>
      <c r="H290" s="42">
        <f t="shared" si="23"/>
        <v>0.73333333333333339</v>
      </c>
    </row>
    <row r="291" spans="1:8" hidden="1" x14ac:dyDescent="0.2">
      <c r="A291" s="7" t="s">
        <v>220</v>
      </c>
      <c r="B291" s="8">
        <v>5</v>
      </c>
      <c r="C291" s="8">
        <v>41.099999999999994</v>
      </c>
      <c r="D291" s="8">
        <v>13</v>
      </c>
      <c r="E291" s="8">
        <v>108.7</v>
      </c>
      <c r="F291" s="42">
        <f t="shared" si="21"/>
        <v>8.2199999999999989</v>
      </c>
      <c r="G291" s="42">
        <f t="shared" si="22"/>
        <v>8.361538461538462</v>
      </c>
      <c r="H291" s="42">
        <f t="shared" si="23"/>
        <v>0.14153846153846317</v>
      </c>
    </row>
    <row r="292" spans="1:8" hidden="1" x14ac:dyDescent="0.2">
      <c r="A292" s="7" t="s">
        <v>153</v>
      </c>
      <c r="B292" s="8">
        <v>14</v>
      </c>
      <c r="C292" s="8">
        <v>141.6</v>
      </c>
      <c r="D292" s="8">
        <v>12</v>
      </c>
      <c r="E292" s="8">
        <v>100.1</v>
      </c>
      <c r="F292" s="42">
        <f t="shared" si="21"/>
        <v>10.114285714285714</v>
      </c>
      <c r="G292" s="42">
        <f t="shared" si="22"/>
        <v>8.3416666666666668</v>
      </c>
      <c r="H292" s="42">
        <f t="shared" si="23"/>
        <v>-1.7726190476190471</v>
      </c>
    </row>
    <row r="293" spans="1:8" hidden="1" x14ac:dyDescent="0.2">
      <c r="A293" s="7" t="s">
        <v>242</v>
      </c>
      <c r="B293" s="8">
        <v>13</v>
      </c>
      <c r="C293" s="8">
        <v>146</v>
      </c>
      <c r="D293" s="8">
        <v>14</v>
      </c>
      <c r="E293" s="8">
        <v>116</v>
      </c>
      <c r="F293" s="42">
        <f t="shared" si="21"/>
        <v>11.23076923076923</v>
      </c>
      <c r="G293" s="42">
        <f t="shared" si="22"/>
        <v>8.2857142857142865</v>
      </c>
      <c r="H293" s="42">
        <f t="shared" si="23"/>
        <v>-2.9450549450549435</v>
      </c>
    </row>
    <row r="294" spans="1:8" hidden="1" x14ac:dyDescent="0.2">
      <c r="A294" s="7" t="s">
        <v>217</v>
      </c>
      <c r="B294" s="8">
        <v>10</v>
      </c>
      <c r="C294" s="8">
        <v>109.6</v>
      </c>
      <c r="D294" s="8">
        <v>6</v>
      </c>
      <c r="E294" s="8">
        <v>49.400000000000006</v>
      </c>
      <c r="F294" s="42">
        <f t="shared" si="21"/>
        <v>10.959999999999999</v>
      </c>
      <c r="G294" s="42">
        <f t="shared" si="22"/>
        <v>8.2333333333333343</v>
      </c>
      <c r="H294" s="42">
        <f t="shared" si="23"/>
        <v>-2.7266666666666648</v>
      </c>
    </row>
    <row r="295" spans="1:8" hidden="1" x14ac:dyDescent="0.2">
      <c r="A295" s="7" t="s">
        <v>176</v>
      </c>
      <c r="B295" s="8">
        <v>13</v>
      </c>
      <c r="C295" s="8">
        <v>234.42000000000002</v>
      </c>
      <c r="D295" s="8">
        <v>3</v>
      </c>
      <c r="E295" s="8">
        <v>44.28</v>
      </c>
      <c r="F295" s="42">
        <f t="shared" si="21"/>
        <v>18.032307692307693</v>
      </c>
      <c r="G295" s="42">
        <f t="shared" si="22"/>
        <v>14.76</v>
      </c>
      <c r="H295" s="42">
        <f t="shared" si="23"/>
        <v>-3.2723076923076935</v>
      </c>
    </row>
    <row r="296" spans="1:8" hidden="1" x14ac:dyDescent="0.2">
      <c r="A296" s="7" t="s">
        <v>310</v>
      </c>
      <c r="B296" s="8">
        <v>6</v>
      </c>
      <c r="C296" s="8">
        <v>35.5</v>
      </c>
      <c r="D296" s="8">
        <v>2</v>
      </c>
      <c r="E296" s="8">
        <v>5.2</v>
      </c>
      <c r="F296" s="42">
        <f t="shared" si="21"/>
        <v>5.916666666666667</v>
      </c>
      <c r="G296" s="42">
        <f t="shared" si="22"/>
        <v>2.6</v>
      </c>
      <c r="H296" s="42">
        <f t="shared" si="23"/>
        <v>-3.3166666666666669</v>
      </c>
    </row>
    <row r="297" spans="1:8" hidden="1" x14ac:dyDescent="0.2">
      <c r="A297" s="7" t="s">
        <v>352</v>
      </c>
      <c r="B297" s="8">
        <v>3</v>
      </c>
      <c r="C297" s="8">
        <v>32</v>
      </c>
      <c r="D297" s="8">
        <v>7</v>
      </c>
      <c r="E297" s="8">
        <v>50</v>
      </c>
      <c r="F297" s="42">
        <f t="shared" si="21"/>
        <v>10.666666666666666</v>
      </c>
      <c r="G297" s="42">
        <f t="shared" si="22"/>
        <v>7.1428571428571432</v>
      </c>
      <c r="H297" s="42">
        <f t="shared" si="23"/>
        <v>-3.5238095238095228</v>
      </c>
    </row>
    <row r="298" spans="1:8" hidden="1" x14ac:dyDescent="0.2">
      <c r="A298" s="7" t="s">
        <v>245</v>
      </c>
      <c r="B298" s="8">
        <v>5</v>
      </c>
      <c r="C298" s="8">
        <v>19.000000000000004</v>
      </c>
      <c r="D298" s="8">
        <v>9</v>
      </c>
      <c r="E298" s="8">
        <v>73.8</v>
      </c>
      <c r="F298" s="42">
        <f t="shared" si="21"/>
        <v>3.8000000000000007</v>
      </c>
      <c r="G298" s="42">
        <f t="shared" si="22"/>
        <v>8.1999999999999993</v>
      </c>
      <c r="H298" s="42">
        <f t="shared" si="23"/>
        <v>4.3999999999999986</v>
      </c>
    </row>
    <row r="299" spans="1:8" hidden="1" x14ac:dyDescent="0.2">
      <c r="A299" s="7" t="s">
        <v>339</v>
      </c>
      <c r="B299" s="8">
        <v>8</v>
      </c>
      <c r="C299" s="8">
        <v>78</v>
      </c>
      <c r="D299" s="8">
        <v>10</v>
      </c>
      <c r="E299" s="8">
        <v>81</v>
      </c>
      <c r="F299" s="42">
        <f t="shared" si="21"/>
        <v>9.75</v>
      </c>
      <c r="G299" s="42">
        <f t="shared" si="22"/>
        <v>8.1</v>
      </c>
      <c r="H299" s="42">
        <f t="shared" si="23"/>
        <v>-1.6500000000000004</v>
      </c>
    </row>
    <row r="300" spans="1:8" hidden="1" x14ac:dyDescent="0.2">
      <c r="A300" s="7" t="s">
        <v>321</v>
      </c>
      <c r="B300" s="8">
        <v>3</v>
      </c>
      <c r="C300" s="8">
        <v>18.2</v>
      </c>
      <c r="D300" s="8">
        <v>3</v>
      </c>
      <c r="E300" s="8">
        <v>7.2</v>
      </c>
      <c r="F300" s="42">
        <f t="shared" si="21"/>
        <v>6.0666666666666664</v>
      </c>
      <c r="G300" s="42">
        <f t="shared" si="22"/>
        <v>2.4</v>
      </c>
      <c r="H300" s="42">
        <f t="shared" si="23"/>
        <v>-3.6666666666666665</v>
      </c>
    </row>
    <row r="301" spans="1:8" hidden="1" x14ac:dyDescent="0.2">
      <c r="A301" s="7" t="s">
        <v>257</v>
      </c>
      <c r="B301" s="8">
        <v>13</v>
      </c>
      <c r="C301" s="8">
        <v>102</v>
      </c>
      <c r="D301" s="8">
        <v>8</v>
      </c>
      <c r="E301" s="8">
        <v>63.699999999999989</v>
      </c>
      <c r="F301" s="42">
        <f t="shared" si="21"/>
        <v>7.8461538461538458</v>
      </c>
      <c r="G301" s="42">
        <f t="shared" si="22"/>
        <v>7.9624999999999986</v>
      </c>
      <c r="H301" s="42">
        <f t="shared" si="23"/>
        <v>0.11634615384615277</v>
      </c>
    </row>
    <row r="302" spans="1:8" hidden="1" x14ac:dyDescent="0.2">
      <c r="A302" s="7" t="s">
        <v>358</v>
      </c>
      <c r="B302" s="8">
        <v>4</v>
      </c>
      <c r="C302" s="8">
        <v>38</v>
      </c>
      <c r="D302" s="8">
        <v>9</v>
      </c>
      <c r="E302" s="8">
        <v>51</v>
      </c>
      <c r="F302" s="42">
        <f t="shared" si="21"/>
        <v>9.5</v>
      </c>
      <c r="G302" s="42">
        <f t="shared" si="22"/>
        <v>5.666666666666667</v>
      </c>
      <c r="H302" s="42">
        <f t="shared" si="23"/>
        <v>-3.833333333333333</v>
      </c>
    </row>
    <row r="303" spans="1:8" hidden="1" x14ac:dyDescent="0.2">
      <c r="A303" s="7" t="s">
        <v>197</v>
      </c>
      <c r="B303" s="8">
        <v>14</v>
      </c>
      <c r="C303" s="8">
        <v>231.3</v>
      </c>
      <c r="D303" s="8">
        <v>9</v>
      </c>
      <c r="E303" s="8">
        <v>71</v>
      </c>
      <c r="F303" s="42">
        <f t="shared" si="21"/>
        <v>16.521428571428572</v>
      </c>
      <c r="G303" s="42">
        <f t="shared" si="22"/>
        <v>7.8888888888888893</v>
      </c>
      <c r="H303" s="42">
        <f t="shared" si="23"/>
        <v>-8.632539682539683</v>
      </c>
    </row>
    <row r="304" spans="1:8" hidden="1" x14ac:dyDescent="0.2">
      <c r="A304" s="7" t="s">
        <v>165</v>
      </c>
      <c r="B304" s="8">
        <v>14</v>
      </c>
      <c r="C304" s="8">
        <v>100.5</v>
      </c>
      <c r="D304" s="8">
        <v>10</v>
      </c>
      <c r="E304" s="8">
        <v>78.5</v>
      </c>
      <c r="F304" s="42">
        <f t="shared" si="21"/>
        <v>7.1785714285714288</v>
      </c>
      <c r="G304" s="42">
        <f t="shared" si="22"/>
        <v>7.85</v>
      </c>
      <c r="H304" s="42">
        <f t="shared" si="23"/>
        <v>0.67142857142857082</v>
      </c>
    </row>
    <row r="305" spans="1:8" hidden="1" x14ac:dyDescent="0.2">
      <c r="A305" s="7" t="s">
        <v>305</v>
      </c>
      <c r="B305" s="8">
        <v>9</v>
      </c>
      <c r="C305" s="8">
        <v>110.1</v>
      </c>
      <c r="D305" s="8">
        <v>7</v>
      </c>
      <c r="E305" s="8">
        <v>54.9</v>
      </c>
      <c r="F305" s="42">
        <f t="shared" si="21"/>
        <v>12.233333333333333</v>
      </c>
      <c r="G305" s="42">
        <f t="shared" si="22"/>
        <v>7.8428571428571425</v>
      </c>
      <c r="H305" s="42">
        <f t="shared" si="23"/>
        <v>-4.39047619047619</v>
      </c>
    </row>
    <row r="306" spans="1:8" hidden="1" x14ac:dyDescent="0.2">
      <c r="A306" s="7" t="s">
        <v>235</v>
      </c>
      <c r="B306" s="8">
        <v>14</v>
      </c>
      <c r="C306" s="8">
        <v>185.60000000000002</v>
      </c>
      <c r="D306" s="8">
        <v>7</v>
      </c>
      <c r="E306" s="8">
        <v>54.2</v>
      </c>
      <c r="F306" s="42">
        <f t="shared" si="21"/>
        <v>13.257142857142858</v>
      </c>
      <c r="G306" s="42">
        <f t="shared" si="22"/>
        <v>7.7428571428571429</v>
      </c>
      <c r="H306" s="42">
        <f t="shared" si="23"/>
        <v>-5.5142857142857151</v>
      </c>
    </row>
    <row r="307" spans="1:8" hidden="1" x14ac:dyDescent="0.2">
      <c r="A307" s="7" t="s">
        <v>238</v>
      </c>
      <c r="B307" s="8">
        <v>4</v>
      </c>
      <c r="C307" s="8">
        <v>29</v>
      </c>
      <c r="D307" s="8">
        <v>5</v>
      </c>
      <c r="E307" s="8">
        <v>15</v>
      </c>
      <c r="F307" s="42">
        <f t="shared" si="21"/>
        <v>7.25</v>
      </c>
      <c r="G307" s="42">
        <f t="shared" si="22"/>
        <v>3</v>
      </c>
      <c r="H307" s="42">
        <f t="shared" si="23"/>
        <v>-4.25</v>
      </c>
    </row>
    <row r="308" spans="1:8" hidden="1" x14ac:dyDescent="0.2">
      <c r="A308" s="7" t="s">
        <v>307</v>
      </c>
      <c r="B308" s="8">
        <v>2</v>
      </c>
      <c r="C308" s="8">
        <v>28</v>
      </c>
      <c r="D308" s="8">
        <v>8</v>
      </c>
      <c r="E308" s="8">
        <v>78</v>
      </c>
      <c r="F308" s="42">
        <f t="shared" si="21"/>
        <v>14</v>
      </c>
      <c r="G308" s="42">
        <f t="shared" si="22"/>
        <v>9.75</v>
      </c>
      <c r="H308" s="42">
        <f t="shared" si="23"/>
        <v>-4.25</v>
      </c>
    </row>
    <row r="309" spans="1:8" hidden="1" x14ac:dyDescent="0.2">
      <c r="A309" s="7" t="s">
        <v>320</v>
      </c>
      <c r="B309" s="8">
        <v>2</v>
      </c>
      <c r="C309" s="8">
        <v>12.4</v>
      </c>
      <c r="D309" s="8">
        <v>1</v>
      </c>
      <c r="E309" s="8">
        <v>1.9</v>
      </c>
      <c r="F309" s="42">
        <f t="shared" si="21"/>
        <v>6.2</v>
      </c>
      <c r="G309" s="42">
        <f t="shared" si="22"/>
        <v>1.9</v>
      </c>
      <c r="H309" s="42">
        <f t="shared" si="23"/>
        <v>-4.3000000000000007</v>
      </c>
    </row>
    <row r="310" spans="1:8" hidden="1" x14ac:dyDescent="0.2">
      <c r="A310" s="7" t="s">
        <v>363</v>
      </c>
      <c r="B310" s="8">
        <v>2</v>
      </c>
      <c r="C310" s="8">
        <v>25</v>
      </c>
      <c r="D310" s="8">
        <v>7</v>
      </c>
      <c r="E310" s="8">
        <v>57.2</v>
      </c>
      <c r="F310" s="42">
        <f t="shared" si="21"/>
        <v>12.5</v>
      </c>
      <c r="G310" s="42">
        <f t="shared" si="22"/>
        <v>8.1714285714285726</v>
      </c>
      <c r="H310" s="42">
        <f t="shared" si="23"/>
        <v>-4.3285714285714274</v>
      </c>
    </row>
    <row r="311" spans="1:8" hidden="1" x14ac:dyDescent="0.2">
      <c r="A311" s="7" t="s">
        <v>152</v>
      </c>
      <c r="B311" s="8">
        <v>13</v>
      </c>
      <c r="C311" s="8">
        <v>190</v>
      </c>
      <c r="D311" s="8">
        <v>5</v>
      </c>
      <c r="E311" s="8">
        <v>38.6</v>
      </c>
      <c r="F311" s="42">
        <f t="shared" si="21"/>
        <v>14.615384615384615</v>
      </c>
      <c r="G311" s="42">
        <f t="shared" si="22"/>
        <v>7.7200000000000006</v>
      </c>
      <c r="H311" s="42">
        <f t="shared" si="23"/>
        <v>-6.8953846153846143</v>
      </c>
    </row>
    <row r="312" spans="1:8" hidden="1" x14ac:dyDescent="0.2">
      <c r="A312" s="7" t="s">
        <v>191</v>
      </c>
      <c r="B312" s="8">
        <v>10</v>
      </c>
      <c r="C312" s="8">
        <v>76</v>
      </c>
      <c r="D312" s="8">
        <v>6</v>
      </c>
      <c r="E312" s="8">
        <v>45.8</v>
      </c>
      <c r="F312" s="42">
        <f t="shared" si="21"/>
        <v>7.6</v>
      </c>
      <c r="G312" s="42">
        <f t="shared" si="22"/>
        <v>7.6333333333333329</v>
      </c>
      <c r="H312" s="42">
        <f t="shared" si="23"/>
        <v>3.3333333333333215E-2</v>
      </c>
    </row>
    <row r="313" spans="1:8" hidden="1" x14ac:dyDescent="0.2">
      <c r="A313" s="7" t="s">
        <v>287</v>
      </c>
      <c r="B313" s="8">
        <v>8</v>
      </c>
      <c r="C313" s="8">
        <v>50</v>
      </c>
      <c r="D313" s="8">
        <v>5</v>
      </c>
      <c r="E313" s="8">
        <v>38</v>
      </c>
      <c r="F313" s="42">
        <f t="shared" si="21"/>
        <v>6.25</v>
      </c>
      <c r="G313" s="42">
        <f t="shared" si="22"/>
        <v>7.6</v>
      </c>
      <c r="H313" s="42">
        <f t="shared" si="23"/>
        <v>1.3499999999999996</v>
      </c>
    </row>
    <row r="314" spans="1:8" hidden="1" x14ac:dyDescent="0.2">
      <c r="A314" s="7" t="s">
        <v>214</v>
      </c>
      <c r="B314" s="8">
        <v>11</v>
      </c>
      <c r="C314" s="8">
        <v>95</v>
      </c>
      <c r="D314" s="8">
        <v>11</v>
      </c>
      <c r="E314" s="8">
        <v>79</v>
      </c>
      <c r="F314" s="42">
        <f t="shared" si="21"/>
        <v>8.6363636363636367</v>
      </c>
      <c r="G314" s="42">
        <f t="shared" si="22"/>
        <v>7.1818181818181817</v>
      </c>
      <c r="H314" s="42">
        <f t="shared" si="23"/>
        <v>-1.454545454545455</v>
      </c>
    </row>
    <row r="315" spans="1:8" hidden="1" x14ac:dyDescent="0.2">
      <c r="A315" s="7" t="s">
        <v>317</v>
      </c>
      <c r="B315" s="8">
        <v>7</v>
      </c>
      <c r="C315" s="8">
        <v>54.2</v>
      </c>
      <c r="D315" s="8">
        <v>10</v>
      </c>
      <c r="E315" s="8">
        <v>69.5</v>
      </c>
      <c r="F315" s="42">
        <f t="shared" si="21"/>
        <v>7.7428571428571429</v>
      </c>
      <c r="G315" s="42">
        <f t="shared" si="22"/>
        <v>6.95</v>
      </c>
      <c r="H315" s="42">
        <f t="shared" si="23"/>
        <v>-0.7928571428571427</v>
      </c>
    </row>
    <row r="316" spans="1:8" hidden="1" x14ac:dyDescent="0.2">
      <c r="A316" s="7" t="s">
        <v>348</v>
      </c>
      <c r="B316" s="8">
        <v>7</v>
      </c>
      <c r="C316" s="8">
        <v>68.3</v>
      </c>
      <c r="D316" s="8">
        <v>4</v>
      </c>
      <c r="E316" s="8">
        <v>20.6</v>
      </c>
      <c r="F316" s="42">
        <f t="shared" ref="F316:F338" si="24">C316/B316</f>
        <v>9.7571428571428562</v>
      </c>
      <c r="G316" s="42">
        <f t="shared" ref="G316:G338" si="25">E316/D316</f>
        <v>5.15</v>
      </c>
      <c r="H316" s="42">
        <f t="shared" ref="H316:H338" si="26">G316-F316</f>
        <v>-4.6071428571428559</v>
      </c>
    </row>
    <row r="317" spans="1:8" hidden="1" x14ac:dyDescent="0.2">
      <c r="A317" s="7" t="s">
        <v>326</v>
      </c>
      <c r="B317" s="8">
        <v>6</v>
      </c>
      <c r="C317" s="8">
        <v>57</v>
      </c>
      <c r="D317" s="8">
        <v>11</v>
      </c>
      <c r="E317" s="8">
        <v>74</v>
      </c>
      <c r="F317" s="42">
        <f t="shared" si="24"/>
        <v>9.5</v>
      </c>
      <c r="G317" s="42">
        <f t="shared" si="25"/>
        <v>6.7272727272727275</v>
      </c>
      <c r="H317" s="42">
        <f t="shared" si="26"/>
        <v>-2.7727272727272725</v>
      </c>
    </row>
    <row r="318" spans="1:8" hidden="1" x14ac:dyDescent="0.2">
      <c r="A318" s="7" t="s">
        <v>149</v>
      </c>
      <c r="B318" s="8">
        <v>14</v>
      </c>
      <c r="C318" s="8">
        <v>203.9</v>
      </c>
      <c r="D318" s="8">
        <v>3</v>
      </c>
      <c r="E318" s="8">
        <v>29.3</v>
      </c>
      <c r="F318" s="42">
        <f t="shared" si="24"/>
        <v>14.564285714285715</v>
      </c>
      <c r="G318" s="42">
        <f t="shared" si="25"/>
        <v>9.7666666666666675</v>
      </c>
      <c r="H318" s="42">
        <f t="shared" si="26"/>
        <v>-4.7976190476190474</v>
      </c>
    </row>
    <row r="319" spans="1:8" hidden="1" x14ac:dyDescent="0.2">
      <c r="A319" s="7" t="s">
        <v>183</v>
      </c>
      <c r="B319" s="8">
        <v>12</v>
      </c>
      <c r="C319" s="8">
        <v>76</v>
      </c>
      <c r="D319" s="8">
        <v>15</v>
      </c>
      <c r="E319" s="8">
        <v>97</v>
      </c>
      <c r="F319" s="42">
        <f t="shared" si="24"/>
        <v>6.333333333333333</v>
      </c>
      <c r="G319" s="42">
        <f t="shared" si="25"/>
        <v>6.4666666666666668</v>
      </c>
      <c r="H319" s="42">
        <f t="shared" si="26"/>
        <v>0.13333333333333375</v>
      </c>
    </row>
    <row r="320" spans="1:8" hidden="1" x14ac:dyDescent="0.2">
      <c r="A320" s="7" t="s">
        <v>311</v>
      </c>
      <c r="B320" s="8">
        <v>2</v>
      </c>
      <c r="C320" s="8">
        <v>39.64</v>
      </c>
      <c r="D320" s="8">
        <v>2</v>
      </c>
      <c r="E320" s="8">
        <v>29.900000000000002</v>
      </c>
      <c r="F320" s="42">
        <f t="shared" si="24"/>
        <v>19.82</v>
      </c>
      <c r="G320" s="42">
        <f t="shared" si="25"/>
        <v>14.950000000000001</v>
      </c>
      <c r="H320" s="42">
        <f t="shared" si="26"/>
        <v>-4.8699999999999992</v>
      </c>
    </row>
    <row r="321" spans="1:8" hidden="1" x14ac:dyDescent="0.2">
      <c r="A321" s="7" t="s">
        <v>132</v>
      </c>
      <c r="B321" s="8">
        <v>11</v>
      </c>
      <c r="C321" s="8">
        <v>119.1</v>
      </c>
      <c r="D321" s="8">
        <v>1</v>
      </c>
      <c r="E321" s="8">
        <v>5.6</v>
      </c>
      <c r="F321" s="42">
        <f t="shared" si="24"/>
        <v>10.827272727272726</v>
      </c>
      <c r="G321" s="42">
        <f t="shared" si="25"/>
        <v>5.6</v>
      </c>
      <c r="H321" s="42">
        <f t="shared" si="26"/>
        <v>-5.2272727272727266</v>
      </c>
    </row>
    <row r="322" spans="1:8" hidden="1" x14ac:dyDescent="0.2">
      <c r="A322" s="7" t="s">
        <v>283</v>
      </c>
      <c r="B322" s="8">
        <v>7</v>
      </c>
      <c r="C322" s="8">
        <v>59.5</v>
      </c>
      <c r="D322" s="8">
        <v>11</v>
      </c>
      <c r="E322" s="8">
        <v>69.7</v>
      </c>
      <c r="F322" s="42">
        <f t="shared" si="24"/>
        <v>8.5</v>
      </c>
      <c r="G322" s="42">
        <f t="shared" si="25"/>
        <v>6.3363636363636369</v>
      </c>
      <c r="H322" s="42">
        <f t="shared" si="26"/>
        <v>-2.1636363636363631</v>
      </c>
    </row>
    <row r="323" spans="1:8" hidden="1" x14ac:dyDescent="0.2">
      <c r="A323" s="7" t="s">
        <v>164</v>
      </c>
      <c r="B323" s="8">
        <v>4</v>
      </c>
      <c r="C323" s="8">
        <v>40.9</v>
      </c>
      <c r="D323" s="8">
        <v>2</v>
      </c>
      <c r="E323" s="8">
        <v>9.6</v>
      </c>
      <c r="F323" s="42">
        <f t="shared" si="24"/>
        <v>10.225</v>
      </c>
      <c r="G323" s="42">
        <f t="shared" si="25"/>
        <v>4.8</v>
      </c>
      <c r="H323" s="42">
        <f t="shared" si="26"/>
        <v>-5.4249999999999998</v>
      </c>
    </row>
    <row r="324" spans="1:8" hidden="1" x14ac:dyDescent="0.2">
      <c r="A324" s="7" t="s">
        <v>243</v>
      </c>
      <c r="B324" s="8">
        <v>6</v>
      </c>
      <c r="C324" s="8">
        <v>59.6</v>
      </c>
      <c r="D324" s="8">
        <v>6</v>
      </c>
      <c r="E324" s="8">
        <v>37</v>
      </c>
      <c r="F324" s="42">
        <f t="shared" si="24"/>
        <v>9.9333333333333336</v>
      </c>
      <c r="G324" s="42">
        <f t="shared" si="25"/>
        <v>6.166666666666667</v>
      </c>
      <c r="H324" s="42">
        <f t="shared" si="26"/>
        <v>-3.7666666666666666</v>
      </c>
    </row>
    <row r="325" spans="1:8" hidden="1" x14ac:dyDescent="0.2">
      <c r="A325" s="7" t="s">
        <v>227</v>
      </c>
      <c r="B325" s="8">
        <v>6</v>
      </c>
      <c r="C325" s="8">
        <v>45.999999999999993</v>
      </c>
      <c r="D325" s="8">
        <v>6</v>
      </c>
      <c r="E325" s="8">
        <v>36.5</v>
      </c>
      <c r="F325" s="42">
        <f t="shared" si="24"/>
        <v>7.6666666666666652</v>
      </c>
      <c r="G325" s="42">
        <f t="shared" si="25"/>
        <v>6.083333333333333</v>
      </c>
      <c r="H325" s="42">
        <f t="shared" si="26"/>
        <v>-1.5833333333333321</v>
      </c>
    </row>
    <row r="326" spans="1:8" hidden="1" x14ac:dyDescent="0.2">
      <c r="A326" s="7" t="s">
        <v>234</v>
      </c>
      <c r="B326" s="8">
        <v>9</v>
      </c>
      <c r="C326" s="8">
        <v>80.2</v>
      </c>
      <c r="D326" s="8">
        <v>5</v>
      </c>
      <c r="E326" s="8">
        <v>30.4</v>
      </c>
      <c r="F326" s="42">
        <f t="shared" si="24"/>
        <v>8.9111111111111114</v>
      </c>
      <c r="G326" s="42">
        <f t="shared" si="25"/>
        <v>6.08</v>
      </c>
      <c r="H326" s="42">
        <f t="shared" si="26"/>
        <v>-2.8311111111111114</v>
      </c>
    </row>
    <row r="327" spans="1:8" hidden="1" x14ac:dyDescent="0.2">
      <c r="A327" s="7" t="s">
        <v>204</v>
      </c>
      <c r="B327" s="8">
        <v>12</v>
      </c>
      <c r="C327" s="8">
        <v>141.5</v>
      </c>
      <c r="D327" s="8">
        <v>6</v>
      </c>
      <c r="E327" s="8">
        <v>35.200000000000003</v>
      </c>
      <c r="F327" s="42">
        <f t="shared" si="24"/>
        <v>11.791666666666666</v>
      </c>
      <c r="G327" s="42">
        <f t="shared" si="25"/>
        <v>5.8666666666666671</v>
      </c>
      <c r="H327" s="42">
        <f t="shared" si="26"/>
        <v>-5.9249999999999989</v>
      </c>
    </row>
    <row r="328" spans="1:8" hidden="1" x14ac:dyDescent="0.2">
      <c r="A328" s="7" t="s">
        <v>328</v>
      </c>
      <c r="B328" s="8">
        <v>9</v>
      </c>
      <c r="C328" s="8">
        <v>102.7</v>
      </c>
      <c r="D328" s="8">
        <v>4</v>
      </c>
      <c r="E328" s="8">
        <v>21.1</v>
      </c>
      <c r="F328" s="42">
        <f t="shared" si="24"/>
        <v>11.411111111111111</v>
      </c>
      <c r="G328" s="42">
        <f t="shared" si="25"/>
        <v>5.2750000000000004</v>
      </c>
      <c r="H328" s="42">
        <f t="shared" si="26"/>
        <v>-6.1361111111111111</v>
      </c>
    </row>
    <row r="329" spans="1:8" hidden="1" x14ac:dyDescent="0.2">
      <c r="A329" s="7" t="s">
        <v>170</v>
      </c>
      <c r="B329" s="8">
        <v>9</v>
      </c>
      <c r="C329" s="8">
        <v>100.30000000000001</v>
      </c>
      <c r="D329" s="8">
        <v>4</v>
      </c>
      <c r="E329" s="8">
        <v>19.8</v>
      </c>
      <c r="F329" s="42">
        <f t="shared" si="24"/>
        <v>11.144444444444446</v>
      </c>
      <c r="G329" s="42">
        <f t="shared" si="25"/>
        <v>4.95</v>
      </c>
      <c r="H329" s="42">
        <f t="shared" si="26"/>
        <v>-6.1944444444444455</v>
      </c>
    </row>
    <row r="330" spans="1:8" hidden="1" x14ac:dyDescent="0.2">
      <c r="A330" s="7" t="s">
        <v>206</v>
      </c>
      <c r="B330" s="8">
        <v>7</v>
      </c>
      <c r="C330" s="8">
        <v>112.8</v>
      </c>
      <c r="D330" s="8">
        <v>3</v>
      </c>
      <c r="E330" s="8">
        <v>29.3</v>
      </c>
      <c r="F330" s="42">
        <f t="shared" si="24"/>
        <v>16.114285714285714</v>
      </c>
      <c r="G330" s="42">
        <f t="shared" si="25"/>
        <v>9.7666666666666675</v>
      </c>
      <c r="H330" s="42">
        <f t="shared" si="26"/>
        <v>-6.3476190476190464</v>
      </c>
    </row>
    <row r="331" spans="1:8" hidden="1" x14ac:dyDescent="0.2">
      <c r="A331" s="7" t="s">
        <v>247</v>
      </c>
      <c r="B331" s="8">
        <v>7</v>
      </c>
      <c r="C331" s="8">
        <v>116.02000000000001</v>
      </c>
      <c r="D331" s="8">
        <v>1</v>
      </c>
      <c r="E331" s="8">
        <v>9.7799999999999994</v>
      </c>
      <c r="F331" s="42">
        <f t="shared" si="24"/>
        <v>16.574285714285715</v>
      </c>
      <c r="G331" s="42">
        <f t="shared" si="25"/>
        <v>9.7799999999999994</v>
      </c>
      <c r="H331" s="42">
        <f t="shared" si="26"/>
        <v>-6.7942857142857154</v>
      </c>
    </row>
    <row r="332" spans="1:8" hidden="1" x14ac:dyDescent="0.2">
      <c r="A332" s="7" t="s">
        <v>354</v>
      </c>
      <c r="B332" s="8">
        <v>5</v>
      </c>
      <c r="C332" s="8">
        <v>63</v>
      </c>
      <c r="D332" s="8">
        <v>9</v>
      </c>
      <c r="E332" s="8">
        <v>52</v>
      </c>
      <c r="F332" s="42">
        <f t="shared" si="24"/>
        <v>12.6</v>
      </c>
      <c r="G332" s="42">
        <f t="shared" si="25"/>
        <v>5.7777777777777777</v>
      </c>
      <c r="H332" s="42">
        <f t="shared" si="26"/>
        <v>-6.822222222222222</v>
      </c>
    </row>
    <row r="333" spans="1:8" hidden="1" x14ac:dyDescent="0.2">
      <c r="A333" s="7" t="s">
        <v>184</v>
      </c>
      <c r="B333" s="8">
        <v>7</v>
      </c>
      <c r="C333" s="8">
        <v>70</v>
      </c>
      <c r="D333" s="8">
        <v>7</v>
      </c>
      <c r="E333" s="8">
        <v>39</v>
      </c>
      <c r="F333" s="42">
        <f t="shared" si="24"/>
        <v>10</v>
      </c>
      <c r="G333" s="42">
        <f t="shared" si="25"/>
        <v>5.5714285714285712</v>
      </c>
      <c r="H333" s="42">
        <f t="shared" si="26"/>
        <v>-4.4285714285714288</v>
      </c>
    </row>
    <row r="334" spans="1:8" hidden="1" x14ac:dyDescent="0.2">
      <c r="A334" s="7" t="s">
        <v>281</v>
      </c>
      <c r="B334" s="8">
        <v>9</v>
      </c>
      <c r="C334" s="8">
        <v>44</v>
      </c>
      <c r="D334" s="8">
        <v>6</v>
      </c>
      <c r="E334" s="8">
        <v>33</v>
      </c>
      <c r="F334" s="42">
        <f t="shared" si="24"/>
        <v>4.8888888888888893</v>
      </c>
      <c r="G334" s="42">
        <f t="shared" si="25"/>
        <v>5.5</v>
      </c>
      <c r="H334" s="42">
        <f t="shared" si="26"/>
        <v>0.61111111111111072</v>
      </c>
    </row>
    <row r="335" spans="1:8" hidden="1" x14ac:dyDescent="0.2">
      <c r="A335" s="7" t="s">
        <v>215</v>
      </c>
      <c r="B335" s="8">
        <v>8</v>
      </c>
      <c r="C335" s="8">
        <v>70</v>
      </c>
      <c r="D335" s="8">
        <v>6</v>
      </c>
      <c r="E335" s="8">
        <v>29</v>
      </c>
      <c r="F335" s="42">
        <f t="shared" si="24"/>
        <v>8.75</v>
      </c>
      <c r="G335" s="42">
        <f t="shared" si="25"/>
        <v>4.833333333333333</v>
      </c>
      <c r="H335" s="42">
        <f t="shared" si="26"/>
        <v>-3.916666666666667</v>
      </c>
    </row>
    <row r="336" spans="1:8" hidden="1" x14ac:dyDescent="0.2">
      <c r="A336" s="7" t="s">
        <v>302</v>
      </c>
      <c r="B336" s="8">
        <v>3</v>
      </c>
      <c r="C336" s="8">
        <v>35</v>
      </c>
      <c r="D336" s="8">
        <v>2</v>
      </c>
      <c r="E336" s="8">
        <v>7</v>
      </c>
      <c r="F336" s="42">
        <f t="shared" si="24"/>
        <v>11.666666666666666</v>
      </c>
      <c r="G336" s="42">
        <f t="shared" si="25"/>
        <v>3.5</v>
      </c>
      <c r="H336" s="42">
        <f t="shared" si="26"/>
        <v>-8.1666666666666661</v>
      </c>
    </row>
    <row r="337" spans="1:8" hidden="1" x14ac:dyDescent="0.2">
      <c r="A337" s="7" t="s">
        <v>196</v>
      </c>
      <c r="B337" s="8">
        <v>10</v>
      </c>
      <c r="C337" s="8">
        <v>91.300000000000011</v>
      </c>
      <c r="D337" s="8">
        <v>8</v>
      </c>
      <c r="E337" s="8">
        <v>35.300000000000004</v>
      </c>
      <c r="F337" s="42">
        <f t="shared" si="24"/>
        <v>9.1300000000000008</v>
      </c>
      <c r="G337" s="42">
        <f t="shared" si="25"/>
        <v>4.4125000000000005</v>
      </c>
      <c r="H337" s="42">
        <f t="shared" si="26"/>
        <v>-4.7175000000000002</v>
      </c>
    </row>
    <row r="338" spans="1:8" hidden="1" x14ac:dyDescent="0.2">
      <c r="A338" s="7" t="s">
        <v>194</v>
      </c>
      <c r="B338" s="8">
        <v>8</v>
      </c>
      <c r="C338" s="8">
        <v>89</v>
      </c>
      <c r="D338" s="8">
        <v>6</v>
      </c>
      <c r="E338" s="8">
        <v>24</v>
      </c>
      <c r="F338" s="42">
        <f t="shared" si="24"/>
        <v>11.125</v>
      </c>
      <c r="G338" s="42">
        <f t="shared" si="25"/>
        <v>4</v>
      </c>
      <c r="H338" s="42">
        <f t="shared" si="26"/>
        <v>-7.125</v>
      </c>
    </row>
    <row r="339" spans="1:8" hidden="1" x14ac:dyDescent="0.2">
      <c r="A339" s="7" t="s">
        <v>336</v>
      </c>
      <c r="B339" s="8">
        <v>5</v>
      </c>
      <c r="C339" s="8">
        <v>56.800000000000004</v>
      </c>
      <c r="D339" s="8">
        <v>1</v>
      </c>
      <c r="E339" s="8">
        <v>2</v>
      </c>
      <c r="F339" s="42">
        <f t="shared" ref="F339:F341" si="27">C339/B339</f>
        <v>11.360000000000001</v>
      </c>
      <c r="G339" s="42">
        <f t="shared" ref="G339:G341" si="28">E339/D339</f>
        <v>2</v>
      </c>
      <c r="H339" s="42">
        <f t="shared" ref="H339:H341" si="29">G339-F339</f>
        <v>-9.3600000000000012</v>
      </c>
    </row>
    <row r="340" spans="1:8" hidden="1" x14ac:dyDescent="0.2">
      <c r="A340" s="7" t="s">
        <v>407</v>
      </c>
      <c r="B340" s="8">
        <v>1</v>
      </c>
      <c r="C340" s="8">
        <v>7</v>
      </c>
      <c r="D340" s="8">
        <v>1</v>
      </c>
      <c r="E340" s="8">
        <v>-6</v>
      </c>
      <c r="F340" s="42">
        <f t="shared" si="27"/>
        <v>7</v>
      </c>
      <c r="G340" s="42">
        <f t="shared" si="28"/>
        <v>-6</v>
      </c>
      <c r="H340" s="42">
        <f t="shared" si="29"/>
        <v>-13</v>
      </c>
    </row>
    <row r="341" spans="1:8" hidden="1" x14ac:dyDescent="0.2">
      <c r="A341" s="7" t="s">
        <v>138</v>
      </c>
      <c r="B341" s="8">
        <v>4</v>
      </c>
      <c r="C341" s="8">
        <v>25</v>
      </c>
      <c r="D341" s="8">
        <v>1</v>
      </c>
      <c r="E341" s="8">
        <v>-10</v>
      </c>
      <c r="F341" s="42">
        <f t="shared" si="27"/>
        <v>6.25</v>
      </c>
      <c r="G341" s="42">
        <f t="shared" si="28"/>
        <v>-10</v>
      </c>
      <c r="H341" s="42">
        <f t="shared" si="29"/>
        <v>-16.25</v>
      </c>
    </row>
  </sheetData>
  <autoFilter ref="A2:H341" xr:uid="{86A1D83D-3B3D-6747-8B72-D4095D4F8C57}">
    <filterColumn colId="0">
      <filters>
        <filter val="Brian Thomas Jr"/>
      </filters>
    </filterColumn>
    <filterColumn colId="1">
      <filters blank="1">
        <filter val="10"/>
        <filter val="11"/>
        <filter val="12"/>
        <filter val="13"/>
        <filter val="14"/>
        <filter val="15"/>
        <filter val="16"/>
        <filter val="5"/>
        <filter val="6"/>
        <filter val="7"/>
        <filter val="8"/>
        <filter val="9"/>
      </filters>
    </filterColumn>
    <filterColumn colId="3">
      <filters blank="1">
        <filter val="10"/>
        <filter val="11"/>
        <filter val="12"/>
        <filter val="13"/>
        <filter val="14"/>
        <filter val="15"/>
        <filter val="5"/>
        <filter val="6"/>
        <filter val="7"/>
        <filter val="8"/>
        <filter val="9"/>
      </filters>
    </filterColumn>
    <filterColumn colId="7">
      <filters>
        <filter val="-0.1"/>
        <filter val="-0.2"/>
        <filter val="-0.4"/>
        <filter val="-0.5"/>
        <filter val="-0.6"/>
        <filter val="-0.8"/>
        <filter val="-1.2"/>
        <filter val="-1.5"/>
        <filter val="-1.6"/>
        <filter val="-1.7"/>
        <filter val="-1.8"/>
        <filter val="-1.9"/>
        <filter val="-2.0"/>
        <filter val="-2.1"/>
        <filter val="-2.2"/>
        <filter val="-2.3"/>
        <filter val="-2.7"/>
        <filter val="-2.8"/>
        <filter val="-2.9"/>
        <filter val="-3.1"/>
        <filter val="-3.2"/>
        <filter val="-3.3"/>
        <filter val="-3.6"/>
        <filter val="-3.8"/>
        <filter val="-3.9"/>
        <filter val="-4.1"/>
        <filter val="-4.3"/>
        <filter val="-4.4"/>
        <filter val="-4.7"/>
        <filter val="-4.8"/>
        <filter val="-5.4"/>
        <filter val="-5.5"/>
        <filter val="-5.6"/>
        <filter val="-5.9"/>
        <filter val="-6.1"/>
        <filter val="-6.8"/>
        <filter val="-6.9"/>
        <filter val="-7.1"/>
        <filter val="-7.2"/>
        <filter val="-8.3"/>
        <filter val="-8.6"/>
        <filter val="0.0"/>
        <filter val="0.1"/>
        <filter val="0.2"/>
        <filter val="0.3"/>
        <filter val="0.5"/>
        <filter val="0.6"/>
        <filter val="0.7"/>
        <filter val="0.9"/>
        <filter val="1.0"/>
        <filter val="1.1"/>
        <filter val="1.3"/>
        <filter val="1.4"/>
        <filter val="1.7"/>
        <filter val="1.9"/>
        <filter val="13.5"/>
        <filter val="2.1"/>
        <filter val="2.3"/>
        <filter val="2.5"/>
        <filter val="2.8"/>
        <filter val="3.1"/>
        <filter val="3.3"/>
        <filter val="3.7"/>
        <filter val="3.8"/>
        <filter val="4.0"/>
        <filter val="4.2"/>
        <filter val="4.4"/>
        <filter val="4.8"/>
        <filter val="5.0"/>
        <filter val="5.2"/>
        <filter val="5.4"/>
        <filter val="5.6"/>
        <filter val="5.7"/>
        <filter val="6.3"/>
        <filter val="6.5"/>
        <filter val="6.9"/>
        <filter val="7.2"/>
        <filter val="8.1"/>
        <filter val="8.9"/>
      </filters>
    </filterColumn>
    <sortState xmlns:xlrd2="http://schemas.microsoft.com/office/spreadsheetml/2017/richdata2" ref="A156:H338">
      <sortCondition descending="1" ref="G2:G341"/>
    </sortState>
  </autoFilter>
  <conditionalFormatting sqref="H3:H34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169"/>
  <sheetViews>
    <sheetView workbookViewId="0">
      <selection activeCell="H188" sqref="H188"/>
    </sheetView>
  </sheetViews>
  <sheetFormatPr baseColWidth="10" defaultRowHeight="16" x14ac:dyDescent="0.2"/>
  <cols>
    <col min="1" max="1" width="29.1640625" customWidth="1"/>
    <col min="2" max="2" width="14.6640625" customWidth="1"/>
    <col min="4" max="5" width="12.5" customWidth="1"/>
    <col min="6" max="6" width="14.83203125" hidden="1" customWidth="1"/>
    <col min="7" max="7" width="14.33203125" style="225" customWidth="1"/>
  </cols>
  <sheetData>
    <row r="1" spans="1:7" x14ac:dyDescent="0.2">
      <c r="A1" s="3" t="s">
        <v>78</v>
      </c>
      <c r="B1" s="3" t="s">
        <v>79</v>
      </c>
      <c r="C1" s="3" t="s">
        <v>0</v>
      </c>
      <c r="D1" s="3" t="s">
        <v>80</v>
      </c>
      <c r="E1" s="3" t="s">
        <v>81</v>
      </c>
      <c r="F1" s="3" t="s">
        <v>82</v>
      </c>
      <c r="G1" s="248" t="s">
        <v>83</v>
      </c>
    </row>
    <row r="2" spans="1:7" hidden="1" x14ac:dyDescent="0.2">
      <c r="A2" t="s">
        <v>84</v>
      </c>
      <c r="B2" t="s">
        <v>29</v>
      </c>
      <c r="C2">
        <v>2019</v>
      </c>
      <c r="D2" s="4">
        <v>1644.92</v>
      </c>
      <c r="E2" s="4">
        <v>117.49428571428599</v>
      </c>
      <c r="F2" s="4">
        <v>100.79619047619001</v>
      </c>
      <c r="G2" s="225">
        <f t="shared" ref="G2:G33" si="0">E2-F2</f>
        <v>16.698095238095988</v>
      </c>
    </row>
    <row r="3" spans="1:7" hidden="1" x14ac:dyDescent="0.2">
      <c r="A3" t="s">
        <v>85</v>
      </c>
      <c r="B3" t="s">
        <v>49</v>
      </c>
      <c r="C3">
        <v>2015</v>
      </c>
      <c r="D3" s="4">
        <v>1581.34</v>
      </c>
      <c r="E3" s="4">
        <v>112.952857142857</v>
      </c>
      <c r="F3" s="4">
        <v>96.668095238095205</v>
      </c>
      <c r="G3" s="225">
        <f t="shared" si="0"/>
        <v>16.284761904761794</v>
      </c>
    </row>
    <row r="4" spans="1:7" hidden="1" x14ac:dyDescent="0.2">
      <c r="A4" t="s">
        <v>42</v>
      </c>
      <c r="B4" t="s">
        <v>17</v>
      </c>
      <c r="C4">
        <v>2023</v>
      </c>
      <c r="D4" s="4">
        <v>1917.56</v>
      </c>
      <c r="E4" s="4">
        <v>127.83733333333301</v>
      </c>
      <c r="F4" s="4">
        <v>113.04411111111099</v>
      </c>
      <c r="G4" s="225">
        <f t="shared" si="0"/>
        <v>14.793222222222013</v>
      </c>
    </row>
    <row r="5" spans="1:7" hidden="1" x14ac:dyDescent="0.2">
      <c r="A5" t="s">
        <v>86</v>
      </c>
      <c r="B5" t="s">
        <v>32</v>
      </c>
      <c r="C5">
        <v>2015</v>
      </c>
      <c r="D5" s="4">
        <v>1526.7</v>
      </c>
      <c r="E5" s="4">
        <v>109.05</v>
      </c>
      <c r="F5" s="4">
        <v>96.668095238095205</v>
      </c>
      <c r="G5" s="225">
        <f t="shared" si="0"/>
        <v>12.381904761904792</v>
      </c>
    </row>
    <row r="6" spans="1:7" hidden="1" x14ac:dyDescent="0.2">
      <c r="A6" t="s">
        <v>26</v>
      </c>
      <c r="B6" t="s">
        <v>28</v>
      </c>
      <c r="C6">
        <v>2022</v>
      </c>
      <c r="D6" s="4">
        <v>1828.24</v>
      </c>
      <c r="E6" s="4">
        <v>121.88266666666701</v>
      </c>
      <c r="F6" s="4">
        <v>110.820888888889</v>
      </c>
      <c r="G6" s="225">
        <f t="shared" si="0"/>
        <v>11.061777777778005</v>
      </c>
    </row>
    <row r="7" spans="1:7" hidden="1" x14ac:dyDescent="0.2">
      <c r="A7" t="s">
        <v>18</v>
      </c>
      <c r="B7" t="s">
        <v>20</v>
      </c>
      <c r="C7">
        <v>2020</v>
      </c>
      <c r="D7" s="4">
        <v>1566.84</v>
      </c>
      <c r="E7" s="4">
        <v>111.91714285714301</v>
      </c>
      <c r="F7" s="4">
        <v>100.901666666667</v>
      </c>
      <c r="G7" s="225">
        <f t="shared" si="0"/>
        <v>11.015476190476008</v>
      </c>
    </row>
    <row r="8" spans="1:7" hidden="1" x14ac:dyDescent="0.2">
      <c r="A8" t="s">
        <v>35</v>
      </c>
      <c r="B8" t="s">
        <v>37</v>
      </c>
      <c r="C8">
        <v>2021</v>
      </c>
      <c r="D8" s="4">
        <v>1849.94</v>
      </c>
      <c r="E8" s="4">
        <v>123.329333333333</v>
      </c>
      <c r="F8" s="4">
        <v>112.813666666667</v>
      </c>
      <c r="G8" s="225">
        <f t="shared" si="0"/>
        <v>10.515666666665993</v>
      </c>
    </row>
    <row r="9" spans="1:7" hidden="1" x14ac:dyDescent="0.2">
      <c r="A9" t="s">
        <v>60</v>
      </c>
      <c r="B9" t="s">
        <v>45</v>
      </c>
      <c r="C9">
        <v>2016</v>
      </c>
      <c r="D9" s="4">
        <v>1471.36</v>
      </c>
      <c r="E9" s="4">
        <v>105.097142857143</v>
      </c>
      <c r="F9" s="4">
        <v>96.001666666666694</v>
      </c>
      <c r="G9" s="225">
        <f t="shared" si="0"/>
        <v>9.0954761904763046</v>
      </c>
    </row>
    <row r="10" spans="1:7" hidden="1" x14ac:dyDescent="0.2">
      <c r="A10" t="s">
        <v>87</v>
      </c>
      <c r="B10" t="s">
        <v>28</v>
      </c>
      <c r="C10">
        <v>2015</v>
      </c>
      <c r="D10" s="4">
        <v>1475.98</v>
      </c>
      <c r="E10" s="4">
        <v>105.427142857143</v>
      </c>
      <c r="F10" s="4">
        <v>96.668095238095205</v>
      </c>
      <c r="G10" s="225">
        <f t="shared" si="0"/>
        <v>8.7590476190477915</v>
      </c>
    </row>
    <row r="11" spans="1:7" hidden="1" x14ac:dyDescent="0.2">
      <c r="A11" t="s">
        <v>88</v>
      </c>
      <c r="B11" t="s">
        <v>32</v>
      </c>
      <c r="C11">
        <v>2019</v>
      </c>
      <c r="D11" s="4">
        <v>1530.22</v>
      </c>
      <c r="E11" s="4">
        <v>109.301428571429</v>
      </c>
      <c r="F11" s="4">
        <v>100.79619047619001</v>
      </c>
      <c r="G11" s="225">
        <f t="shared" si="0"/>
        <v>8.5052380952389939</v>
      </c>
    </row>
    <row r="12" spans="1:7" hidden="1" x14ac:dyDescent="0.2">
      <c r="A12" t="s">
        <v>46</v>
      </c>
      <c r="B12" t="s">
        <v>47</v>
      </c>
      <c r="C12">
        <v>2024</v>
      </c>
      <c r="D12" s="4">
        <v>1807.32</v>
      </c>
      <c r="E12" s="4">
        <v>120.488</v>
      </c>
      <c r="F12" s="4">
        <v>112.72</v>
      </c>
      <c r="G12" s="225">
        <f t="shared" si="0"/>
        <v>7.7680000000000007</v>
      </c>
    </row>
    <row r="13" spans="1:7" hidden="1" x14ac:dyDescent="0.2">
      <c r="A13" t="s">
        <v>22</v>
      </c>
      <c r="B13" t="s">
        <v>24</v>
      </c>
      <c r="C13">
        <v>2022</v>
      </c>
      <c r="D13" s="4">
        <v>1775.78</v>
      </c>
      <c r="E13" s="4">
        <v>118.38533333333299</v>
      </c>
      <c r="F13" s="4">
        <v>110.820888888889</v>
      </c>
      <c r="G13" s="225">
        <f t="shared" si="0"/>
        <v>7.5644444444439927</v>
      </c>
    </row>
    <row r="14" spans="1:7" hidden="1" x14ac:dyDescent="0.2">
      <c r="A14" t="s">
        <v>35</v>
      </c>
      <c r="B14" t="s">
        <v>49</v>
      </c>
      <c r="C14">
        <v>2014</v>
      </c>
      <c r="D14" s="4">
        <v>1469.92</v>
      </c>
      <c r="E14" s="4">
        <v>104.99428571428599</v>
      </c>
      <c r="F14" s="4">
        <v>97.623928571428607</v>
      </c>
      <c r="G14" s="225">
        <f t="shared" si="0"/>
        <v>7.3703571428573866</v>
      </c>
    </row>
    <row r="15" spans="1:7" hidden="1" x14ac:dyDescent="0.2">
      <c r="A15" t="s">
        <v>22</v>
      </c>
      <c r="B15" t="s">
        <v>24</v>
      </c>
      <c r="C15">
        <v>2018</v>
      </c>
      <c r="D15" s="4">
        <v>1521.02</v>
      </c>
      <c r="E15" s="4">
        <v>108.644285714286</v>
      </c>
      <c r="F15" s="4">
        <v>101.292023809524</v>
      </c>
      <c r="G15" s="225">
        <f t="shared" si="0"/>
        <v>7.3522619047620026</v>
      </c>
    </row>
    <row r="16" spans="1:7" x14ac:dyDescent="0.2">
      <c r="A16" t="s">
        <v>77</v>
      </c>
      <c r="B16" t="s">
        <v>45</v>
      </c>
      <c r="C16">
        <v>2025</v>
      </c>
      <c r="D16" s="4">
        <v>1678.9</v>
      </c>
      <c r="E16" s="4">
        <f>D16/14</f>
        <v>119.92142857142858</v>
      </c>
      <c r="F16" s="4">
        <v>112.61</v>
      </c>
      <c r="G16" s="225">
        <f t="shared" si="0"/>
        <v>7.3114285714285785</v>
      </c>
    </row>
    <row r="17" spans="1:7" hidden="1" x14ac:dyDescent="0.2">
      <c r="A17" t="s">
        <v>89</v>
      </c>
      <c r="C17">
        <v>2012</v>
      </c>
      <c r="D17" s="4">
        <v>1471.12</v>
      </c>
      <c r="E17" s="4">
        <v>105.08</v>
      </c>
      <c r="F17" s="4">
        <v>97.773452380952406</v>
      </c>
      <c r="G17" s="225">
        <f t="shared" si="0"/>
        <v>7.306547619047592</v>
      </c>
    </row>
    <row r="18" spans="1:7" x14ac:dyDescent="0.2">
      <c r="A18" t="s">
        <v>26</v>
      </c>
      <c r="B18" t="s">
        <v>28</v>
      </c>
      <c r="C18">
        <v>2025</v>
      </c>
      <c r="D18" s="4">
        <v>1675.06</v>
      </c>
      <c r="E18" s="4">
        <f>D18/14</f>
        <v>119.64714285714285</v>
      </c>
      <c r="F18" s="4">
        <v>112.61</v>
      </c>
      <c r="G18" s="225">
        <f t="shared" si="0"/>
        <v>7.0371428571428538</v>
      </c>
    </row>
    <row r="19" spans="1:7" hidden="1" x14ac:dyDescent="0.2">
      <c r="A19" t="s">
        <v>23</v>
      </c>
      <c r="B19" t="s">
        <v>25</v>
      </c>
      <c r="C19">
        <v>2022</v>
      </c>
      <c r="D19" s="4">
        <v>1765.44</v>
      </c>
      <c r="E19" s="4">
        <v>117.696</v>
      </c>
      <c r="F19" s="4">
        <v>110.820888888889</v>
      </c>
      <c r="G19" s="225">
        <f t="shared" si="0"/>
        <v>6.8751111111109964</v>
      </c>
    </row>
    <row r="20" spans="1:7" hidden="1" x14ac:dyDescent="0.2">
      <c r="A20" t="s">
        <v>14</v>
      </c>
      <c r="B20" t="s">
        <v>16</v>
      </c>
      <c r="C20">
        <v>2020</v>
      </c>
      <c r="D20" s="4">
        <v>1506.26</v>
      </c>
      <c r="E20" s="4">
        <v>107.59</v>
      </c>
      <c r="F20" s="4">
        <v>100.901666666667</v>
      </c>
      <c r="G20" s="225">
        <f t="shared" si="0"/>
        <v>6.6883333333330057</v>
      </c>
    </row>
    <row r="21" spans="1:7" hidden="1" x14ac:dyDescent="0.2">
      <c r="A21" t="s">
        <v>90</v>
      </c>
      <c r="B21" t="s">
        <v>29</v>
      </c>
      <c r="C21">
        <v>2016</v>
      </c>
      <c r="D21" s="4">
        <v>1436.66</v>
      </c>
      <c r="E21" s="4">
        <v>102.618571428571</v>
      </c>
      <c r="F21" s="4">
        <v>96.001666666666694</v>
      </c>
      <c r="G21" s="225">
        <f t="shared" si="0"/>
        <v>6.6169047619043084</v>
      </c>
    </row>
    <row r="22" spans="1:7" hidden="1" x14ac:dyDescent="0.2">
      <c r="A22" t="s">
        <v>91</v>
      </c>
      <c r="B22" t="s">
        <v>28</v>
      </c>
      <c r="C22">
        <v>2017</v>
      </c>
      <c r="D22" s="4">
        <v>1399.98</v>
      </c>
      <c r="E22" s="4">
        <v>99.998571428571395</v>
      </c>
      <c r="F22" s="4">
        <v>93.398690476190495</v>
      </c>
      <c r="G22" s="225">
        <f t="shared" si="0"/>
        <v>6.5998809523809001</v>
      </c>
    </row>
    <row r="23" spans="1:7" hidden="1" x14ac:dyDescent="0.2">
      <c r="A23" t="s">
        <v>92</v>
      </c>
      <c r="B23" t="s">
        <v>93</v>
      </c>
      <c r="C23">
        <v>2012</v>
      </c>
      <c r="D23" s="4">
        <v>1460.78</v>
      </c>
      <c r="E23" s="4">
        <v>104.34142857142901</v>
      </c>
      <c r="F23" s="4">
        <v>97.773452380952406</v>
      </c>
      <c r="G23" s="225">
        <f t="shared" si="0"/>
        <v>6.5679761904765996</v>
      </c>
    </row>
    <row r="24" spans="1:7" hidden="1" x14ac:dyDescent="0.2">
      <c r="A24" t="s">
        <v>15</v>
      </c>
      <c r="B24" t="s">
        <v>17</v>
      </c>
      <c r="C24">
        <v>2021</v>
      </c>
      <c r="D24" s="4">
        <v>1789.34</v>
      </c>
      <c r="E24" s="4">
        <v>119.289333333333</v>
      </c>
      <c r="F24" s="4">
        <v>112.813666666667</v>
      </c>
      <c r="G24" s="225">
        <f t="shared" si="0"/>
        <v>6.475666666666001</v>
      </c>
    </row>
    <row r="25" spans="1:7" hidden="1" x14ac:dyDescent="0.2">
      <c r="A25" t="s">
        <v>19</v>
      </c>
      <c r="B25" t="s">
        <v>21</v>
      </c>
      <c r="C25">
        <v>2014</v>
      </c>
      <c r="D25" s="4">
        <v>1456.04</v>
      </c>
      <c r="E25" s="4">
        <v>104.002857142857</v>
      </c>
      <c r="F25" s="4">
        <v>97.623928571428607</v>
      </c>
      <c r="G25" s="225">
        <f t="shared" si="0"/>
        <v>6.3789285714283892</v>
      </c>
    </row>
    <row r="26" spans="1:7" hidden="1" x14ac:dyDescent="0.2">
      <c r="A26" t="s">
        <v>57</v>
      </c>
      <c r="B26" t="s">
        <v>17</v>
      </c>
      <c r="C26">
        <v>2016</v>
      </c>
      <c r="D26" s="4">
        <v>1431.66</v>
      </c>
      <c r="E26" s="4">
        <v>102.26142857142899</v>
      </c>
      <c r="F26" s="4">
        <v>96.001666666666694</v>
      </c>
      <c r="G26" s="225">
        <f t="shared" si="0"/>
        <v>6.2597619047622999</v>
      </c>
    </row>
    <row r="27" spans="1:7" hidden="1" x14ac:dyDescent="0.2">
      <c r="A27" t="s">
        <v>60</v>
      </c>
      <c r="B27" t="s">
        <v>45</v>
      </c>
      <c r="C27">
        <v>2017</v>
      </c>
      <c r="D27" s="4">
        <v>1394.28</v>
      </c>
      <c r="E27" s="4">
        <v>99.591428571428594</v>
      </c>
      <c r="F27" s="4">
        <v>93.398690476190495</v>
      </c>
      <c r="G27" s="225">
        <f t="shared" si="0"/>
        <v>6.1927380952380986</v>
      </c>
    </row>
    <row r="28" spans="1:7" hidden="1" x14ac:dyDescent="0.2">
      <c r="A28" t="s">
        <v>18</v>
      </c>
      <c r="B28" t="s">
        <v>20</v>
      </c>
      <c r="C28">
        <v>2018</v>
      </c>
      <c r="D28" s="4">
        <v>1502.94</v>
      </c>
      <c r="E28" s="4">
        <v>107.352857142857</v>
      </c>
      <c r="F28" s="4">
        <v>101.292023809524</v>
      </c>
      <c r="G28" s="225">
        <f t="shared" si="0"/>
        <v>6.060833333333008</v>
      </c>
    </row>
    <row r="29" spans="1:7" hidden="1" x14ac:dyDescent="0.2">
      <c r="A29" t="s">
        <v>23</v>
      </c>
      <c r="B29" t="s">
        <v>25</v>
      </c>
      <c r="C29">
        <v>2013</v>
      </c>
      <c r="D29" s="4">
        <v>1475.2</v>
      </c>
      <c r="E29" s="4">
        <v>105.37142857142901</v>
      </c>
      <c r="F29" s="4">
        <v>99.434642857142904</v>
      </c>
      <c r="G29" s="225">
        <f t="shared" si="0"/>
        <v>5.9367857142861027</v>
      </c>
    </row>
    <row r="30" spans="1:7" hidden="1" x14ac:dyDescent="0.2">
      <c r="A30" t="s">
        <v>94</v>
      </c>
      <c r="B30" t="s">
        <v>93</v>
      </c>
      <c r="C30">
        <v>2013</v>
      </c>
      <c r="D30" s="4">
        <v>1475.14</v>
      </c>
      <c r="E30" s="4">
        <v>105.36714285714299</v>
      </c>
      <c r="F30" s="4">
        <v>99.434642857142904</v>
      </c>
      <c r="G30" s="225">
        <f t="shared" si="0"/>
        <v>5.9325000000000898</v>
      </c>
    </row>
    <row r="31" spans="1:7" hidden="1" x14ac:dyDescent="0.2">
      <c r="A31" t="s">
        <v>57</v>
      </c>
      <c r="B31" t="s">
        <v>17</v>
      </c>
      <c r="C31">
        <v>2014</v>
      </c>
      <c r="D31" s="4">
        <v>1449.06</v>
      </c>
      <c r="E31" s="4">
        <v>103.504285714286</v>
      </c>
      <c r="F31" s="4">
        <v>97.623928571428607</v>
      </c>
      <c r="G31" s="225">
        <f t="shared" si="0"/>
        <v>5.8803571428573918</v>
      </c>
    </row>
    <row r="32" spans="1:7" hidden="1" x14ac:dyDescent="0.2">
      <c r="A32" t="s">
        <v>95</v>
      </c>
      <c r="C32">
        <v>2019</v>
      </c>
      <c r="D32" s="4">
        <v>1492.56</v>
      </c>
      <c r="E32" s="4">
        <v>106.611428571429</v>
      </c>
      <c r="F32" s="4">
        <v>100.79619047619001</v>
      </c>
      <c r="G32" s="225">
        <f t="shared" si="0"/>
        <v>5.8152380952389962</v>
      </c>
    </row>
    <row r="33" spans="1:7" hidden="1" x14ac:dyDescent="0.2">
      <c r="A33" t="s">
        <v>22</v>
      </c>
      <c r="B33" t="s">
        <v>24</v>
      </c>
      <c r="C33">
        <v>2017</v>
      </c>
      <c r="D33" s="4">
        <v>1387</v>
      </c>
      <c r="E33" s="4">
        <v>99.071428571428598</v>
      </c>
      <c r="F33" s="4">
        <v>93.398690476190495</v>
      </c>
      <c r="G33" s="225">
        <f t="shared" si="0"/>
        <v>5.6727380952381026</v>
      </c>
    </row>
    <row r="34" spans="1:7" hidden="1" x14ac:dyDescent="0.2">
      <c r="A34" t="s">
        <v>23</v>
      </c>
      <c r="B34" t="s">
        <v>25</v>
      </c>
      <c r="C34">
        <v>2015</v>
      </c>
      <c r="D34" s="4">
        <v>1431.2</v>
      </c>
      <c r="E34" s="4">
        <v>102.228571428571</v>
      </c>
      <c r="F34" s="4">
        <v>96.668095238095205</v>
      </c>
      <c r="G34" s="225">
        <f t="shared" ref="G34:G65" si="1">E34-F34</f>
        <v>5.5604761904757964</v>
      </c>
    </row>
    <row r="35" spans="1:7" hidden="1" x14ac:dyDescent="0.2">
      <c r="A35" t="s">
        <v>76</v>
      </c>
      <c r="B35" t="s">
        <v>32</v>
      </c>
      <c r="C35">
        <v>2024</v>
      </c>
      <c r="D35" s="4">
        <v>1774.16</v>
      </c>
      <c r="E35" s="4">
        <v>118.27733333333335</v>
      </c>
      <c r="F35" s="4">
        <v>112.72</v>
      </c>
      <c r="G35" s="225">
        <f t="shared" si="1"/>
        <v>5.5573333333333466</v>
      </c>
    </row>
    <row r="36" spans="1:7" hidden="1" x14ac:dyDescent="0.2">
      <c r="A36" t="s">
        <v>73</v>
      </c>
      <c r="B36" t="s">
        <v>21</v>
      </c>
      <c r="C36">
        <v>2024</v>
      </c>
      <c r="D36" s="4">
        <v>1772.16</v>
      </c>
      <c r="E36" s="4">
        <v>118.14400000000001</v>
      </c>
      <c r="F36" s="4">
        <v>112.72</v>
      </c>
      <c r="G36" s="225">
        <f t="shared" si="1"/>
        <v>5.4240000000000066</v>
      </c>
    </row>
    <row r="37" spans="1:7" hidden="1" x14ac:dyDescent="0.2">
      <c r="A37" t="s">
        <v>31</v>
      </c>
      <c r="B37" t="s">
        <v>33</v>
      </c>
      <c r="C37">
        <v>2021</v>
      </c>
      <c r="D37" s="4">
        <v>1772.56</v>
      </c>
      <c r="E37" s="4">
        <v>118.170666666667</v>
      </c>
      <c r="F37" s="4">
        <v>112.813666666667</v>
      </c>
      <c r="G37" s="225">
        <f t="shared" si="1"/>
        <v>5.3569999999999993</v>
      </c>
    </row>
    <row r="38" spans="1:7" hidden="1" x14ac:dyDescent="0.2">
      <c r="A38" t="s">
        <v>96</v>
      </c>
      <c r="B38" t="s">
        <v>97</v>
      </c>
      <c r="C38">
        <v>2012</v>
      </c>
      <c r="D38" s="4">
        <v>1442.54</v>
      </c>
      <c r="E38" s="4">
        <v>103.038571428571</v>
      </c>
      <c r="F38" s="4">
        <v>97.773452380952406</v>
      </c>
      <c r="G38" s="225">
        <f t="shared" si="1"/>
        <v>5.2651190476185974</v>
      </c>
    </row>
    <row r="39" spans="1:7" hidden="1" x14ac:dyDescent="0.2">
      <c r="A39" t="s">
        <v>59</v>
      </c>
      <c r="B39" t="s">
        <v>32</v>
      </c>
      <c r="C39">
        <v>2016</v>
      </c>
      <c r="D39" s="4">
        <v>1416.32</v>
      </c>
      <c r="E39" s="4">
        <v>101.165714285714</v>
      </c>
      <c r="F39" s="4">
        <v>96.001666666666694</v>
      </c>
      <c r="G39" s="225">
        <f t="shared" si="1"/>
        <v>5.1640476190473095</v>
      </c>
    </row>
    <row r="40" spans="1:7" hidden="1" x14ac:dyDescent="0.2">
      <c r="A40" t="s">
        <v>98</v>
      </c>
      <c r="B40" t="s">
        <v>36</v>
      </c>
      <c r="C40">
        <v>2014</v>
      </c>
      <c r="D40" s="4">
        <v>1435.98</v>
      </c>
      <c r="E40" s="4">
        <v>102.57</v>
      </c>
      <c r="F40" s="4">
        <v>97.623928571428607</v>
      </c>
      <c r="G40" s="225">
        <f t="shared" si="1"/>
        <v>4.9460714285713863</v>
      </c>
    </row>
    <row r="41" spans="1:7" hidden="1" x14ac:dyDescent="0.2">
      <c r="A41" t="s">
        <v>19</v>
      </c>
      <c r="B41" t="s">
        <v>21</v>
      </c>
      <c r="C41">
        <v>2017</v>
      </c>
      <c r="D41" s="4">
        <v>1373.4</v>
      </c>
      <c r="E41" s="4">
        <v>98.1</v>
      </c>
      <c r="F41" s="4">
        <v>93.398690476190495</v>
      </c>
      <c r="G41" s="225">
        <f t="shared" si="1"/>
        <v>4.7013095238094991</v>
      </c>
    </row>
    <row r="42" spans="1:7" hidden="1" x14ac:dyDescent="0.2">
      <c r="A42" t="s">
        <v>65</v>
      </c>
      <c r="B42" t="s">
        <v>16</v>
      </c>
      <c r="C42">
        <v>2014</v>
      </c>
      <c r="D42" s="4">
        <v>1429.26</v>
      </c>
      <c r="E42" s="4">
        <v>102.09</v>
      </c>
      <c r="F42" s="4">
        <v>97.623928571428607</v>
      </c>
      <c r="G42" s="225">
        <f t="shared" si="1"/>
        <v>4.4660714285713965</v>
      </c>
    </row>
    <row r="43" spans="1:7" hidden="1" x14ac:dyDescent="0.2">
      <c r="A43" t="s">
        <v>23</v>
      </c>
      <c r="B43" t="s">
        <v>25</v>
      </c>
      <c r="C43">
        <v>2012</v>
      </c>
      <c r="D43" s="4">
        <v>1430.92</v>
      </c>
      <c r="E43" s="4">
        <v>102.20857142857101</v>
      </c>
      <c r="F43" s="4">
        <v>97.773452380952406</v>
      </c>
      <c r="G43" s="225">
        <f t="shared" si="1"/>
        <v>4.4351190476185991</v>
      </c>
    </row>
    <row r="44" spans="1:7" x14ac:dyDescent="0.2">
      <c r="A44" t="s">
        <v>525</v>
      </c>
      <c r="B44" t="s">
        <v>36</v>
      </c>
      <c r="C44">
        <v>2025</v>
      </c>
      <c r="D44" s="4">
        <v>1638.46</v>
      </c>
      <c r="E44" s="4">
        <f>D44/14</f>
        <v>117.03285714285714</v>
      </c>
      <c r="F44" s="4">
        <v>112.61</v>
      </c>
      <c r="G44" s="225">
        <f t="shared" si="1"/>
        <v>4.4228571428571399</v>
      </c>
    </row>
    <row r="45" spans="1:7" hidden="1" x14ac:dyDescent="0.2">
      <c r="A45" t="s">
        <v>99</v>
      </c>
      <c r="C45">
        <v>2012</v>
      </c>
      <c r="D45" s="4">
        <v>1429.92</v>
      </c>
      <c r="E45" s="4">
        <v>102.137142857143</v>
      </c>
      <c r="F45" s="4">
        <v>97.773452380952406</v>
      </c>
      <c r="G45" s="225">
        <f t="shared" si="1"/>
        <v>4.3636904761905981</v>
      </c>
    </row>
    <row r="46" spans="1:7" hidden="1" x14ac:dyDescent="0.2">
      <c r="A46" t="s">
        <v>100</v>
      </c>
      <c r="B46" t="s">
        <v>32</v>
      </c>
      <c r="C46">
        <v>2018</v>
      </c>
      <c r="D46" s="4">
        <v>1477.24</v>
      </c>
      <c r="E46" s="4">
        <v>105.517142857143</v>
      </c>
      <c r="F46" s="4">
        <v>101.292023809524</v>
      </c>
      <c r="G46" s="225">
        <f t="shared" si="1"/>
        <v>4.2251190476190033</v>
      </c>
    </row>
    <row r="47" spans="1:7" hidden="1" x14ac:dyDescent="0.2">
      <c r="A47" t="s">
        <v>101</v>
      </c>
      <c r="B47" t="s">
        <v>29</v>
      </c>
      <c r="C47">
        <v>2012</v>
      </c>
      <c r="D47" s="4">
        <v>1427.64</v>
      </c>
      <c r="E47" s="4">
        <v>101.974285714286</v>
      </c>
      <c r="F47" s="4">
        <v>97.773452380952406</v>
      </c>
      <c r="G47" s="225">
        <f t="shared" si="1"/>
        <v>4.2008333333335912</v>
      </c>
    </row>
    <row r="48" spans="1:7" x14ac:dyDescent="0.2">
      <c r="A48" t="s">
        <v>526</v>
      </c>
      <c r="B48" t="s">
        <v>32</v>
      </c>
      <c r="C48">
        <v>2025</v>
      </c>
      <c r="D48" s="4">
        <v>1627.48</v>
      </c>
      <c r="E48" s="4">
        <f>D48/14</f>
        <v>116.24857142857142</v>
      </c>
      <c r="F48" s="4">
        <v>112.61</v>
      </c>
      <c r="G48" s="225">
        <f t="shared" si="1"/>
        <v>3.6385714285714243</v>
      </c>
    </row>
    <row r="49" spans="1:7" hidden="1" x14ac:dyDescent="0.2">
      <c r="A49" t="s">
        <v>23</v>
      </c>
      <c r="B49" t="s">
        <v>25</v>
      </c>
      <c r="C49">
        <v>2021</v>
      </c>
      <c r="D49" s="4">
        <v>1746.48</v>
      </c>
      <c r="E49" s="4">
        <v>116.432</v>
      </c>
      <c r="F49" s="4">
        <v>112.813666666667</v>
      </c>
      <c r="G49" s="225">
        <f t="shared" si="1"/>
        <v>3.6183333333329983</v>
      </c>
    </row>
    <row r="50" spans="1:7" hidden="1" x14ac:dyDescent="0.2">
      <c r="A50" t="s">
        <v>102</v>
      </c>
      <c r="C50">
        <v>2013</v>
      </c>
      <c r="D50" s="4">
        <v>1441.78</v>
      </c>
      <c r="E50" s="4">
        <v>102.984285714286</v>
      </c>
      <c r="F50" s="4">
        <v>99.434642857142904</v>
      </c>
      <c r="G50" s="225">
        <f t="shared" si="1"/>
        <v>3.5496428571430982</v>
      </c>
    </row>
    <row r="51" spans="1:7" hidden="1" x14ac:dyDescent="0.2">
      <c r="A51" t="s">
        <v>23</v>
      </c>
      <c r="B51" t="s">
        <v>25</v>
      </c>
      <c r="C51">
        <v>2020</v>
      </c>
      <c r="D51" s="4">
        <v>1461.2</v>
      </c>
      <c r="E51" s="4">
        <v>104.37142857142901</v>
      </c>
      <c r="F51" s="4">
        <v>100.901666666667</v>
      </c>
      <c r="G51" s="225">
        <f t="shared" si="1"/>
        <v>3.4697619047620094</v>
      </c>
    </row>
    <row r="52" spans="1:7" hidden="1" x14ac:dyDescent="0.2">
      <c r="A52" t="s">
        <v>74</v>
      </c>
      <c r="B52" t="s">
        <v>29</v>
      </c>
      <c r="C52">
        <v>2024</v>
      </c>
      <c r="D52" s="4">
        <v>1740.1</v>
      </c>
      <c r="E52" s="4">
        <v>116.00666666666666</v>
      </c>
      <c r="F52" s="4">
        <v>112.72</v>
      </c>
      <c r="G52" s="225">
        <f t="shared" si="1"/>
        <v>3.2866666666666617</v>
      </c>
    </row>
    <row r="53" spans="1:7" hidden="1" x14ac:dyDescent="0.2">
      <c r="A53" t="s">
        <v>121</v>
      </c>
      <c r="B53" t="s">
        <v>36</v>
      </c>
      <c r="C53">
        <v>2024</v>
      </c>
      <c r="D53" s="4">
        <v>1740</v>
      </c>
      <c r="E53" s="4">
        <v>116</v>
      </c>
      <c r="F53" s="4">
        <v>112.72</v>
      </c>
      <c r="G53" s="225">
        <f t="shared" si="1"/>
        <v>3.2800000000000011</v>
      </c>
    </row>
    <row r="54" spans="1:7" hidden="1" x14ac:dyDescent="0.2">
      <c r="A54" t="s">
        <v>31</v>
      </c>
      <c r="B54" t="s">
        <v>33</v>
      </c>
      <c r="C54">
        <v>2016</v>
      </c>
      <c r="D54" s="4">
        <v>1389.86</v>
      </c>
      <c r="E54" s="4">
        <v>99.275714285714301</v>
      </c>
      <c r="F54" s="4">
        <v>96.001666666666694</v>
      </c>
      <c r="G54" s="225">
        <f t="shared" si="1"/>
        <v>3.2740476190476073</v>
      </c>
    </row>
    <row r="55" spans="1:7" hidden="1" x14ac:dyDescent="0.2">
      <c r="A55" t="s">
        <v>22</v>
      </c>
      <c r="B55" t="s">
        <v>24</v>
      </c>
      <c r="C55">
        <v>2019</v>
      </c>
      <c r="D55" s="4">
        <v>1454.56</v>
      </c>
      <c r="E55" s="4">
        <v>103.897142857143</v>
      </c>
      <c r="F55" s="4">
        <v>100.79619047619001</v>
      </c>
      <c r="G55" s="225">
        <f t="shared" si="1"/>
        <v>3.1009523809529895</v>
      </c>
    </row>
    <row r="56" spans="1:7" hidden="1" x14ac:dyDescent="0.2">
      <c r="A56" t="s">
        <v>103</v>
      </c>
      <c r="B56" t="s">
        <v>16</v>
      </c>
      <c r="C56">
        <v>2016</v>
      </c>
      <c r="D56" s="4">
        <v>1382.32</v>
      </c>
      <c r="E56" s="4">
        <v>98.737142857142899</v>
      </c>
      <c r="F56" s="4">
        <v>96.001666666666694</v>
      </c>
      <c r="G56" s="225">
        <f t="shared" si="1"/>
        <v>2.7354761904762057</v>
      </c>
    </row>
    <row r="57" spans="1:7" hidden="1" x14ac:dyDescent="0.2">
      <c r="A57" t="s">
        <v>71</v>
      </c>
      <c r="C57">
        <v>2012</v>
      </c>
      <c r="D57" s="4">
        <v>1406.88</v>
      </c>
      <c r="E57" s="4">
        <v>100.491428571429</v>
      </c>
      <c r="F57" s="4">
        <v>97.773452380952406</v>
      </c>
      <c r="G57" s="225">
        <f t="shared" si="1"/>
        <v>2.7179761904765911</v>
      </c>
    </row>
    <row r="58" spans="1:7" hidden="1" x14ac:dyDescent="0.2">
      <c r="A58" t="s">
        <v>104</v>
      </c>
      <c r="B58" t="s">
        <v>16</v>
      </c>
      <c r="C58">
        <v>2017</v>
      </c>
      <c r="D58" s="4">
        <v>1345.32</v>
      </c>
      <c r="E58" s="4">
        <v>96.094285714285704</v>
      </c>
      <c r="F58" s="4">
        <v>93.398690476190495</v>
      </c>
      <c r="G58" s="225">
        <f t="shared" si="1"/>
        <v>2.6955952380952084</v>
      </c>
    </row>
    <row r="59" spans="1:7" hidden="1" x14ac:dyDescent="0.2">
      <c r="A59" t="s">
        <v>105</v>
      </c>
      <c r="B59" t="s">
        <v>28</v>
      </c>
      <c r="C59">
        <v>2014</v>
      </c>
      <c r="D59" s="4">
        <v>1402.88</v>
      </c>
      <c r="E59" s="4">
        <v>100.205714285714</v>
      </c>
      <c r="F59" s="4">
        <v>97.623928571428607</v>
      </c>
      <c r="G59" s="225">
        <f t="shared" si="1"/>
        <v>2.5817857142853882</v>
      </c>
    </row>
    <row r="60" spans="1:7" hidden="1" x14ac:dyDescent="0.2">
      <c r="A60" t="s">
        <v>26</v>
      </c>
      <c r="B60" t="s">
        <v>28</v>
      </c>
      <c r="C60">
        <v>2024</v>
      </c>
      <c r="D60" s="4">
        <v>1728.66</v>
      </c>
      <c r="E60" s="4">
        <v>115.244</v>
      </c>
      <c r="F60" s="4">
        <v>112.72</v>
      </c>
      <c r="G60" s="225">
        <f t="shared" si="1"/>
        <v>2.5240000000000009</v>
      </c>
    </row>
    <row r="61" spans="1:7" hidden="1" x14ac:dyDescent="0.2">
      <c r="A61" t="s">
        <v>57</v>
      </c>
      <c r="B61" t="s">
        <v>17</v>
      </c>
      <c r="C61">
        <v>2017</v>
      </c>
      <c r="D61" s="4">
        <v>1341.82</v>
      </c>
      <c r="E61" s="4">
        <v>95.844285714285704</v>
      </c>
      <c r="F61" s="4">
        <v>93.398690476190495</v>
      </c>
      <c r="G61" s="225">
        <f t="shared" si="1"/>
        <v>2.4455952380952084</v>
      </c>
    </row>
    <row r="62" spans="1:7" hidden="1" x14ac:dyDescent="0.2">
      <c r="A62" t="s">
        <v>57</v>
      </c>
      <c r="B62" t="s">
        <v>17</v>
      </c>
      <c r="C62">
        <v>2020</v>
      </c>
      <c r="D62" s="4">
        <v>1445.8</v>
      </c>
      <c r="E62" s="4">
        <v>103.271428571429</v>
      </c>
      <c r="F62" s="4">
        <v>100.901666666667</v>
      </c>
      <c r="G62" s="225">
        <f t="shared" si="1"/>
        <v>2.3697619047620009</v>
      </c>
    </row>
    <row r="63" spans="1:7" x14ac:dyDescent="0.2">
      <c r="A63" t="s">
        <v>524</v>
      </c>
      <c r="B63" t="s">
        <v>21</v>
      </c>
      <c r="C63">
        <v>2025</v>
      </c>
      <c r="D63" s="4">
        <v>1609.44</v>
      </c>
      <c r="E63" s="4">
        <f>D63/14</f>
        <v>114.96000000000001</v>
      </c>
      <c r="F63" s="4">
        <v>112.61</v>
      </c>
      <c r="G63" s="225">
        <f t="shared" si="1"/>
        <v>2.3500000000000085</v>
      </c>
    </row>
    <row r="64" spans="1:7" hidden="1" x14ac:dyDescent="0.2">
      <c r="A64" t="s">
        <v>18</v>
      </c>
      <c r="B64" t="s">
        <v>20</v>
      </c>
      <c r="C64">
        <v>2022</v>
      </c>
      <c r="D64" s="4">
        <v>1695.12</v>
      </c>
      <c r="E64" s="4">
        <v>113.008</v>
      </c>
      <c r="F64" s="4">
        <v>110.820888888889</v>
      </c>
      <c r="G64" s="225">
        <f t="shared" si="1"/>
        <v>2.187111111110994</v>
      </c>
    </row>
    <row r="65" spans="1:7" hidden="1" x14ac:dyDescent="0.2">
      <c r="A65" t="s">
        <v>106</v>
      </c>
      <c r="C65">
        <v>2013</v>
      </c>
      <c r="D65" s="4">
        <v>1421.84</v>
      </c>
      <c r="E65" s="4">
        <v>101.56</v>
      </c>
      <c r="F65" s="4">
        <v>99.434642857142904</v>
      </c>
      <c r="G65" s="225">
        <f t="shared" si="1"/>
        <v>2.1253571428570979</v>
      </c>
    </row>
    <row r="66" spans="1:7" hidden="1" x14ac:dyDescent="0.2">
      <c r="A66" t="s">
        <v>27</v>
      </c>
      <c r="B66" t="s">
        <v>29</v>
      </c>
      <c r="C66">
        <v>2021</v>
      </c>
      <c r="D66" s="4">
        <v>1723.9</v>
      </c>
      <c r="E66" s="4">
        <v>114.926666666667</v>
      </c>
      <c r="F66" s="4">
        <v>112.813666666667</v>
      </c>
      <c r="G66" s="225">
        <f t="shared" ref="G66:G97" si="2">E66-F66</f>
        <v>2.1129999999999995</v>
      </c>
    </row>
    <row r="67" spans="1:7" hidden="1" x14ac:dyDescent="0.2">
      <c r="A67" t="s">
        <v>26</v>
      </c>
      <c r="B67" t="s">
        <v>28</v>
      </c>
      <c r="C67">
        <v>2018</v>
      </c>
      <c r="D67" s="4">
        <v>1446.02</v>
      </c>
      <c r="E67" s="4">
        <v>103.287142857143</v>
      </c>
      <c r="F67" s="4">
        <v>101.292023809524</v>
      </c>
      <c r="G67" s="225">
        <f t="shared" si="2"/>
        <v>1.9951190476189993</v>
      </c>
    </row>
    <row r="68" spans="1:7" hidden="1" x14ac:dyDescent="0.2">
      <c r="A68" t="s">
        <v>107</v>
      </c>
      <c r="C68">
        <v>2015</v>
      </c>
      <c r="D68" s="4">
        <v>1380.7</v>
      </c>
      <c r="E68" s="4">
        <v>98.621428571428595</v>
      </c>
      <c r="F68" s="4">
        <v>96.668095238095205</v>
      </c>
      <c r="G68" s="225">
        <f t="shared" si="2"/>
        <v>1.95333333333339</v>
      </c>
    </row>
    <row r="69" spans="1:7" hidden="1" x14ac:dyDescent="0.2">
      <c r="A69" t="s">
        <v>34</v>
      </c>
      <c r="B69" t="s">
        <v>36</v>
      </c>
      <c r="C69">
        <v>2021</v>
      </c>
      <c r="D69" s="4">
        <v>1720.1</v>
      </c>
      <c r="E69" s="4">
        <v>114.67333333333301</v>
      </c>
      <c r="F69" s="4">
        <v>112.813666666667</v>
      </c>
      <c r="G69" s="225">
        <f t="shared" si="2"/>
        <v>1.8596666666660013</v>
      </c>
    </row>
    <row r="70" spans="1:7" hidden="1" x14ac:dyDescent="0.2">
      <c r="A70" t="s">
        <v>108</v>
      </c>
      <c r="B70" t="s">
        <v>29</v>
      </c>
      <c r="C70">
        <v>2020</v>
      </c>
      <c r="D70" s="4">
        <v>1435.24</v>
      </c>
      <c r="E70" s="4">
        <v>102.517142857143</v>
      </c>
      <c r="F70" s="4">
        <v>100.901666666667</v>
      </c>
      <c r="G70" s="225">
        <f t="shared" si="2"/>
        <v>1.6154761904760022</v>
      </c>
    </row>
    <row r="71" spans="1:7" hidden="1" x14ac:dyDescent="0.2">
      <c r="A71" t="s">
        <v>31</v>
      </c>
      <c r="B71" t="s">
        <v>33</v>
      </c>
      <c r="C71">
        <v>2018</v>
      </c>
      <c r="D71" s="4">
        <v>1440.5</v>
      </c>
      <c r="E71" s="4">
        <v>102.892857142857</v>
      </c>
      <c r="F71" s="4">
        <v>101.292023809524</v>
      </c>
      <c r="G71" s="225">
        <f t="shared" si="2"/>
        <v>1.600833333333</v>
      </c>
    </row>
    <row r="72" spans="1:7" hidden="1" x14ac:dyDescent="0.2">
      <c r="A72" t="s">
        <v>14</v>
      </c>
      <c r="B72" t="s">
        <v>16</v>
      </c>
      <c r="C72">
        <v>2015</v>
      </c>
      <c r="D72" s="4">
        <v>1373.3</v>
      </c>
      <c r="E72" s="4">
        <v>98.092857142857099</v>
      </c>
      <c r="F72" s="4">
        <v>96.668095238095205</v>
      </c>
      <c r="G72" s="225">
        <f t="shared" si="2"/>
        <v>1.424761904761894</v>
      </c>
    </row>
    <row r="73" spans="1:7" hidden="1" x14ac:dyDescent="0.2">
      <c r="A73" t="s">
        <v>26</v>
      </c>
      <c r="B73" t="s">
        <v>28</v>
      </c>
      <c r="C73">
        <v>2023</v>
      </c>
      <c r="D73" s="4">
        <v>1715.12</v>
      </c>
      <c r="E73" s="4">
        <v>114.341333333333</v>
      </c>
      <c r="F73" s="4">
        <v>113.04411111111099</v>
      </c>
      <c r="G73" s="225">
        <f t="shared" si="2"/>
        <v>1.297222222222004</v>
      </c>
    </row>
    <row r="74" spans="1:7" hidden="1" x14ac:dyDescent="0.2">
      <c r="A74" t="s">
        <v>18</v>
      </c>
      <c r="B74" t="s">
        <v>20</v>
      </c>
      <c r="C74">
        <v>2019</v>
      </c>
      <c r="D74" s="4">
        <v>1428.58</v>
      </c>
      <c r="E74" s="4">
        <v>102.04142857142899</v>
      </c>
      <c r="F74" s="4">
        <v>100.79619047619001</v>
      </c>
      <c r="G74" s="225">
        <f t="shared" si="2"/>
        <v>1.2452380952389888</v>
      </c>
    </row>
    <row r="75" spans="1:7" hidden="1" x14ac:dyDescent="0.2">
      <c r="A75" t="s">
        <v>22</v>
      </c>
      <c r="B75" t="s">
        <v>24</v>
      </c>
      <c r="C75">
        <v>2020</v>
      </c>
      <c r="D75" s="4">
        <v>1429.74</v>
      </c>
      <c r="E75" s="4">
        <v>102.124285714286</v>
      </c>
      <c r="F75" s="4">
        <v>100.901666666667</v>
      </c>
      <c r="G75" s="225">
        <f t="shared" si="2"/>
        <v>1.2226190476190055</v>
      </c>
    </row>
    <row r="76" spans="1:7" hidden="1" x14ac:dyDescent="0.2">
      <c r="A76" t="s">
        <v>14</v>
      </c>
      <c r="B76" t="s">
        <v>16</v>
      </c>
      <c r="C76">
        <v>2018</v>
      </c>
      <c r="D76" s="4">
        <v>1433.54</v>
      </c>
      <c r="E76" s="4">
        <v>102.39571428571401</v>
      </c>
      <c r="F76" s="4">
        <v>101.292023809524</v>
      </c>
      <c r="G76" s="225">
        <f t="shared" si="2"/>
        <v>1.1036904761900104</v>
      </c>
    </row>
    <row r="77" spans="1:7" hidden="1" x14ac:dyDescent="0.2">
      <c r="A77" t="s">
        <v>109</v>
      </c>
      <c r="B77" t="s">
        <v>16</v>
      </c>
      <c r="C77">
        <v>2013</v>
      </c>
      <c r="D77" s="4">
        <v>1407.26</v>
      </c>
      <c r="E77" s="4">
        <v>100.51857142857099</v>
      </c>
      <c r="F77" s="4">
        <v>99.434642857142904</v>
      </c>
      <c r="G77" s="225">
        <f t="shared" si="2"/>
        <v>1.0839285714280891</v>
      </c>
    </row>
    <row r="78" spans="1:7" hidden="1" x14ac:dyDescent="0.2">
      <c r="A78" t="s">
        <v>14</v>
      </c>
      <c r="B78" t="s">
        <v>16</v>
      </c>
      <c r="C78">
        <v>2024</v>
      </c>
      <c r="D78" s="4">
        <v>1706.56</v>
      </c>
      <c r="E78" s="4">
        <v>113.77066666666666</v>
      </c>
      <c r="F78" s="4">
        <v>112.72</v>
      </c>
      <c r="G78" s="225">
        <f t="shared" si="2"/>
        <v>1.0506666666666575</v>
      </c>
    </row>
    <row r="79" spans="1:7" hidden="1" x14ac:dyDescent="0.2">
      <c r="A79" t="s">
        <v>52</v>
      </c>
      <c r="B79" t="s">
        <v>32</v>
      </c>
      <c r="C79">
        <v>2023</v>
      </c>
      <c r="D79" s="4">
        <v>1710.36</v>
      </c>
      <c r="E79" s="4">
        <v>114.024</v>
      </c>
      <c r="F79" s="4">
        <v>113.04411111111099</v>
      </c>
      <c r="G79" s="225">
        <f t="shared" si="2"/>
        <v>0.9798888888890076</v>
      </c>
    </row>
    <row r="80" spans="1:7" x14ac:dyDescent="0.2">
      <c r="A80" t="s">
        <v>14</v>
      </c>
      <c r="B80" t="s">
        <v>16</v>
      </c>
      <c r="C80">
        <v>2025</v>
      </c>
      <c r="D80" s="4">
        <v>1589.38</v>
      </c>
      <c r="E80" s="4">
        <f>D80/14</f>
        <v>113.52714285714286</v>
      </c>
      <c r="F80" s="4">
        <v>112.61</v>
      </c>
      <c r="G80" s="225">
        <f t="shared" si="2"/>
        <v>0.91714285714286348</v>
      </c>
    </row>
    <row r="81" spans="1:7" hidden="1" x14ac:dyDescent="0.2">
      <c r="A81" t="s">
        <v>14</v>
      </c>
      <c r="B81" t="s">
        <v>16</v>
      </c>
      <c r="C81">
        <v>2021</v>
      </c>
      <c r="D81" s="4">
        <v>1705.52</v>
      </c>
      <c r="E81" s="4">
        <v>113.701333333333</v>
      </c>
      <c r="F81" s="4">
        <v>112.813666666667</v>
      </c>
      <c r="G81" s="225">
        <f t="shared" si="2"/>
        <v>0.88766666666599292</v>
      </c>
    </row>
    <row r="82" spans="1:7" hidden="1" x14ac:dyDescent="0.2">
      <c r="A82" t="s">
        <v>31</v>
      </c>
      <c r="B82" t="s">
        <v>33</v>
      </c>
      <c r="C82">
        <v>2014</v>
      </c>
      <c r="D82" s="4">
        <v>1377.76</v>
      </c>
      <c r="E82" s="4">
        <v>98.411428571428601</v>
      </c>
      <c r="F82" s="4">
        <v>97.623928571428607</v>
      </c>
      <c r="G82" s="225">
        <f t="shared" si="2"/>
        <v>0.78749999999999432</v>
      </c>
    </row>
    <row r="83" spans="1:7" hidden="1" x14ac:dyDescent="0.2">
      <c r="A83" t="s">
        <v>110</v>
      </c>
      <c r="B83" t="s">
        <v>20</v>
      </c>
      <c r="C83">
        <v>2017</v>
      </c>
      <c r="D83" s="4">
        <v>1316.84</v>
      </c>
      <c r="E83" s="4">
        <v>94.06</v>
      </c>
      <c r="F83" s="4">
        <v>93.398690476190495</v>
      </c>
      <c r="G83" s="225">
        <f t="shared" si="2"/>
        <v>0.66130952380950703</v>
      </c>
    </row>
    <row r="84" spans="1:7" hidden="1" x14ac:dyDescent="0.2">
      <c r="A84" t="s">
        <v>111</v>
      </c>
      <c r="B84" t="s">
        <v>36</v>
      </c>
      <c r="C84">
        <v>2023</v>
      </c>
      <c r="D84" s="4">
        <v>1700.8</v>
      </c>
      <c r="E84" s="4">
        <v>113.386666666667</v>
      </c>
      <c r="F84" s="4">
        <v>113.04411111111099</v>
      </c>
      <c r="G84" s="225">
        <f t="shared" si="2"/>
        <v>0.34255555555600381</v>
      </c>
    </row>
    <row r="85" spans="1:7" hidden="1" x14ac:dyDescent="0.2">
      <c r="A85" t="s">
        <v>67</v>
      </c>
      <c r="C85">
        <v>2013</v>
      </c>
      <c r="D85" s="4">
        <v>1395.8</v>
      </c>
      <c r="E85" s="4">
        <v>99.7</v>
      </c>
      <c r="F85" s="4">
        <v>99.434642857142904</v>
      </c>
      <c r="G85" s="225">
        <f t="shared" si="2"/>
        <v>0.26535714285709844</v>
      </c>
    </row>
    <row r="86" spans="1:7" hidden="1" x14ac:dyDescent="0.2">
      <c r="A86" t="s">
        <v>14</v>
      </c>
      <c r="B86" t="s">
        <v>16</v>
      </c>
      <c r="C86">
        <v>2023</v>
      </c>
      <c r="D86" s="4">
        <v>1697.44</v>
      </c>
      <c r="E86" s="4">
        <v>113.16266666666699</v>
      </c>
      <c r="F86" s="4">
        <v>113.04411111111099</v>
      </c>
      <c r="G86" s="225">
        <f t="shared" si="2"/>
        <v>0.11855555555600006</v>
      </c>
    </row>
    <row r="87" spans="1:7" hidden="1" x14ac:dyDescent="0.2">
      <c r="A87" t="s">
        <v>44</v>
      </c>
      <c r="B87" t="s">
        <v>45</v>
      </c>
      <c r="C87">
        <v>2023</v>
      </c>
      <c r="D87" s="4">
        <v>1695.34</v>
      </c>
      <c r="E87" s="4">
        <v>113.02266666666701</v>
      </c>
      <c r="F87" s="4">
        <v>113.04411111111099</v>
      </c>
      <c r="G87" s="225">
        <f t="shared" si="2"/>
        <v>-2.1444444443986299E-2</v>
      </c>
    </row>
    <row r="88" spans="1:7" hidden="1" x14ac:dyDescent="0.2">
      <c r="A88" t="s">
        <v>40</v>
      </c>
      <c r="B88" t="s">
        <v>29</v>
      </c>
      <c r="C88">
        <v>2022</v>
      </c>
      <c r="D88" s="4">
        <v>1661.06</v>
      </c>
      <c r="E88" s="4">
        <v>110.737333333333</v>
      </c>
      <c r="F88" s="4">
        <v>110.820888888889</v>
      </c>
      <c r="G88" s="225">
        <f t="shared" si="2"/>
        <v>-8.3555555556003469E-2</v>
      </c>
    </row>
    <row r="89" spans="1:7" hidden="1" x14ac:dyDescent="0.2">
      <c r="A89" t="s">
        <v>57</v>
      </c>
      <c r="B89" t="s">
        <v>17</v>
      </c>
      <c r="C89">
        <v>2015</v>
      </c>
      <c r="D89" s="4">
        <v>1351.82</v>
      </c>
      <c r="E89" s="4">
        <v>96.558571428571398</v>
      </c>
      <c r="F89" s="4">
        <v>96.668095238095205</v>
      </c>
      <c r="G89" s="225">
        <f t="shared" si="2"/>
        <v>-0.10952380952380736</v>
      </c>
    </row>
    <row r="90" spans="1:7" hidden="1" x14ac:dyDescent="0.2">
      <c r="A90" t="s">
        <v>112</v>
      </c>
      <c r="B90" t="s">
        <v>36</v>
      </c>
      <c r="C90">
        <v>2019</v>
      </c>
      <c r="D90" s="4">
        <v>1408.34</v>
      </c>
      <c r="E90" s="4">
        <v>100.595714285714</v>
      </c>
      <c r="F90" s="4">
        <v>100.79619047619001</v>
      </c>
      <c r="G90" s="225">
        <f t="shared" si="2"/>
        <v>-0.20047619047601017</v>
      </c>
    </row>
    <row r="91" spans="1:7" hidden="1" x14ac:dyDescent="0.2">
      <c r="A91" t="s">
        <v>26</v>
      </c>
      <c r="B91" t="s">
        <v>28</v>
      </c>
      <c r="C91">
        <v>2020</v>
      </c>
      <c r="D91" s="4">
        <v>1408.32</v>
      </c>
      <c r="E91" s="4">
        <v>100.594285714286</v>
      </c>
      <c r="F91" s="4">
        <v>100.901666666667</v>
      </c>
      <c r="G91" s="225">
        <f t="shared" si="2"/>
        <v>-0.30738095238099561</v>
      </c>
    </row>
    <row r="92" spans="1:7" hidden="1" x14ac:dyDescent="0.2">
      <c r="A92" t="s">
        <v>50</v>
      </c>
      <c r="B92" t="s">
        <v>29</v>
      </c>
      <c r="C92">
        <v>2023</v>
      </c>
      <c r="D92" s="4">
        <v>1690.34</v>
      </c>
      <c r="E92" s="4">
        <v>112.689333333333</v>
      </c>
      <c r="F92" s="4">
        <v>113.04411111111099</v>
      </c>
      <c r="G92" s="225">
        <f t="shared" si="2"/>
        <v>-0.35477777777799702</v>
      </c>
    </row>
    <row r="93" spans="1:7" x14ac:dyDescent="0.2">
      <c r="A93" t="s">
        <v>42</v>
      </c>
      <c r="B93" t="s">
        <v>17</v>
      </c>
      <c r="C93">
        <v>2025</v>
      </c>
      <c r="D93" s="4">
        <v>1569.6</v>
      </c>
      <c r="E93" s="4">
        <f>D93/14</f>
        <v>112.11428571428571</v>
      </c>
      <c r="F93" s="4">
        <v>112.61</v>
      </c>
      <c r="G93" s="225">
        <f t="shared" si="2"/>
        <v>-0.49571428571428555</v>
      </c>
    </row>
    <row r="94" spans="1:7" hidden="1" x14ac:dyDescent="0.2">
      <c r="A94" t="s">
        <v>58</v>
      </c>
      <c r="B94" t="s">
        <v>36</v>
      </c>
      <c r="C94">
        <v>2016</v>
      </c>
      <c r="D94" s="4">
        <v>1336.74</v>
      </c>
      <c r="E94" s="4">
        <v>95.481428571428594</v>
      </c>
      <c r="F94" s="4">
        <v>96.001666666666694</v>
      </c>
      <c r="G94" s="225">
        <f t="shared" si="2"/>
        <v>-0.52023809523809916</v>
      </c>
    </row>
    <row r="95" spans="1:7" hidden="1" x14ac:dyDescent="0.2">
      <c r="A95" t="s">
        <v>101</v>
      </c>
      <c r="B95" t="s">
        <v>29</v>
      </c>
      <c r="C95">
        <v>2013</v>
      </c>
      <c r="D95" s="4">
        <v>1382.42</v>
      </c>
      <c r="E95" s="4">
        <v>98.744285714285695</v>
      </c>
      <c r="F95" s="4">
        <v>99.434642857142904</v>
      </c>
      <c r="G95" s="225">
        <f t="shared" si="2"/>
        <v>-0.69035714285720928</v>
      </c>
    </row>
    <row r="96" spans="1:7" hidden="1" x14ac:dyDescent="0.2">
      <c r="A96" t="s">
        <v>58</v>
      </c>
      <c r="B96" t="s">
        <v>36</v>
      </c>
      <c r="C96">
        <v>2018</v>
      </c>
      <c r="D96" s="4">
        <v>1405.78</v>
      </c>
      <c r="E96" s="4">
        <v>100.41285714285701</v>
      </c>
      <c r="F96" s="4">
        <v>101.292023809524</v>
      </c>
      <c r="G96" s="225">
        <f t="shared" si="2"/>
        <v>-0.87916666666698973</v>
      </c>
    </row>
    <row r="97" spans="1:7" hidden="1" x14ac:dyDescent="0.2">
      <c r="A97" t="s">
        <v>63</v>
      </c>
      <c r="C97">
        <v>2015</v>
      </c>
      <c r="D97" s="4">
        <v>1340.52</v>
      </c>
      <c r="E97" s="4">
        <v>95.751428571428605</v>
      </c>
      <c r="F97" s="4">
        <v>96.668095238095205</v>
      </c>
      <c r="G97" s="225">
        <f t="shared" si="2"/>
        <v>-0.91666666666660035</v>
      </c>
    </row>
    <row r="98" spans="1:7" hidden="1" x14ac:dyDescent="0.2">
      <c r="A98" t="s">
        <v>19</v>
      </c>
      <c r="B98" t="s">
        <v>21</v>
      </c>
      <c r="C98">
        <v>2016</v>
      </c>
      <c r="D98" s="4">
        <v>1329.04</v>
      </c>
      <c r="E98" s="4">
        <v>94.931428571428597</v>
      </c>
      <c r="F98" s="4">
        <v>96.001666666666694</v>
      </c>
      <c r="G98" s="225">
        <f t="shared" ref="G98:G129" si="3">E98-F98</f>
        <v>-1.0702380952380963</v>
      </c>
    </row>
    <row r="99" spans="1:7" hidden="1" x14ac:dyDescent="0.2">
      <c r="A99" t="s">
        <v>31</v>
      </c>
      <c r="B99" t="s">
        <v>33</v>
      </c>
      <c r="C99">
        <v>2020</v>
      </c>
      <c r="D99" s="4">
        <v>1391.06</v>
      </c>
      <c r="E99" s="4">
        <v>99.361428571428604</v>
      </c>
      <c r="F99" s="4">
        <v>100.901666666667</v>
      </c>
      <c r="G99" s="225">
        <f t="shared" si="3"/>
        <v>-1.5402380952383936</v>
      </c>
    </row>
    <row r="100" spans="1:7" hidden="1" x14ac:dyDescent="0.2">
      <c r="A100" t="s">
        <v>113</v>
      </c>
      <c r="B100" t="s">
        <v>45</v>
      </c>
      <c r="C100">
        <v>2013</v>
      </c>
      <c r="D100" s="4">
        <v>1369.36</v>
      </c>
      <c r="E100" s="4">
        <v>97.811428571428607</v>
      </c>
      <c r="F100" s="4">
        <v>99.434642857142904</v>
      </c>
      <c r="G100" s="225">
        <f t="shared" si="3"/>
        <v>-1.6232142857142975</v>
      </c>
    </row>
    <row r="101" spans="1:7" hidden="1" x14ac:dyDescent="0.2">
      <c r="A101" t="s">
        <v>19</v>
      </c>
      <c r="B101" t="s">
        <v>21</v>
      </c>
      <c r="C101">
        <v>2018</v>
      </c>
      <c r="D101" s="4">
        <v>1394.18</v>
      </c>
      <c r="E101" s="4">
        <v>99.584285714285699</v>
      </c>
      <c r="F101" s="4">
        <v>101.292023809524</v>
      </c>
      <c r="G101" s="225">
        <f t="shared" si="3"/>
        <v>-1.7077380952382981</v>
      </c>
    </row>
    <row r="102" spans="1:7" hidden="1" x14ac:dyDescent="0.2">
      <c r="A102" t="s">
        <v>110</v>
      </c>
      <c r="B102" t="s">
        <v>20</v>
      </c>
      <c r="C102">
        <v>2016</v>
      </c>
      <c r="D102" s="4">
        <v>1319.4</v>
      </c>
      <c r="E102" s="4">
        <v>94.242857142857105</v>
      </c>
      <c r="F102" s="4">
        <v>96.001666666666694</v>
      </c>
      <c r="G102" s="225">
        <f t="shared" si="3"/>
        <v>-1.7588095238095889</v>
      </c>
    </row>
    <row r="103" spans="1:7" hidden="1" x14ac:dyDescent="0.2">
      <c r="A103" t="s">
        <v>54</v>
      </c>
      <c r="B103" t="s">
        <v>32</v>
      </c>
      <c r="C103">
        <v>2020</v>
      </c>
      <c r="D103" s="4">
        <v>1386.06</v>
      </c>
      <c r="E103" s="4">
        <v>99.0042857142857</v>
      </c>
      <c r="F103" s="4">
        <v>100.901666666667</v>
      </c>
      <c r="G103" s="225">
        <f t="shared" si="3"/>
        <v>-1.8973809523812974</v>
      </c>
    </row>
    <row r="104" spans="1:7" hidden="1" x14ac:dyDescent="0.2">
      <c r="A104" t="s">
        <v>38</v>
      </c>
      <c r="B104" t="s">
        <v>36</v>
      </c>
      <c r="C104">
        <v>2022</v>
      </c>
      <c r="D104" s="4">
        <v>1633.5</v>
      </c>
      <c r="E104" s="4">
        <v>108.9</v>
      </c>
      <c r="F104" s="4">
        <v>110.820888888889</v>
      </c>
      <c r="G104" s="225">
        <f t="shared" si="3"/>
        <v>-1.9208888888889959</v>
      </c>
    </row>
    <row r="105" spans="1:7" hidden="1" x14ac:dyDescent="0.2">
      <c r="A105" t="s">
        <v>43</v>
      </c>
      <c r="B105" t="s">
        <v>21</v>
      </c>
      <c r="C105">
        <v>2022</v>
      </c>
      <c r="D105" s="4">
        <v>1633.38</v>
      </c>
      <c r="E105" s="4">
        <v>108.892</v>
      </c>
      <c r="F105" s="4">
        <v>110.820888888889</v>
      </c>
      <c r="G105" s="225">
        <f t="shared" si="3"/>
        <v>-1.9288888888890057</v>
      </c>
    </row>
    <row r="106" spans="1:7" hidden="1" x14ac:dyDescent="0.2">
      <c r="A106" t="s">
        <v>35</v>
      </c>
      <c r="B106" t="s">
        <v>49</v>
      </c>
      <c r="C106">
        <v>2023</v>
      </c>
      <c r="D106" s="4">
        <v>1662.5</v>
      </c>
      <c r="E106" s="4">
        <v>110.833333333333</v>
      </c>
      <c r="F106" s="4">
        <v>113.04411111111099</v>
      </c>
      <c r="G106" s="225">
        <f t="shared" si="3"/>
        <v>-2.2107777777779916</v>
      </c>
    </row>
    <row r="107" spans="1:7" hidden="1" x14ac:dyDescent="0.2">
      <c r="A107" t="s">
        <v>23</v>
      </c>
      <c r="B107" t="s">
        <v>25</v>
      </c>
      <c r="C107">
        <v>2014</v>
      </c>
      <c r="D107" s="4">
        <v>1335.18</v>
      </c>
      <c r="E107" s="4">
        <v>95.37</v>
      </c>
      <c r="F107" s="4">
        <v>97.623928571428607</v>
      </c>
      <c r="G107" s="225">
        <f t="shared" si="3"/>
        <v>-2.2539285714286024</v>
      </c>
    </row>
    <row r="108" spans="1:7" hidden="1" x14ac:dyDescent="0.2">
      <c r="A108" t="s">
        <v>46</v>
      </c>
      <c r="B108" t="s">
        <v>47</v>
      </c>
      <c r="C108">
        <v>2023</v>
      </c>
      <c r="D108" s="4">
        <v>1650.62</v>
      </c>
      <c r="E108" s="4">
        <v>110.041333333333</v>
      </c>
      <c r="F108" s="4">
        <v>113.04411111111099</v>
      </c>
      <c r="G108" s="225">
        <f t="shared" si="3"/>
        <v>-3.0027777777779932</v>
      </c>
    </row>
    <row r="109" spans="1:7" hidden="1" x14ac:dyDescent="0.2">
      <c r="A109" t="s">
        <v>51</v>
      </c>
      <c r="B109" t="s">
        <v>21</v>
      </c>
      <c r="C109">
        <v>2023</v>
      </c>
      <c r="D109" s="4">
        <v>1649.98</v>
      </c>
      <c r="E109" s="4">
        <v>109.99866666666701</v>
      </c>
      <c r="F109" s="4">
        <v>113.04411111111099</v>
      </c>
      <c r="G109" s="225">
        <f t="shared" si="3"/>
        <v>-3.0454444444439872</v>
      </c>
    </row>
    <row r="110" spans="1:7" hidden="1" x14ac:dyDescent="0.2">
      <c r="A110" t="s">
        <v>114</v>
      </c>
      <c r="B110" t="s">
        <v>16</v>
      </c>
      <c r="C110">
        <v>2012</v>
      </c>
      <c r="D110" s="4">
        <v>1324.58</v>
      </c>
      <c r="E110" s="4">
        <v>94.612857142857095</v>
      </c>
      <c r="F110" s="4">
        <v>97.773452380952406</v>
      </c>
      <c r="G110" s="225">
        <f t="shared" si="3"/>
        <v>-3.1605952380953113</v>
      </c>
    </row>
    <row r="111" spans="1:7" hidden="1" x14ac:dyDescent="0.2">
      <c r="A111" t="s">
        <v>14</v>
      </c>
      <c r="B111" t="s">
        <v>16</v>
      </c>
      <c r="C111">
        <v>2022</v>
      </c>
      <c r="D111" s="4">
        <v>1614.82</v>
      </c>
      <c r="E111" s="4">
        <v>107.654666666667</v>
      </c>
      <c r="F111" s="4">
        <v>110.820888888889</v>
      </c>
      <c r="G111" s="225">
        <f t="shared" si="3"/>
        <v>-3.1662222222220038</v>
      </c>
    </row>
    <row r="112" spans="1:7" hidden="1" x14ac:dyDescent="0.2">
      <c r="A112" t="s">
        <v>35</v>
      </c>
      <c r="B112" t="s">
        <v>49</v>
      </c>
      <c r="C112">
        <v>2013</v>
      </c>
      <c r="D112" s="4">
        <v>1347.4</v>
      </c>
      <c r="E112" s="4">
        <v>96.242857142857105</v>
      </c>
      <c r="F112" s="4">
        <v>99.434642857142904</v>
      </c>
      <c r="G112" s="225">
        <f t="shared" si="3"/>
        <v>-3.1917857142857997</v>
      </c>
    </row>
    <row r="113" spans="1:7" x14ac:dyDescent="0.2">
      <c r="A113" t="s">
        <v>521</v>
      </c>
      <c r="B113" t="s">
        <v>29</v>
      </c>
      <c r="C113">
        <v>2025</v>
      </c>
      <c r="D113" s="4">
        <v>1531.72</v>
      </c>
      <c r="E113" s="4">
        <f>D113/14</f>
        <v>109.40857142857143</v>
      </c>
      <c r="F113" s="4">
        <v>112.61</v>
      </c>
      <c r="G113" s="225">
        <f t="shared" si="3"/>
        <v>-3.2014285714285649</v>
      </c>
    </row>
    <row r="114" spans="1:7" hidden="1" x14ac:dyDescent="0.2">
      <c r="A114" t="s">
        <v>35</v>
      </c>
      <c r="B114" t="s">
        <v>49</v>
      </c>
      <c r="C114">
        <v>2024</v>
      </c>
      <c r="D114" s="4">
        <v>1641.72</v>
      </c>
      <c r="E114" s="4">
        <v>109.44800000000001</v>
      </c>
      <c r="F114" s="4">
        <v>112.72</v>
      </c>
      <c r="G114" s="225">
        <f t="shared" si="3"/>
        <v>-3.2719999999999914</v>
      </c>
    </row>
    <row r="115" spans="1:7" hidden="1" x14ac:dyDescent="0.2">
      <c r="A115" t="s">
        <v>23</v>
      </c>
      <c r="B115" t="s">
        <v>25</v>
      </c>
      <c r="C115">
        <v>2017</v>
      </c>
      <c r="D115" s="4">
        <v>1261.3800000000001</v>
      </c>
      <c r="E115" s="4">
        <v>90.098571428571404</v>
      </c>
      <c r="F115" s="4">
        <v>93.398690476190495</v>
      </c>
      <c r="G115" s="225">
        <f t="shared" si="3"/>
        <v>-3.3001190476190914</v>
      </c>
    </row>
    <row r="116" spans="1:7" hidden="1" x14ac:dyDescent="0.2">
      <c r="A116" t="s">
        <v>14</v>
      </c>
      <c r="B116" t="s">
        <v>16</v>
      </c>
      <c r="C116">
        <v>2019</v>
      </c>
      <c r="D116" s="4">
        <v>1364.36</v>
      </c>
      <c r="E116" s="4">
        <v>97.454285714285703</v>
      </c>
      <c r="F116" s="4">
        <v>100.79619047619001</v>
      </c>
      <c r="G116" s="225">
        <f t="shared" si="3"/>
        <v>-3.3419047619043027</v>
      </c>
    </row>
    <row r="117" spans="1:7" x14ac:dyDescent="0.2">
      <c r="A117" t="s">
        <v>18</v>
      </c>
      <c r="B117" t="s">
        <v>20</v>
      </c>
      <c r="C117">
        <v>2025</v>
      </c>
      <c r="D117" s="4">
        <v>1528.9</v>
      </c>
      <c r="E117" s="4">
        <f>D117/14</f>
        <v>109.20714285714287</v>
      </c>
      <c r="F117" s="4">
        <v>112.61</v>
      </c>
      <c r="G117" s="225">
        <f t="shared" si="3"/>
        <v>-3.4028571428571297</v>
      </c>
    </row>
    <row r="118" spans="1:7" hidden="1" x14ac:dyDescent="0.2">
      <c r="A118" t="s">
        <v>61</v>
      </c>
      <c r="B118" t="s">
        <v>62</v>
      </c>
      <c r="C118">
        <v>2015</v>
      </c>
      <c r="D118" s="4">
        <v>1305.44</v>
      </c>
      <c r="E118" s="4">
        <v>93.2457142857143</v>
      </c>
      <c r="F118" s="4">
        <v>96.668095238095205</v>
      </c>
      <c r="G118" s="225">
        <f t="shared" si="3"/>
        <v>-3.4223809523809052</v>
      </c>
    </row>
    <row r="119" spans="1:7" hidden="1" x14ac:dyDescent="0.2">
      <c r="A119" t="s">
        <v>57</v>
      </c>
      <c r="B119" t="s">
        <v>17</v>
      </c>
      <c r="C119">
        <v>2019</v>
      </c>
      <c r="D119" s="4">
        <v>1363.12</v>
      </c>
      <c r="E119" s="4">
        <v>97.365714285714304</v>
      </c>
      <c r="F119" s="4">
        <v>100.79619047619001</v>
      </c>
      <c r="G119" s="225">
        <f t="shared" si="3"/>
        <v>-3.4304761904757015</v>
      </c>
    </row>
    <row r="120" spans="1:7" hidden="1" x14ac:dyDescent="0.2">
      <c r="A120" t="s">
        <v>110</v>
      </c>
      <c r="B120" t="s">
        <v>20</v>
      </c>
      <c r="C120">
        <v>2013</v>
      </c>
      <c r="D120" s="4">
        <v>1343.38</v>
      </c>
      <c r="E120" s="4">
        <v>95.955714285714294</v>
      </c>
      <c r="F120" s="4">
        <v>99.434642857142904</v>
      </c>
      <c r="G120" s="225">
        <f t="shared" si="3"/>
        <v>-3.4789285714286109</v>
      </c>
    </row>
    <row r="121" spans="1:7" hidden="1" x14ac:dyDescent="0.2">
      <c r="A121" t="s">
        <v>31</v>
      </c>
      <c r="B121" t="s">
        <v>33</v>
      </c>
      <c r="C121">
        <v>2023</v>
      </c>
      <c r="D121" s="4">
        <v>1641.4</v>
      </c>
      <c r="E121" s="4">
        <v>109.426666666667</v>
      </c>
      <c r="F121" s="4">
        <v>113.04411111111099</v>
      </c>
      <c r="G121" s="225">
        <f t="shared" si="3"/>
        <v>-3.6174444444439899</v>
      </c>
    </row>
    <row r="122" spans="1:7" hidden="1" x14ac:dyDescent="0.2">
      <c r="A122" t="s">
        <v>53</v>
      </c>
      <c r="B122" t="s">
        <v>36</v>
      </c>
      <c r="C122">
        <v>2020</v>
      </c>
      <c r="D122" s="4">
        <v>1360.9</v>
      </c>
      <c r="E122" s="4">
        <v>97.207142857142898</v>
      </c>
      <c r="F122" s="4">
        <v>100.901666666667</v>
      </c>
      <c r="G122" s="225">
        <f t="shared" si="3"/>
        <v>-3.6945238095240995</v>
      </c>
    </row>
    <row r="123" spans="1:7" hidden="1" x14ac:dyDescent="0.2">
      <c r="A123" t="s">
        <v>84</v>
      </c>
      <c r="B123" t="s">
        <v>29</v>
      </c>
      <c r="C123">
        <v>2018</v>
      </c>
      <c r="D123" s="4">
        <v>1366.04</v>
      </c>
      <c r="E123" s="4">
        <v>97.574285714285693</v>
      </c>
      <c r="F123" s="4">
        <v>101.292023809524</v>
      </c>
      <c r="G123" s="225">
        <f t="shared" si="3"/>
        <v>-3.7177380952383032</v>
      </c>
    </row>
    <row r="124" spans="1:7" hidden="1" x14ac:dyDescent="0.2">
      <c r="A124" t="s">
        <v>60</v>
      </c>
      <c r="B124" t="s">
        <v>45</v>
      </c>
      <c r="C124">
        <v>2018</v>
      </c>
      <c r="D124" s="4">
        <v>1364.32</v>
      </c>
      <c r="E124" s="4">
        <v>97.451428571428593</v>
      </c>
      <c r="F124" s="4">
        <v>101.292023809524</v>
      </c>
      <c r="G124" s="225">
        <f t="shared" si="3"/>
        <v>-3.8405952380954034</v>
      </c>
    </row>
    <row r="125" spans="1:7" hidden="1" x14ac:dyDescent="0.2">
      <c r="A125" t="s">
        <v>44</v>
      </c>
      <c r="B125" t="s">
        <v>45</v>
      </c>
      <c r="C125">
        <v>2022</v>
      </c>
      <c r="D125" s="4">
        <v>1602.5</v>
      </c>
      <c r="E125" s="4">
        <v>106.833333333333</v>
      </c>
      <c r="F125" s="4">
        <v>110.820888888889</v>
      </c>
      <c r="G125" s="225">
        <f t="shared" si="3"/>
        <v>-3.9875555555559998</v>
      </c>
    </row>
    <row r="126" spans="1:7" hidden="1" x14ac:dyDescent="0.2">
      <c r="A126" t="s">
        <v>115</v>
      </c>
      <c r="B126" t="s">
        <v>36</v>
      </c>
      <c r="C126">
        <v>2012</v>
      </c>
      <c r="D126" s="4">
        <v>1311.7</v>
      </c>
      <c r="E126" s="4">
        <v>93.692857142857207</v>
      </c>
      <c r="F126" s="4">
        <v>97.773452380952406</v>
      </c>
      <c r="G126" s="225">
        <f t="shared" si="3"/>
        <v>-4.0805952380951993</v>
      </c>
    </row>
    <row r="127" spans="1:7" hidden="1" x14ac:dyDescent="0.2">
      <c r="A127" t="s">
        <v>30</v>
      </c>
      <c r="B127" t="s">
        <v>32</v>
      </c>
      <c r="C127">
        <v>2021</v>
      </c>
      <c r="D127" s="4">
        <v>1629.6</v>
      </c>
      <c r="E127" s="4">
        <v>108.64</v>
      </c>
      <c r="F127" s="4">
        <v>112.813666666667</v>
      </c>
      <c r="G127" s="225">
        <f t="shared" si="3"/>
        <v>-4.1736666666670033</v>
      </c>
    </row>
    <row r="128" spans="1:7" hidden="1" x14ac:dyDescent="0.2">
      <c r="A128" t="s">
        <v>42</v>
      </c>
      <c r="B128" t="s">
        <v>17</v>
      </c>
      <c r="C128">
        <v>2022</v>
      </c>
      <c r="D128" s="4">
        <v>1599.08</v>
      </c>
      <c r="E128" s="4">
        <v>106.60533333333299</v>
      </c>
      <c r="F128" s="4">
        <v>110.820888888889</v>
      </c>
      <c r="G128" s="225">
        <f t="shared" si="3"/>
        <v>-4.2155555555560085</v>
      </c>
    </row>
    <row r="129" spans="1:7" hidden="1" x14ac:dyDescent="0.2">
      <c r="A129" t="s">
        <v>66</v>
      </c>
      <c r="B129" t="s">
        <v>62</v>
      </c>
      <c r="C129">
        <v>2014</v>
      </c>
      <c r="D129" s="4">
        <v>1307.04</v>
      </c>
      <c r="E129" s="4">
        <v>93.36</v>
      </c>
      <c r="F129" s="4">
        <v>97.623928571428607</v>
      </c>
      <c r="G129" s="225">
        <f t="shared" si="3"/>
        <v>-4.2639285714286075</v>
      </c>
    </row>
    <row r="130" spans="1:7" hidden="1" x14ac:dyDescent="0.2">
      <c r="A130" t="s">
        <v>84</v>
      </c>
      <c r="B130" t="s">
        <v>29</v>
      </c>
      <c r="C130">
        <v>2017</v>
      </c>
      <c r="D130" s="4">
        <v>1246.3800000000001</v>
      </c>
      <c r="E130" s="4">
        <v>89.027142857142906</v>
      </c>
      <c r="F130" s="4">
        <v>93.398690476190495</v>
      </c>
      <c r="G130" s="225">
        <f t="shared" ref="G130:G161" si="4">E130-F130</f>
        <v>-4.3715476190475897</v>
      </c>
    </row>
    <row r="131" spans="1:7" hidden="1" x14ac:dyDescent="0.2">
      <c r="A131" t="s">
        <v>68</v>
      </c>
      <c r="C131">
        <v>2013</v>
      </c>
      <c r="D131" s="4">
        <v>1330.76</v>
      </c>
      <c r="E131" s="4">
        <v>95.054285714285697</v>
      </c>
      <c r="F131" s="4">
        <v>99.434642857142904</v>
      </c>
      <c r="G131" s="225">
        <f t="shared" si="4"/>
        <v>-4.380357142857207</v>
      </c>
    </row>
    <row r="132" spans="1:7" x14ac:dyDescent="0.2">
      <c r="A132" t="s">
        <v>31</v>
      </c>
      <c r="B132" t="s">
        <v>33</v>
      </c>
      <c r="C132">
        <v>2025</v>
      </c>
      <c r="D132" s="4">
        <v>1511.58</v>
      </c>
      <c r="E132" s="4">
        <f>D132/14</f>
        <v>107.97</v>
      </c>
      <c r="F132" s="4">
        <v>112.61</v>
      </c>
      <c r="G132" s="225">
        <f t="shared" si="4"/>
        <v>-4.6400000000000006</v>
      </c>
    </row>
    <row r="133" spans="1:7" hidden="1" x14ac:dyDescent="0.2">
      <c r="A133" t="s">
        <v>22</v>
      </c>
      <c r="B133" t="s">
        <v>24</v>
      </c>
      <c r="C133">
        <v>2021</v>
      </c>
      <c r="D133" s="4">
        <v>1621.26</v>
      </c>
      <c r="E133" s="4">
        <v>108.084</v>
      </c>
      <c r="F133" s="4">
        <v>112.813666666667</v>
      </c>
      <c r="G133" s="225">
        <f t="shared" si="4"/>
        <v>-4.7296666666670006</v>
      </c>
    </row>
    <row r="134" spans="1:7" x14ac:dyDescent="0.2">
      <c r="A134" t="s">
        <v>35</v>
      </c>
      <c r="B134" t="s">
        <v>49</v>
      </c>
      <c r="C134">
        <v>2025</v>
      </c>
      <c r="D134" s="4">
        <v>1508.74</v>
      </c>
      <c r="E134" s="4">
        <f>D134/14</f>
        <v>107.76714285714286</v>
      </c>
      <c r="F134" s="4">
        <v>112.61</v>
      </c>
      <c r="G134" s="225">
        <f t="shared" si="4"/>
        <v>-4.8428571428571416</v>
      </c>
    </row>
    <row r="135" spans="1:7" hidden="1" x14ac:dyDescent="0.2">
      <c r="A135" t="s">
        <v>58</v>
      </c>
      <c r="B135" t="s">
        <v>36</v>
      </c>
      <c r="C135">
        <v>2017</v>
      </c>
      <c r="D135" s="4">
        <v>1238.58</v>
      </c>
      <c r="E135" s="4">
        <v>88.47</v>
      </c>
      <c r="F135" s="4">
        <v>93.398690476190495</v>
      </c>
      <c r="G135" s="225">
        <f t="shared" si="4"/>
        <v>-4.9286904761904964</v>
      </c>
    </row>
    <row r="136" spans="1:7" hidden="1" x14ac:dyDescent="0.2">
      <c r="A136" t="s">
        <v>31</v>
      </c>
      <c r="B136" t="s">
        <v>41</v>
      </c>
      <c r="C136">
        <v>2022</v>
      </c>
      <c r="D136" s="4">
        <v>1587.8</v>
      </c>
      <c r="E136" s="4">
        <v>105.853333333333</v>
      </c>
      <c r="F136" s="4">
        <v>110.820888888889</v>
      </c>
      <c r="G136" s="225">
        <f t="shared" si="4"/>
        <v>-4.9675555555560038</v>
      </c>
    </row>
    <row r="137" spans="1:7" hidden="1" x14ac:dyDescent="0.2">
      <c r="A137" t="s">
        <v>35</v>
      </c>
      <c r="B137" t="s">
        <v>49</v>
      </c>
      <c r="C137">
        <v>2012</v>
      </c>
      <c r="D137" s="4">
        <v>1297.54</v>
      </c>
      <c r="E137" s="4">
        <v>92.681428571428597</v>
      </c>
      <c r="F137" s="4">
        <v>97.773452380952406</v>
      </c>
      <c r="G137" s="225">
        <f t="shared" si="4"/>
        <v>-5.0920238095238091</v>
      </c>
    </row>
    <row r="138" spans="1:7" hidden="1" x14ac:dyDescent="0.2">
      <c r="A138" t="s">
        <v>18</v>
      </c>
      <c r="B138" t="s">
        <v>20</v>
      </c>
      <c r="C138">
        <v>2023</v>
      </c>
      <c r="D138" s="4">
        <v>1616.48</v>
      </c>
      <c r="E138" s="4">
        <v>107.765333333333</v>
      </c>
      <c r="F138" s="4">
        <v>113.04411111111099</v>
      </c>
      <c r="G138" s="225">
        <f t="shared" si="4"/>
        <v>-5.2787777777779894</v>
      </c>
    </row>
    <row r="139" spans="1:7" hidden="1" x14ac:dyDescent="0.2">
      <c r="A139" t="s">
        <v>42</v>
      </c>
      <c r="B139" t="s">
        <v>17</v>
      </c>
      <c r="C139">
        <v>2024</v>
      </c>
      <c r="D139" s="4">
        <v>1611.08</v>
      </c>
      <c r="E139" s="4">
        <v>107.40533333333333</v>
      </c>
      <c r="F139" s="4">
        <v>112.72</v>
      </c>
      <c r="G139" s="225">
        <f t="shared" si="4"/>
        <v>-5.3146666666666675</v>
      </c>
    </row>
    <row r="140" spans="1:7" hidden="1" x14ac:dyDescent="0.2">
      <c r="A140" t="s">
        <v>31</v>
      </c>
      <c r="B140" t="s">
        <v>33</v>
      </c>
      <c r="C140">
        <v>2017</v>
      </c>
      <c r="D140" s="4">
        <v>1233</v>
      </c>
      <c r="E140" s="4">
        <v>88.071428571428598</v>
      </c>
      <c r="F140" s="4">
        <v>93.398690476190495</v>
      </c>
      <c r="G140" s="225">
        <f t="shared" si="4"/>
        <v>-5.3272619047618974</v>
      </c>
    </row>
    <row r="141" spans="1:7" hidden="1" x14ac:dyDescent="0.2">
      <c r="A141" t="s">
        <v>57</v>
      </c>
      <c r="B141" t="s">
        <v>17</v>
      </c>
      <c r="C141">
        <v>2013</v>
      </c>
      <c r="D141" s="4">
        <v>1314.68</v>
      </c>
      <c r="E141" s="4">
        <v>93.905714285714296</v>
      </c>
      <c r="F141" s="4">
        <v>99.434642857142904</v>
      </c>
      <c r="G141" s="225">
        <f t="shared" si="4"/>
        <v>-5.5289285714286081</v>
      </c>
    </row>
    <row r="142" spans="1:7" hidden="1" x14ac:dyDescent="0.2">
      <c r="A142" t="s">
        <v>19</v>
      </c>
      <c r="B142" t="s">
        <v>21</v>
      </c>
      <c r="C142">
        <v>2019</v>
      </c>
      <c r="D142" s="4">
        <v>1331.68</v>
      </c>
      <c r="E142" s="4">
        <v>95.12</v>
      </c>
      <c r="F142" s="4">
        <v>100.79619047619001</v>
      </c>
      <c r="G142" s="225">
        <f t="shared" si="4"/>
        <v>-5.6761904761900013</v>
      </c>
    </row>
    <row r="143" spans="1:7" hidden="1" x14ac:dyDescent="0.2">
      <c r="A143" t="s">
        <v>72</v>
      </c>
      <c r="C143">
        <v>2012</v>
      </c>
      <c r="D143" s="4">
        <v>1288.3399999999999</v>
      </c>
      <c r="E143" s="4">
        <v>92.024285714285696</v>
      </c>
      <c r="F143" s="4">
        <v>97.773452380952406</v>
      </c>
      <c r="G143" s="225">
        <f t="shared" si="4"/>
        <v>-5.7491666666667101</v>
      </c>
    </row>
    <row r="144" spans="1:7" hidden="1" x14ac:dyDescent="0.2">
      <c r="A144" t="s">
        <v>57</v>
      </c>
      <c r="B144" t="s">
        <v>17</v>
      </c>
      <c r="C144">
        <v>2018</v>
      </c>
      <c r="D144" s="4">
        <v>1336.54</v>
      </c>
      <c r="E144" s="4">
        <v>95.467142857142903</v>
      </c>
      <c r="F144" s="4">
        <v>101.292023809524</v>
      </c>
      <c r="G144" s="225">
        <f t="shared" si="4"/>
        <v>-5.8248809523810934</v>
      </c>
    </row>
    <row r="145" spans="1:7" hidden="1" x14ac:dyDescent="0.2">
      <c r="A145" t="s">
        <v>26</v>
      </c>
      <c r="B145" t="s">
        <v>28</v>
      </c>
      <c r="C145">
        <v>2019</v>
      </c>
      <c r="D145" s="4">
        <v>1328.2</v>
      </c>
      <c r="E145" s="4">
        <v>94.871428571428595</v>
      </c>
      <c r="F145" s="4">
        <v>100.79619047619001</v>
      </c>
      <c r="G145" s="225">
        <f t="shared" si="4"/>
        <v>-5.9247619047614108</v>
      </c>
    </row>
    <row r="146" spans="1:7" hidden="1" x14ac:dyDescent="0.2">
      <c r="A146" t="s">
        <v>116</v>
      </c>
      <c r="B146" t="s">
        <v>25</v>
      </c>
      <c r="C146">
        <v>2019</v>
      </c>
      <c r="D146" s="4">
        <v>1323.98</v>
      </c>
      <c r="E146" s="4">
        <v>94.57</v>
      </c>
      <c r="F146" s="4">
        <v>100.79619047619001</v>
      </c>
      <c r="G146" s="225">
        <f t="shared" si="4"/>
        <v>-6.2261904761900126</v>
      </c>
    </row>
    <row r="147" spans="1:7" hidden="1" x14ac:dyDescent="0.2">
      <c r="A147" t="s">
        <v>19</v>
      </c>
      <c r="B147" t="s">
        <v>21</v>
      </c>
      <c r="C147">
        <v>2021</v>
      </c>
      <c r="D147" s="4">
        <v>1598.44</v>
      </c>
      <c r="E147" s="4">
        <v>106.562666666667</v>
      </c>
      <c r="F147" s="4">
        <v>112.813666666667</v>
      </c>
      <c r="G147" s="225">
        <f t="shared" si="4"/>
        <v>-6.2510000000000048</v>
      </c>
    </row>
    <row r="148" spans="1:7" hidden="1" x14ac:dyDescent="0.2">
      <c r="A148" t="s">
        <v>117</v>
      </c>
      <c r="B148" t="s">
        <v>28</v>
      </c>
      <c r="C148">
        <v>2016</v>
      </c>
      <c r="D148" s="4">
        <v>1255.8800000000001</v>
      </c>
      <c r="E148" s="4">
        <v>89.705714285714294</v>
      </c>
      <c r="F148" s="4">
        <v>96.001666666666694</v>
      </c>
      <c r="G148" s="225">
        <f t="shared" si="4"/>
        <v>-6.2959523809524001</v>
      </c>
    </row>
    <row r="149" spans="1:7" hidden="1" x14ac:dyDescent="0.2">
      <c r="A149" t="s">
        <v>31</v>
      </c>
      <c r="B149" t="s">
        <v>33</v>
      </c>
      <c r="C149">
        <v>2024</v>
      </c>
      <c r="D149" s="4">
        <v>1595.62</v>
      </c>
      <c r="E149" s="4">
        <v>106.37466666666666</v>
      </c>
      <c r="F149" s="4">
        <v>112.72</v>
      </c>
      <c r="G149" s="225">
        <f t="shared" si="4"/>
        <v>-6.3453333333333433</v>
      </c>
    </row>
    <row r="150" spans="1:7" hidden="1" x14ac:dyDescent="0.2">
      <c r="A150" t="s">
        <v>23</v>
      </c>
      <c r="B150" t="s">
        <v>25</v>
      </c>
      <c r="C150">
        <v>2018</v>
      </c>
      <c r="D150" s="4">
        <v>1328.94</v>
      </c>
      <c r="E150" s="4">
        <v>94.924285714285702</v>
      </c>
      <c r="F150" s="4">
        <v>101.292023809524</v>
      </c>
      <c r="G150" s="225">
        <f t="shared" si="4"/>
        <v>-6.3677380952382947</v>
      </c>
    </row>
    <row r="151" spans="1:7" hidden="1" x14ac:dyDescent="0.2">
      <c r="A151" t="s">
        <v>118</v>
      </c>
      <c r="B151" t="s">
        <v>45</v>
      </c>
      <c r="C151">
        <v>2014</v>
      </c>
      <c r="D151" s="4">
        <v>1273.8</v>
      </c>
      <c r="E151" s="4">
        <v>90.985714285714295</v>
      </c>
      <c r="F151" s="4">
        <v>97.623928571428607</v>
      </c>
      <c r="G151" s="225">
        <f t="shared" si="4"/>
        <v>-6.6382142857143123</v>
      </c>
    </row>
    <row r="152" spans="1:7" hidden="1" x14ac:dyDescent="0.2">
      <c r="A152" t="s">
        <v>18</v>
      </c>
      <c r="B152" t="s">
        <v>20</v>
      </c>
      <c r="C152">
        <v>2021</v>
      </c>
      <c r="D152" s="4">
        <v>1588.86</v>
      </c>
      <c r="E152" s="4">
        <v>105.92400000000001</v>
      </c>
      <c r="F152" s="4">
        <v>112.813666666667</v>
      </c>
      <c r="G152" s="225">
        <f t="shared" si="4"/>
        <v>-6.8896666666669972</v>
      </c>
    </row>
    <row r="153" spans="1:7" hidden="1" x14ac:dyDescent="0.2">
      <c r="A153" t="s">
        <v>18</v>
      </c>
      <c r="B153" t="s">
        <v>20</v>
      </c>
      <c r="C153">
        <v>2024</v>
      </c>
      <c r="D153" s="4">
        <v>1586.04</v>
      </c>
      <c r="E153" s="4">
        <v>105.736</v>
      </c>
      <c r="F153" s="4">
        <v>112.72</v>
      </c>
      <c r="G153" s="225">
        <f t="shared" si="4"/>
        <v>-6.9839999999999947</v>
      </c>
    </row>
    <row r="154" spans="1:7" hidden="1" x14ac:dyDescent="0.2">
      <c r="A154" t="s">
        <v>77</v>
      </c>
      <c r="B154" t="s">
        <v>45</v>
      </c>
      <c r="C154">
        <v>2024</v>
      </c>
      <c r="D154" s="4">
        <v>1585.66</v>
      </c>
      <c r="E154" s="4">
        <v>105.71066666666667</v>
      </c>
      <c r="F154" s="4">
        <v>112.72</v>
      </c>
      <c r="G154" s="225">
        <f t="shared" si="4"/>
        <v>-7.0093333333333305</v>
      </c>
    </row>
    <row r="155" spans="1:7" hidden="1" x14ac:dyDescent="0.2">
      <c r="A155" t="s">
        <v>35</v>
      </c>
      <c r="C155">
        <v>2020</v>
      </c>
      <c r="D155" s="4">
        <v>1313.7</v>
      </c>
      <c r="E155" s="4">
        <v>93.835714285714303</v>
      </c>
      <c r="F155" s="4">
        <v>100.901666666667</v>
      </c>
      <c r="G155" s="225">
        <f t="shared" si="4"/>
        <v>-7.0659523809526945</v>
      </c>
    </row>
    <row r="156" spans="1:7" hidden="1" x14ac:dyDescent="0.2">
      <c r="A156" t="s">
        <v>39</v>
      </c>
      <c r="B156" t="s">
        <v>32</v>
      </c>
      <c r="C156">
        <v>2022</v>
      </c>
      <c r="D156" s="4">
        <v>1551.04</v>
      </c>
      <c r="E156" s="4">
        <v>103.402666666667</v>
      </c>
      <c r="F156" s="4">
        <v>110.820888888889</v>
      </c>
      <c r="G156" s="225">
        <f t="shared" si="4"/>
        <v>-7.4182222222219991</v>
      </c>
    </row>
    <row r="157" spans="1:7" hidden="1" x14ac:dyDescent="0.2">
      <c r="A157" t="s">
        <v>23</v>
      </c>
      <c r="B157" t="s">
        <v>25</v>
      </c>
      <c r="C157">
        <v>2016</v>
      </c>
      <c r="D157" s="4">
        <v>1231.18</v>
      </c>
      <c r="E157" s="4">
        <v>87.941428571428602</v>
      </c>
      <c r="F157" s="4">
        <v>96.001666666666694</v>
      </c>
      <c r="G157" s="225">
        <f t="shared" si="4"/>
        <v>-8.0602380952380912</v>
      </c>
    </row>
    <row r="158" spans="1:7" hidden="1" x14ac:dyDescent="0.2">
      <c r="A158" t="s">
        <v>26</v>
      </c>
      <c r="B158" t="s">
        <v>28</v>
      </c>
      <c r="C158">
        <v>2021</v>
      </c>
      <c r="D158" s="67">
        <v>1560.46</v>
      </c>
      <c r="E158" s="4">
        <v>104.030666666667</v>
      </c>
      <c r="F158" s="4">
        <v>112.813666666667</v>
      </c>
      <c r="G158" s="225">
        <f t="shared" si="4"/>
        <v>-8.7830000000000013</v>
      </c>
    </row>
    <row r="159" spans="1:7" x14ac:dyDescent="0.2">
      <c r="A159" s="32" t="s">
        <v>46</v>
      </c>
      <c r="B159" t="s">
        <v>47</v>
      </c>
      <c r="C159">
        <v>2025</v>
      </c>
      <c r="D159" s="4">
        <v>1448.88</v>
      </c>
      <c r="E159" s="4">
        <f>D159/14</f>
        <v>103.49142857142859</v>
      </c>
      <c r="F159" s="4">
        <v>112.61</v>
      </c>
      <c r="G159" s="225">
        <f t="shared" si="4"/>
        <v>-9.1185714285714141</v>
      </c>
    </row>
    <row r="160" spans="1:7" hidden="1" x14ac:dyDescent="0.2">
      <c r="A160" s="32" t="s">
        <v>119</v>
      </c>
      <c r="B160" t="s">
        <v>29</v>
      </c>
      <c r="C160">
        <v>2014</v>
      </c>
      <c r="D160" s="4">
        <v>1237.8599999999999</v>
      </c>
      <c r="E160" s="4">
        <v>88.418571428571397</v>
      </c>
      <c r="F160" s="4">
        <v>97.623928571428607</v>
      </c>
      <c r="G160" s="225">
        <f t="shared" si="4"/>
        <v>-9.2053571428572099</v>
      </c>
    </row>
    <row r="161" spans="1:7" hidden="1" x14ac:dyDescent="0.2">
      <c r="A161" t="s">
        <v>18</v>
      </c>
      <c r="B161" t="s">
        <v>20</v>
      </c>
      <c r="C161">
        <v>2014</v>
      </c>
      <c r="D161" s="4">
        <v>1226.04</v>
      </c>
      <c r="E161" s="4">
        <v>87.574285714285693</v>
      </c>
      <c r="F161" s="4">
        <v>97.623928571428607</v>
      </c>
      <c r="G161" s="225">
        <f t="shared" si="4"/>
        <v>-10.049642857142913</v>
      </c>
    </row>
    <row r="162" spans="1:7" hidden="1" x14ac:dyDescent="0.2">
      <c r="A162" t="s">
        <v>31</v>
      </c>
      <c r="B162" t="s">
        <v>33</v>
      </c>
      <c r="C162">
        <v>2019</v>
      </c>
      <c r="D162" s="4">
        <v>1263.24</v>
      </c>
      <c r="E162" s="4">
        <v>90.231428571428594</v>
      </c>
      <c r="F162" s="4">
        <v>100.79619047619001</v>
      </c>
      <c r="G162" s="225">
        <f t="shared" ref="G162:G169" si="5">E162-F162</f>
        <v>-10.564761904761411</v>
      </c>
    </row>
    <row r="163" spans="1:7" hidden="1" x14ac:dyDescent="0.2">
      <c r="A163" t="s">
        <v>59</v>
      </c>
      <c r="B163" t="s">
        <v>32</v>
      </c>
      <c r="C163">
        <v>2017</v>
      </c>
      <c r="D163" s="4">
        <v>1153</v>
      </c>
      <c r="E163" s="4">
        <v>82.357142857142904</v>
      </c>
      <c r="F163" s="4">
        <v>93.398690476190495</v>
      </c>
      <c r="G163" s="225">
        <f t="shared" si="5"/>
        <v>-11.041547619047591</v>
      </c>
    </row>
    <row r="164" spans="1:7" hidden="1" x14ac:dyDescent="0.2">
      <c r="A164" s="32" t="s">
        <v>19</v>
      </c>
      <c r="B164" t="s">
        <v>21</v>
      </c>
      <c r="C164">
        <v>2020</v>
      </c>
      <c r="D164" s="4">
        <v>1246.3599999999999</v>
      </c>
      <c r="E164" s="4">
        <v>89.025714285714301</v>
      </c>
      <c r="F164" s="4">
        <v>100.901666666667</v>
      </c>
      <c r="G164" s="225">
        <f t="shared" si="5"/>
        <v>-11.875952380952697</v>
      </c>
    </row>
    <row r="165" spans="1:7" hidden="1" x14ac:dyDescent="0.2">
      <c r="A165" s="32" t="s">
        <v>18</v>
      </c>
      <c r="B165" t="s">
        <v>20</v>
      </c>
      <c r="C165">
        <v>2015</v>
      </c>
      <c r="D165" s="4">
        <v>1165.8399999999999</v>
      </c>
      <c r="E165" s="4">
        <v>83.274285714285696</v>
      </c>
      <c r="F165" s="4">
        <v>96.668095238095205</v>
      </c>
      <c r="G165" s="225">
        <f t="shared" si="5"/>
        <v>-13.393809523809509</v>
      </c>
    </row>
    <row r="166" spans="1:7" hidden="1" x14ac:dyDescent="0.2">
      <c r="A166" s="32" t="s">
        <v>19</v>
      </c>
      <c r="B166" t="s">
        <v>21</v>
      </c>
      <c r="C166">
        <v>2015</v>
      </c>
      <c r="D166" s="4">
        <v>1159.2</v>
      </c>
      <c r="E166" s="4">
        <v>82.8</v>
      </c>
      <c r="F166" s="4">
        <v>96.668095238095205</v>
      </c>
      <c r="G166" s="225">
        <f t="shared" si="5"/>
        <v>-13.868095238095208</v>
      </c>
    </row>
    <row r="167" spans="1:7" hidden="1" x14ac:dyDescent="0.2">
      <c r="A167" s="32" t="s">
        <v>31</v>
      </c>
      <c r="B167" t="s">
        <v>33</v>
      </c>
      <c r="C167">
        <v>2015</v>
      </c>
      <c r="D167" s="4">
        <v>1148.2</v>
      </c>
      <c r="E167" s="4">
        <v>82.014285714285705</v>
      </c>
      <c r="F167" s="4">
        <v>96.668095238095205</v>
      </c>
      <c r="G167" s="225">
        <f t="shared" si="5"/>
        <v>-14.6538095238095</v>
      </c>
    </row>
    <row r="168" spans="1:7" hidden="1" x14ac:dyDescent="0.2">
      <c r="A168" s="32" t="s">
        <v>22</v>
      </c>
      <c r="B168" t="s">
        <v>24</v>
      </c>
      <c r="C168">
        <v>2016</v>
      </c>
      <c r="D168" s="4">
        <v>1127.8599999999999</v>
      </c>
      <c r="E168" s="4">
        <v>80.561428571428607</v>
      </c>
      <c r="F168" s="4">
        <v>96.001666666666694</v>
      </c>
      <c r="G168" s="225">
        <f t="shared" si="5"/>
        <v>-15.440238095238087</v>
      </c>
    </row>
    <row r="169" spans="1:7" hidden="1" x14ac:dyDescent="0.2">
      <c r="A169" t="s">
        <v>120</v>
      </c>
      <c r="C169">
        <v>2012</v>
      </c>
      <c r="D169" s="4">
        <v>1133.98</v>
      </c>
      <c r="E169" s="4">
        <v>80.998571428571395</v>
      </c>
      <c r="F169" s="4">
        <v>97.773452380952406</v>
      </c>
      <c r="G169" s="225">
        <f t="shared" si="5"/>
        <v>-16.774880952381011</v>
      </c>
    </row>
  </sheetData>
  <autoFilter ref="A1:G169" xr:uid="{00000000-0009-0000-0000-000003000000}">
    <filterColumn colId="2">
      <filters>
        <filter val="2025"/>
      </filters>
    </filterColumn>
    <sortState xmlns:xlrd2="http://schemas.microsoft.com/office/spreadsheetml/2017/richdata2" ref="A2:G169">
      <sortCondition descending="1" ref="G1:G169"/>
    </sortState>
  </autoFilter>
  <sortState xmlns:xlrd2="http://schemas.microsoft.com/office/spreadsheetml/2017/richdata2" ref="A2:G157">
    <sortCondition descending="1" ref="G1"/>
  </sortState>
  <conditionalFormatting sqref="G2:G145">
    <cfRule type="colorScale" priority="4">
      <colorScale>
        <cfvo type="min"/>
        <cfvo type="max"/>
        <color rgb="FFFCFCFF"/>
        <color rgb="FFF8696B"/>
      </colorScale>
    </cfRule>
  </conditionalFormatting>
  <conditionalFormatting sqref="G2:G16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conditionalFormatting sqref="G146:G169"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9D69-FBC5-5D4C-9B1E-3572A39570AE}">
  <dimension ref="A3:H18"/>
  <sheetViews>
    <sheetView workbookViewId="0">
      <selection activeCell="C27" sqref="C27"/>
    </sheetView>
  </sheetViews>
  <sheetFormatPr baseColWidth="10" defaultRowHeight="16" x14ac:dyDescent="0.2"/>
  <cols>
    <col min="2" max="2" width="25.83203125" customWidth="1"/>
    <col min="3" max="3" width="16.33203125" customWidth="1"/>
    <col min="7" max="7" width="14.5" customWidth="1"/>
  </cols>
  <sheetData>
    <row r="3" spans="1:8" x14ac:dyDescent="0.2">
      <c r="A3" s="27"/>
      <c r="B3" s="27"/>
      <c r="C3" s="27"/>
      <c r="D3" s="27"/>
      <c r="E3" s="27"/>
      <c r="F3" s="27"/>
      <c r="G3" s="27"/>
      <c r="H3" s="27"/>
    </row>
    <row r="4" spans="1:8" ht="19" x14ac:dyDescent="0.25">
      <c r="A4" s="27"/>
      <c r="B4" s="293" t="s">
        <v>652</v>
      </c>
      <c r="C4" s="294"/>
      <c r="D4" s="294"/>
      <c r="E4" s="294"/>
      <c r="F4" s="294"/>
      <c r="G4" s="295"/>
      <c r="H4" s="27"/>
    </row>
    <row r="5" spans="1:8" x14ac:dyDescent="0.2">
      <c r="A5" s="27"/>
      <c r="B5" s="250" t="s">
        <v>78</v>
      </c>
      <c r="C5" s="251" t="s">
        <v>79</v>
      </c>
      <c r="D5" s="251" t="s">
        <v>0</v>
      </c>
      <c r="E5" s="251" t="s">
        <v>80</v>
      </c>
      <c r="F5" s="251" t="s">
        <v>81</v>
      </c>
      <c r="G5" s="252" t="s">
        <v>83</v>
      </c>
      <c r="H5" s="27"/>
    </row>
    <row r="6" spans="1:8" x14ac:dyDescent="0.2">
      <c r="A6" s="27"/>
      <c r="B6" s="253" t="s">
        <v>77</v>
      </c>
      <c r="C6" s="254" t="s">
        <v>45</v>
      </c>
      <c r="D6" s="254">
        <v>2025</v>
      </c>
      <c r="E6" s="255">
        <v>1678.9</v>
      </c>
      <c r="F6" s="273">
        <v>119.92</v>
      </c>
      <c r="G6" s="256">
        <v>7.3</v>
      </c>
      <c r="H6" s="27"/>
    </row>
    <row r="7" spans="1:8" x14ac:dyDescent="0.2">
      <c r="A7" s="27"/>
      <c r="B7" s="249" t="s">
        <v>26</v>
      </c>
      <c r="C7" s="257" t="s">
        <v>28</v>
      </c>
      <c r="D7" s="257">
        <v>2025</v>
      </c>
      <c r="E7" s="258">
        <v>1675.06</v>
      </c>
      <c r="F7" s="274">
        <v>119.65</v>
      </c>
      <c r="G7" s="259">
        <v>7</v>
      </c>
      <c r="H7" s="27"/>
    </row>
    <row r="8" spans="1:8" x14ac:dyDescent="0.2">
      <c r="A8" s="27"/>
      <c r="B8" s="249" t="s">
        <v>525</v>
      </c>
      <c r="C8" s="257" t="s">
        <v>36</v>
      </c>
      <c r="D8" s="257">
        <v>2025</v>
      </c>
      <c r="E8" s="258">
        <v>1638.46</v>
      </c>
      <c r="F8" s="274">
        <v>117.03</v>
      </c>
      <c r="G8" s="260">
        <v>4.4000000000000004</v>
      </c>
      <c r="H8" s="27"/>
    </row>
    <row r="9" spans="1:8" x14ac:dyDescent="0.2">
      <c r="A9" s="27"/>
      <c r="B9" s="249" t="s">
        <v>526</v>
      </c>
      <c r="C9" s="257" t="s">
        <v>32</v>
      </c>
      <c r="D9" s="257">
        <v>2025</v>
      </c>
      <c r="E9" s="258">
        <v>1627.48</v>
      </c>
      <c r="F9" s="274">
        <v>116.25</v>
      </c>
      <c r="G9" s="261">
        <v>3.6</v>
      </c>
      <c r="H9" s="27"/>
    </row>
    <row r="10" spans="1:8" x14ac:dyDescent="0.2">
      <c r="A10" s="27"/>
      <c r="B10" s="249" t="s">
        <v>524</v>
      </c>
      <c r="C10" s="257" t="s">
        <v>21</v>
      </c>
      <c r="D10" s="257">
        <v>2025</v>
      </c>
      <c r="E10" s="258">
        <v>1609.44</v>
      </c>
      <c r="F10" s="274">
        <v>114.96</v>
      </c>
      <c r="G10" s="262">
        <v>2.4</v>
      </c>
      <c r="H10" s="27"/>
    </row>
    <row r="11" spans="1:8" x14ac:dyDescent="0.2">
      <c r="A11" s="27"/>
      <c r="B11" s="249" t="s">
        <v>14</v>
      </c>
      <c r="C11" s="257" t="s">
        <v>16</v>
      </c>
      <c r="D11" s="257">
        <v>2025</v>
      </c>
      <c r="E11" s="258">
        <v>1589.38</v>
      </c>
      <c r="F11" s="274">
        <v>113.53</v>
      </c>
      <c r="G11" s="263">
        <v>0.9</v>
      </c>
      <c r="H11" s="27"/>
    </row>
    <row r="12" spans="1:8" x14ac:dyDescent="0.2">
      <c r="A12" s="27"/>
      <c r="B12" s="249" t="s">
        <v>42</v>
      </c>
      <c r="C12" s="257" t="s">
        <v>17</v>
      </c>
      <c r="D12" s="257">
        <v>2025</v>
      </c>
      <c r="E12" s="258">
        <v>1569.6</v>
      </c>
      <c r="F12" s="274">
        <v>112.11</v>
      </c>
      <c r="G12" s="264">
        <v>-0.5</v>
      </c>
      <c r="H12" s="27"/>
    </row>
    <row r="13" spans="1:8" x14ac:dyDescent="0.2">
      <c r="A13" s="27"/>
      <c r="B13" s="249" t="s">
        <v>521</v>
      </c>
      <c r="C13" s="257" t="s">
        <v>29</v>
      </c>
      <c r="D13" s="257">
        <v>2025</v>
      </c>
      <c r="E13" s="258">
        <v>1531.72</v>
      </c>
      <c r="F13" s="274">
        <v>109.41</v>
      </c>
      <c r="G13" s="265">
        <v>-3.2</v>
      </c>
      <c r="H13" s="27"/>
    </row>
    <row r="14" spans="1:8" x14ac:dyDescent="0.2">
      <c r="A14" s="27"/>
      <c r="B14" s="249" t="s">
        <v>18</v>
      </c>
      <c r="C14" s="257" t="s">
        <v>20</v>
      </c>
      <c r="D14" s="257">
        <v>2025</v>
      </c>
      <c r="E14" s="258">
        <v>1528.9</v>
      </c>
      <c r="F14" s="274">
        <v>109.21</v>
      </c>
      <c r="G14" s="266">
        <v>-3.4</v>
      </c>
      <c r="H14" s="27"/>
    </row>
    <row r="15" spans="1:8" x14ac:dyDescent="0.2">
      <c r="A15" s="27"/>
      <c r="B15" s="249" t="s">
        <v>31</v>
      </c>
      <c r="C15" s="257" t="s">
        <v>33</v>
      </c>
      <c r="D15" s="257">
        <v>2025</v>
      </c>
      <c r="E15" s="258">
        <v>1511.58</v>
      </c>
      <c r="F15" s="274">
        <v>107.97</v>
      </c>
      <c r="G15" s="267">
        <v>-4.5999999999999996</v>
      </c>
      <c r="H15" s="27"/>
    </row>
    <row r="16" spans="1:8" x14ac:dyDescent="0.2">
      <c r="A16" s="27"/>
      <c r="B16" s="249" t="s">
        <v>35</v>
      </c>
      <c r="C16" s="257" t="s">
        <v>49</v>
      </c>
      <c r="D16" s="257">
        <v>2025</v>
      </c>
      <c r="E16" s="258">
        <v>1508.74</v>
      </c>
      <c r="F16" s="274">
        <v>107.77</v>
      </c>
      <c r="G16" s="268">
        <v>-4.8</v>
      </c>
      <c r="H16" s="27"/>
    </row>
    <row r="17" spans="1:8" x14ac:dyDescent="0.2">
      <c r="A17" s="27"/>
      <c r="B17" s="269" t="s">
        <v>46</v>
      </c>
      <c r="C17" s="270" t="s">
        <v>47</v>
      </c>
      <c r="D17" s="270">
        <v>2025</v>
      </c>
      <c r="E17" s="271">
        <v>1448.88</v>
      </c>
      <c r="F17" s="275">
        <v>103.49</v>
      </c>
      <c r="G17" s="272">
        <v>-9.1</v>
      </c>
      <c r="H17" s="27"/>
    </row>
    <row r="18" spans="1:8" x14ac:dyDescent="0.2">
      <c r="A18" s="27"/>
      <c r="B18" s="27"/>
      <c r="C18" s="27"/>
      <c r="D18" s="27"/>
      <c r="E18" s="27"/>
      <c r="F18" s="27"/>
      <c r="G18" s="27"/>
      <c r="H18" s="27"/>
    </row>
  </sheetData>
  <mergeCells count="1">
    <mergeCell ref="B4:G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3:G28"/>
  <sheetViews>
    <sheetView workbookViewId="0">
      <selection activeCell="F36" sqref="F36"/>
    </sheetView>
  </sheetViews>
  <sheetFormatPr baseColWidth="10" defaultRowHeight="16" x14ac:dyDescent="0.2"/>
  <cols>
    <col min="3" max="3" width="27" customWidth="1"/>
    <col min="6" max="6" width="14.1640625" customWidth="1"/>
    <col min="7" max="7" width="10.83203125" style="27"/>
  </cols>
  <sheetData>
    <row r="3" spans="1:6" x14ac:dyDescent="0.2">
      <c r="A3" s="27"/>
      <c r="B3" s="27"/>
      <c r="C3" s="27"/>
      <c r="D3" s="27"/>
      <c r="E3" s="27"/>
      <c r="F3" s="27"/>
    </row>
    <row r="4" spans="1:6" ht="19" x14ac:dyDescent="0.25">
      <c r="A4" s="27"/>
      <c r="B4" s="293" t="s">
        <v>605</v>
      </c>
      <c r="C4" s="294"/>
      <c r="D4" s="294"/>
      <c r="E4" s="294"/>
      <c r="F4" s="295"/>
    </row>
    <row r="5" spans="1:6" ht="31" customHeight="1" x14ac:dyDescent="0.2">
      <c r="A5" s="27"/>
      <c r="B5" s="69" t="s">
        <v>0</v>
      </c>
      <c r="C5" s="70" t="s">
        <v>78</v>
      </c>
      <c r="D5" s="70" t="s">
        <v>79</v>
      </c>
      <c r="E5" s="70" t="s">
        <v>412</v>
      </c>
      <c r="F5" s="84" t="s">
        <v>431</v>
      </c>
    </row>
    <row r="6" spans="1:6" ht="16" customHeight="1" x14ac:dyDescent="0.2">
      <c r="A6" s="27"/>
      <c r="B6" s="32">
        <v>2025</v>
      </c>
      <c r="C6" t="s">
        <v>18</v>
      </c>
      <c r="D6" t="s">
        <v>20</v>
      </c>
      <c r="E6" s="42">
        <v>123</v>
      </c>
      <c r="F6" s="158">
        <v>10.4</v>
      </c>
    </row>
    <row r="7" spans="1:6" ht="16" customHeight="1" x14ac:dyDescent="0.2">
      <c r="A7" s="27"/>
      <c r="B7" s="32">
        <v>2024</v>
      </c>
      <c r="C7" t="s">
        <v>18</v>
      </c>
      <c r="D7" t="s">
        <v>20</v>
      </c>
      <c r="E7">
        <v>123.6</v>
      </c>
      <c r="F7" s="158">
        <v>10.8</v>
      </c>
    </row>
    <row r="8" spans="1:6" x14ac:dyDescent="0.2">
      <c r="A8" s="27"/>
      <c r="B8" s="32">
        <v>2023</v>
      </c>
      <c r="C8" t="s">
        <v>48</v>
      </c>
      <c r="D8" t="s">
        <v>36</v>
      </c>
      <c r="E8">
        <v>121.9</v>
      </c>
      <c r="F8" s="159">
        <v>8.9000000000000057</v>
      </c>
    </row>
    <row r="9" spans="1:6" x14ac:dyDescent="0.2">
      <c r="A9" s="27"/>
      <c r="B9" s="32">
        <v>2022</v>
      </c>
      <c r="C9" t="s">
        <v>43</v>
      </c>
      <c r="D9" t="s">
        <v>21</v>
      </c>
      <c r="E9" s="42">
        <v>110.23</v>
      </c>
      <c r="F9" s="159">
        <v>-0.5899999999999892</v>
      </c>
    </row>
    <row r="10" spans="1:6" x14ac:dyDescent="0.2">
      <c r="A10" s="27"/>
      <c r="B10" s="32">
        <v>2021</v>
      </c>
      <c r="C10" t="s">
        <v>30</v>
      </c>
      <c r="D10" t="s">
        <v>32</v>
      </c>
      <c r="E10" s="42">
        <v>126.11</v>
      </c>
      <c r="F10" s="159">
        <v>13.299999999999997</v>
      </c>
    </row>
    <row r="11" spans="1:6" x14ac:dyDescent="0.2">
      <c r="A11" s="27"/>
      <c r="B11" s="72">
        <v>2020</v>
      </c>
      <c r="C11" s="73" t="s">
        <v>38</v>
      </c>
      <c r="D11" s="73" t="s">
        <v>36</v>
      </c>
      <c r="E11" s="73">
        <v>115.2</v>
      </c>
      <c r="F11" s="160">
        <v>14.299999999999997</v>
      </c>
    </row>
    <row r="12" spans="1:6" x14ac:dyDescent="0.2">
      <c r="A12" s="27"/>
      <c r="B12" s="32">
        <v>2019</v>
      </c>
      <c r="C12" t="s">
        <v>31</v>
      </c>
      <c r="D12" t="s">
        <v>33</v>
      </c>
      <c r="E12">
        <v>99.6</v>
      </c>
      <c r="F12" s="159">
        <v>-1.2000000000000028</v>
      </c>
    </row>
    <row r="13" spans="1:6" x14ac:dyDescent="0.2">
      <c r="A13" s="27"/>
      <c r="B13" s="32">
        <v>2018</v>
      </c>
      <c r="C13" t="s">
        <v>57</v>
      </c>
      <c r="D13" t="s">
        <v>17</v>
      </c>
      <c r="E13">
        <v>108.5</v>
      </c>
      <c r="F13" s="159">
        <v>7.2000000000000028</v>
      </c>
    </row>
    <row r="14" spans="1:6" x14ac:dyDescent="0.2">
      <c r="A14" s="27"/>
      <c r="B14" s="32">
        <v>2017</v>
      </c>
      <c r="C14" t="s">
        <v>18</v>
      </c>
      <c r="D14" t="s">
        <v>20</v>
      </c>
      <c r="E14">
        <v>115.7</v>
      </c>
      <c r="F14" s="159">
        <v>22.299999999999997</v>
      </c>
    </row>
    <row r="15" spans="1:6" x14ac:dyDescent="0.2">
      <c r="A15" s="27"/>
      <c r="B15" s="32">
        <v>2016</v>
      </c>
      <c r="C15" t="s">
        <v>60</v>
      </c>
      <c r="D15" t="s">
        <v>45</v>
      </c>
      <c r="E15">
        <v>112.8</v>
      </c>
      <c r="F15" s="159">
        <v>16.799999999999997</v>
      </c>
    </row>
    <row r="16" spans="1:6" x14ac:dyDescent="0.2">
      <c r="A16" s="27"/>
      <c r="B16" s="32">
        <v>2015</v>
      </c>
      <c r="C16" t="s">
        <v>31</v>
      </c>
      <c r="D16" t="s">
        <v>33</v>
      </c>
      <c r="E16">
        <v>101.5</v>
      </c>
      <c r="F16" s="159">
        <v>4.7999999999999972</v>
      </c>
    </row>
    <row r="17" spans="1:6" x14ac:dyDescent="0.2">
      <c r="A17" s="27"/>
      <c r="B17" s="32">
        <v>2014</v>
      </c>
      <c r="C17" t="s">
        <v>65</v>
      </c>
      <c r="D17" t="s">
        <v>16</v>
      </c>
      <c r="E17">
        <v>105.1</v>
      </c>
      <c r="F17" s="159">
        <v>7.5</v>
      </c>
    </row>
    <row r="18" spans="1:6" x14ac:dyDescent="0.2">
      <c r="A18" s="27"/>
      <c r="B18" s="32">
        <v>2013</v>
      </c>
      <c r="C18" t="s">
        <v>18</v>
      </c>
      <c r="D18" t="s">
        <v>20</v>
      </c>
      <c r="E18">
        <v>108.3</v>
      </c>
      <c r="F18" s="159">
        <v>8.8999999999999915</v>
      </c>
    </row>
    <row r="19" spans="1:6" x14ac:dyDescent="0.2">
      <c r="A19" s="27"/>
      <c r="B19" s="74">
        <v>2012</v>
      </c>
      <c r="C19" s="75" t="s">
        <v>432</v>
      </c>
      <c r="D19" s="75" t="s">
        <v>62</v>
      </c>
      <c r="E19" s="75">
        <v>103.3</v>
      </c>
      <c r="F19" s="161">
        <v>5.5</v>
      </c>
    </row>
    <row r="20" spans="1:6" x14ac:dyDescent="0.2">
      <c r="A20" s="27"/>
      <c r="B20" s="85" t="s">
        <v>447</v>
      </c>
      <c r="C20" s="27"/>
      <c r="D20" s="27"/>
      <c r="E20" s="27"/>
      <c r="F20" s="27"/>
    </row>
    <row r="21" spans="1:6" x14ac:dyDescent="0.2">
      <c r="A21" s="27"/>
      <c r="B21" s="27"/>
      <c r="C21" s="27"/>
    </row>
    <row r="22" spans="1:6" ht="19" x14ac:dyDescent="0.25">
      <c r="A22" s="27"/>
      <c r="B22" s="293" t="s">
        <v>442</v>
      </c>
      <c r="C22" s="295"/>
      <c r="D22" s="83"/>
      <c r="E22" s="76"/>
      <c r="F22" s="76"/>
    </row>
    <row r="23" spans="1:6" x14ac:dyDescent="0.2">
      <c r="A23" s="27"/>
      <c r="B23" s="81" t="s">
        <v>443</v>
      </c>
      <c r="C23" s="82" t="s">
        <v>10</v>
      </c>
      <c r="D23" s="27"/>
    </row>
    <row r="24" spans="1:6" x14ac:dyDescent="0.2">
      <c r="A24" s="27"/>
      <c r="B24" s="77">
        <v>4</v>
      </c>
      <c r="C24" s="78" t="s">
        <v>20</v>
      </c>
      <c r="D24" s="27"/>
    </row>
    <row r="25" spans="1:6" x14ac:dyDescent="0.2">
      <c r="A25" s="27"/>
      <c r="B25" s="77">
        <v>2</v>
      </c>
      <c r="C25" s="78" t="s">
        <v>446</v>
      </c>
      <c r="D25" s="27"/>
    </row>
    <row r="26" spans="1:6" x14ac:dyDescent="0.2">
      <c r="A26" s="27"/>
      <c r="B26" s="77">
        <v>1</v>
      </c>
      <c r="C26" s="78" t="s">
        <v>444</v>
      </c>
      <c r="D26" s="27"/>
    </row>
    <row r="27" spans="1:6" x14ac:dyDescent="0.2">
      <c r="A27" s="27"/>
      <c r="B27" s="79">
        <v>0</v>
      </c>
      <c r="C27" s="80" t="s">
        <v>445</v>
      </c>
      <c r="D27" s="27"/>
    </row>
    <row r="28" spans="1:6" x14ac:dyDescent="0.2">
      <c r="A28" s="27"/>
      <c r="B28" s="27"/>
      <c r="C28" s="27"/>
      <c r="D28" s="27"/>
    </row>
  </sheetData>
  <mergeCells count="2">
    <mergeCell ref="B4:F4"/>
    <mergeCell ref="B22:C22"/>
  </mergeCells>
  <conditionalFormatting sqref="F6:F19">
    <cfRule type="colorScale" priority="1">
      <colorScale>
        <cfvo type="min"/>
        <cfvo type="max"/>
        <color rgb="FFFCFCFF"/>
        <color rgb="FF63BE7B"/>
      </colorScale>
    </cfRule>
  </conditionalFormatting>
  <conditionalFormatting sqref="F8:F19">
    <cfRule type="colorScale" priority="2">
      <colorScale>
        <cfvo type="num" val="-22"/>
        <cfvo type="num" val="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:I21"/>
  <sheetViews>
    <sheetView workbookViewId="0">
      <selection activeCell="K29" sqref="K29"/>
    </sheetView>
  </sheetViews>
  <sheetFormatPr baseColWidth="10" defaultRowHeight="16" x14ac:dyDescent="0.2"/>
  <cols>
    <col min="5" max="5" width="10.83203125" hidden="1" customWidth="1"/>
    <col min="7" max="7" width="10.83203125" hidden="1" customWidth="1"/>
  </cols>
  <sheetData>
    <row r="3" spans="1:9" x14ac:dyDescent="0.2">
      <c r="A3" s="27"/>
      <c r="B3" s="27"/>
      <c r="C3" s="27"/>
      <c r="D3" s="27"/>
      <c r="E3" s="27"/>
      <c r="F3" s="27"/>
      <c r="G3" s="27"/>
      <c r="H3" s="27"/>
      <c r="I3" s="27"/>
    </row>
    <row r="4" spans="1:9" x14ac:dyDescent="0.2">
      <c r="A4" s="27"/>
      <c r="B4" s="296" t="s">
        <v>611</v>
      </c>
      <c r="C4" s="297"/>
      <c r="D4" s="297"/>
      <c r="E4" s="297"/>
      <c r="F4" s="297"/>
      <c r="G4" s="297"/>
      <c r="H4" s="298"/>
      <c r="I4" s="27"/>
    </row>
    <row r="5" spans="1:9" x14ac:dyDescent="0.2">
      <c r="A5" s="27"/>
      <c r="B5" s="104" t="s">
        <v>79</v>
      </c>
      <c r="C5" s="105" t="s">
        <v>484</v>
      </c>
      <c r="D5" s="106" t="s">
        <v>485</v>
      </c>
      <c r="E5" s="107" t="s">
        <v>433</v>
      </c>
      <c r="F5" s="104" t="s">
        <v>486</v>
      </c>
      <c r="G5" s="105" t="s">
        <v>434</v>
      </c>
      <c r="H5" s="106" t="s">
        <v>449</v>
      </c>
      <c r="I5" s="27"/>
    </row>
    <row r="6" spans="1:9" x14ac:dyDescent="0.2">
      <c r="A6" s="27"/>
      <c r="B6" s="32" t="s">
        <v>20</v>
      </c>
      <c r="C6" s="46">
        <v>5</v>
      </c>
      <c r="D6" s="108">
        <v>4</v>
      </c>
      <c r="E6">
        <v>8</v>
      </c>
      <c r="F6" s="109" t="s">
        <v>610</v>
      </c>
      <c r="G6">
        <v>1</v>
      </c>
      <c r="H6" s="110">
        <f t="shared" ref="H6:H20" si="0">E6/(E6+G6)</f>
        <v>0.88888888888888884</v>
      </c>
      <c r="I6" s="27"/>
    </row>
    <row r="7" spans="1:9" x14ac:dyDescent="0.2">
      <c r="A7" s="27"/>
      <c r="B7" s="32" t="s">
        <v>36</v>
      </c>
      <c r="C7" s="32">
        <v>8</v>
      </c>
      <c r="D7" s="33">
        <v>2</v>
      </c>
      <c r="E7">
        <v>5</v>
      </c>
      <c r="F7" s="109" t="s">
        <v>487</v>
      </c>
      <c r="G7">
        <v>6</v>
      </c>
      <c r="H7" s="110">
        <f t="shared" si="0"/>
        <v>0.45454545454545453</v>
      </c>
      <c r="I7" s="27"/>
    </row>
    <row r="8" spans="1:9" x14ac:dyDescent="0.2">
      <c r="A8" s="27"/>
      <c r="B8" s="32" t="s">
        <v>33</v>
      </c>
      <c r="C8" s="32">
        <v>5</v>
      </c>
      <c r="D8" s="33">
        <v>2</v>
      </c>
      <c r="E8">
        <v>6</v>
      </c>
      <c r="F8" s="109" t="s">
        <v>609</v>
      </c>
      <c r="G8">
        <v>3</v>
      </c>
      <c r="H8" s="110">
        <f t="shared" si="0"/>
        <v>0.66666666666666663</v>
      </c>
      <c r="I8" s="27"/>
    </row>
    <row r="9" spans="1:9" x14ac:dyDescent="0.2">
      <c r="A9" s="27"/>
      <c r="B9" s="32" t="s">
        <v>62</v>
      </c>
      <c r="C9" s="32">
        <v>4</v>
      </c>
      <c r="D9" s="33">
        <v>1</v>
      </c>
      <c r="E9">
        <v>3</v>
      </c>
      <c r="F9" s="109" t="s">
        <v>489</v>
      </c>
      <c r="G9">
        <v>3</v>
      </c>
      <c r="H9" s="110">
        <f t="shared" si="0"/>
        <v>0.5</v>
      </c>
      <c r="I9" s="27"/>
    </row>
    <row r="10" spans="1:9" x14ac:dyDescent="0.2">
      <c r="A10" s="27"/>
      <c r="B10" s="32" t="s">
        <v>21</v>
      </c>
      <c r="C10" s="32">
        <v>4</v>
      </c>
      <c r="D10" s="33">
        <v>1</v>
      </c>
      <c r="E10">
        <v>4</v>
      </c>
      <c r="F10" s="109" t="s">
        <v>608</v>
      </c>
      <c r="G10">
        <v>3</v>
      </c>
      <c r="H10" s="110">
        <f t="shared" si="0"/>
        <v>0.5714285714285714</v>
      </c>
      <c r="I10" s="27"/>
    </row>
    <row r="11" spans="1:9" x14ac:dyDescent="0.2">
      <c r="A11" s="27"/>
      <c r="B11" s="32" t="s">
        <v>16</v>
      </c>
      <c r="C11" s="32">
        <v>3</v>
      </c>
      <c r="D11" s="33">
        <v>1</v>
      </c>
      <c r="E11">
        <v>3</v>
      </c>
      <c r="F11" s="109" t="s">
        <v>491</v>
      </c>
      <c r="G11">
        <v>2</v>
      </c>
      <c r="H11" s="110">
        <f t="shared" si="0"/>
        <v>0.6</v>
      </c>
      <c r="I11" s="27"/>
    </row>
    <row r="12" spans="1:9" x14ac:dyDescent="0.2">
      <c r="A12" s="27"/>
      <c r="B12" s="32" t="s">
        <v>32</v>
      </c>
      <c r="C12" s="32">
        <v>3</v>
      </c>
      <c r="D12" s="33">
        <v>1</v>
      </c>
      <c r="E12">
        <v>2</v>
      </c>
      <c r="F12" s="109" t="s">
        <v>492</v>
      </c>
      <c r="G12">
        <v>2</v>
      </c>
      <c r="H12" s="110">
        <f t="shared" si="0"/>
        <v>0.5</v>
      </c>
      <c r="I12" s="27"/>
    </row>
    <row r="13" spans="1:9" x14ac:dyDescent="0.2">
      <c r="A13" s="27"/>
      <c r="B13" s="32" t="s">
        <v>17</v>
      </c>
      <c r="C13" s="32">
        <v>3</v>
      </c>
      <c r="D13" s="33">
        <v>1</v>
      </c>
      <c r="E13">
        <v>3</v>
      </c>
      <c r="F13" s="109" t="s">
        <v>491</v>
      </c>
      <c r="G13">
        <v>2</v>
      </c>
      <c r="H13" s="110">
        <f t="shared" si="0"/>
        <v>0.6</v>
      </c>
      <c r="I13" s="27"/>
    </row>
    <row r="14" spans="1:9" x14ac:dyDescent="0.2">
      <c r="A14" s="27"/>
      <c r="B14" s="32" t="s">
        <v>45</v>
      </c>
      <c r="C14" s="32">
        <v>2</v>
      </c>
      <c r="D14" s="33">
        <v>1</v>
      </c>
      <c r="E14">
        <v>2</v>
      </c>
      <c r="F14" s="109" t="s">
        <v>493</v>
      </c>
      <c r="G14">
        <v>1</v>
      </c>
      <c r="H14" s="110">
        <f t="shared" si="0"/>
        <v>0.66666666666666663</v>
      </c>
      <c r="I14" s="27"/>
    </row>
    <row r="15" spans="1:9" x14ac:dyDescent="0.2">
      <c r="A15" s="27"/>
      <c r="B15" s="32" t="s">
        <v>28</v>
      </c>
      <c r="C15" s="32">
        <v>5</v>
      </c>
      <c r="D15" s="33">
        <v>0</v>
      </c>
      <c r="E15">
        <v>1</v>
      </c>
      <c r="F15" s="109" t="s">
        <v>488</v>
      </c>
      <c r="G15">
        <v>5</v>
      </c>
      <c r="H15" s="110">
        <f t="shared" si="0"/>
        <v>0.16666666666666666</v>
      </c>
      <c r="I15" s="27"/>
    </row>
    <row r="16" spans="1:9" x14ac:dyDescent="0.2">
      <c r="A16" s="27"/>
      <c r="B16" s="32" t="s">
        <v>29</v>
      </c>
      <c r="C16" s="32">
        <v>5</v>
      </c>
      <c r="D16" s="33">
        <v>0</v>
      </c>
      <c r="E16">
        <v>2</v>
      </c>
      <c r="F16" s="109" t="s">
        <v>470</v>
      </c>
      <c r="G16">
        <v>5</v>
      </c>
      <c r="H16" s="110">
        <f t="shared" si="0"/>
        <v>0.2857142857142857</v>
      </c>
      <c r="I16" s="27"/>
    </row>
    <row r="17" spans="1:9" x14ac:dyDescent="0.2">
      <c r="A17" s="27"/>
      <c r="B17" s="32" t="s">
        <v>25</v>
      </c>
      <c r="C17" s="32">
        <v>5</v>
      </c>
      <c r="D17" s="33">
        <v>0</v>
      </c>
      <c r="E17">
        <v>3</v>
      </c>
      <c r="F17" s="109" t="s">
        <v>607</v>
      </c>
      <c r="G17">
        <v>5</v>
      </c>
      <c r="H17" s="110">
        <f t="shared" si="0"/>
        <v>0.375</v>
      </c>
      <c r="I17" s="27"/>
    </row>
    <row r="18" spans="1:9" x14ac:dyDescent="0.2">
      <c r="A18" s="27"/>
      <c r="B18" s="32" t="s">
        <v>24</v>
      </c>
      <c r="C18" s="32">
        <v>4</v>
      </c>
      <c r="D18" s="33">
        <v>0</v>
      </c>
      <c r="E18">
        <v>2</v>
      </c>
      <c r="F18" s="109" t="s">
        <v>490</v>
      </c>
      <c r="G18">
        <v>4</v>
      </c>
      <c r="H18" s="110">
        <f t="shared" si="0"/>
        <v>0.33333333333333331</v>
      </c>
      <c r="I18" s="27"/>
    </row>
    <row r="19" spans="1:9" x14ac:dyDescent="0.2">
      <c r="A19" s="27"/>
      <c r="B19" s="32" t="s">
        <v>49</v>
      </c>
      <c r="C19" s="32">
        <v>3</v>
      </c>
      <c r="D19" s="33">
        <v>0</v>
      </c>
      <c r="E19">
        <v>1</v>
      </c>
      <c r="F19" s="109" t="s">
        <v>606</v>
      </c>
      <c r="G19">
        <v>3</v>
      </c>
      <c r="H19" s="110">
        <f t="shared" si="0"/>
        <v>0.25</v>
      </c>
      <c r="I19" s="27"/>
    </row>
    <row r="20" spans="1:9" x14ac:dyDescent="0.2">
      <c r="A20" s="27"/>
      <c r="B20" s="74" t="s">
        <v>69</v>
      </c>
      <c r="C20" s="74">
        <v>1</v>
      </c>
      <c r="D20" s="40">
        <v>0</v>
      </c>
      <c r="E20" s="75">
        <v>0</v>
      </c>
      <c r="F20" s="111" t="s">
        <v>494</v>
      </c>
      <c r="G20" s="75">
        <v>1</v>
      </c>
      <c r="H20" s="112">
        <f t="shared" si="0"/>
        <v>0</v>
      </c>
      <c r="I20" s="27"/>
    </row>
    <row r="21" spans="1:9" x14ac:dyDescent="0.2">
      <c r="A21" s="27"/>
      <c r="B21" s="27"/>
      <c r="C21" s="27"/>
      <c r="D21" s="27"/>
      <c r="E21" s="27"/>
      <c r="F21" s="27"/>
      <c r="G21" s="27"/>
      <c r="H21" s="27"/>
      <c r="I21" s="27"/>
    </row>
  </sheetData>
  <sortState xmlns:xlrd2="http://schemas.microsoft.com/office/spreadsheetml/2017/richdata2" ref="B6:H20">
    <sortCondition descending="1" ref="D6:D20"/>
    <sortCondition descending="1" ref="C6:C20"/>
  </sortState>
  <mergeCells count="1">
    <mergeCell ref="B4:H4"/>
  </mergeCells>
  <conditionalFormatting sqref="H6:H20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34"/>
  <sheetViews>
    <sheetView topLeftCell="B1" zoomScale="130" zoomScaleNormal="130" workbookViewId="0">
      <selection activeCell="B5" sqref="B5:C16"/>
    </sheetView>
  </sheetViews>
  <sheetFormatPr baseColWidth="10" defaultRowHeight="16" x14ac:dyDescent="0.2"/>
  <cols>
    <col min="2" max="2" width="28.83203125" customWidth="1"/>
  </cols>
  <sheetData>
    <row r="2" spans="1:11" x14ac:dyDescent="0.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35" customHeight="1" x14ac:dyDescent="0.25">
      <c r="A3" s="27"/>
      <c r="B3" s="299" t="s">
        <v>619</v>
      </c>
      <c r="C3" s="294"/>
      <c r="D3" s="294"/>
      <c r="E3" s="294"/>
      <c r="F3" s="294"/>
      <c r="G3" s="294"/>
      <c r="H3" s="294"/>
      <c r="I3" s="294"/>
      <c r="J3" s="295"/>
      <c r="K3" s="27"/>
    </row>
    <row r="4" spans="1:11" ht="32" x14ac:dyDescent="0.2">
      <c r="A4" s="27"/>
      <c r="B4" s="49" t="s">
        <v>78</v>
      </c>
      <c r="C4" s="50" t="s">
        <v>418</v>
      </c>
      <c r="D4" s="50" t="s">
        <v>419</v>
      </c>
      <c r="E4" s="50" t="s">
        <v>420</v>
      </c>
      <c r="F4" s="51" t="s">
        <v>421</v>
      </c>
      <c r="G4" s="50" t="s">
        <v>422</v>
      </c>
      <c r="H4" s="50" t="s">
        <v>618</v>
      </c>
      <c r="I4" s="50" t="s">
        <v>423</v>
      </c>
      <c r="J4" s="60" t="s">
        <v>424</v>
      </c>
      <c r="K4" s="27"/>
    </row>
    <row r="5" spans="1:11" x14ac:dyDescent="0.2">
      <c r="A5" s="27"/>
      <c r="B5" s="180" t="s">
        <v>18</v>
      </c>
      <c r="C5" s="61">
        <v>9.09</v>
      </c>
      <c r="D5" s="61">
        <v>4.91</v>
      </c>
      <c r="E5" s="52" t="s">
        <v>598</v>
      </c>
      <c r="F5" s="62">
        <v>1721.35</v>
      </c>
      <c r="G5" s="63">
        <v>0.90600000000000014</v>
      </c>
      <c r="H5" s="63">
        <v>0.48899999999999999</v>
      </c>
      <c r="I5" s="63">
        <v>2E-3</v>
      </c>
      <c r="J5" s="197">
        <f>10-C5</f>
        <v>0.91000000000000014</v>
      </c>
      <c r="K5" s="27"/>
    </row>
    <row r="6" spans="1:11" x14ac:dyDescent="0.2">
      <c r="A6" s="27"/>
      <c r="B6" s="181" t="s">
        <v>35</v>
      </c>
      <c r="C6" s="182">
        <v>8.89</v>
      </c>
      <c r="D6" s="182">
        <v>5.1099999999999994</v>
      </c>
      <c r="E6" s="183" t="s">
        <v>598</v>
      </c>
      <c r="F6" s="184">
        <v>1707.5</v>
      </c>
      <c r="G6" s="185">
        <v>0.88400000000000001</v>
      </c>
      <c r="H6" s="185">
        <v>0.434</v>
      </c>
      <c r="I6" s="185">
        <v>3.0000000000000001E-3</v>
      </c>
      <c r="J6" s="198">
        <f>10-C6</f>
        <v>1.1099999999999994</v>
      </c>
      <c r="K6" s="27"/>
    </row>
    <row r="7" spans="1:11" x14ac:dyDescent="0.2">
      <c r="A7" s="27"/>
      <c r="B7" s="186" t="s">
        <v>521</v>
      </c>
      <c r="C7" s="187">
        <v>8.74</v>
      </c>
      <c r="D7" s="187">
        <v>5.26</v>
      </c>
      <c r="E7" s="188" t="s">
        <v>599</v>
      </c>
      <c r="F7" s="189">
        <v>1696.09</v>
      </c>
      <c r="G7" s="190">
        <v>0.86599999999999999</v>
      </c>
      <c r="H7" s="190">
        <v>0.39200000000000002</v>
      </c>
      <c r="I7" s="190">
        <v>3.0000000000000001E-3</v>
      </c>
      <c r="J7" s="197">
        <f>9-C7</f>
        <v>0.25999999999999979</v>
      </c>
      <c r="K7" s="27"/>
    </row>
    <row r="8" spans="1:11" x14ac:dyDescent="0.2">
      <c r="A8" s="27"/>
      <c r="B8" s="191" t="s">
        <v>525</v>
      </c>
      <c r="C8" s="175">
        <v>8.3800000000000008</v>
      </c>
      <c r="D8" s="175">
        <v>5.6199999999999992</v>
      </c>
      <c r="E8" s="173" t="s">
        <v>602</v>
      </c>
      <c r="F8" s="174">
        <v>1671.02</v>
      </c>
      <c r="G8" s="58">
        <v>0.81499999999999995</v>
      </c>
      <c r="H8" s="58">
        <v>0.30199999999999999</v>
      </c>
      <c r="I8" s="58">
        <v>5.0000000000000001E-3</v>
      </c>
      <c r="J8" s="199">
        <f>5-C8</f>
        <v>-3.3800000000000008</v>
      </c>
      <c r="K8" s="27"/>
    </row>
    <row r="9" spans="1:11" x14ac:dyDescent="0.2">
      <c r="A9" s="27"/>
      <c r="B9" s="191" t="s">
        <v>524</v>
      </c>
      <c r="C9" s="175">
        <v>7.53</v>
      </c>
      <c r="D9" s="175">
        <v>6.47</v>
      </c>
      <c r="E9" s="173" t="s">
        <v>600</v>
      </c>
      <c r="F9" s="174">
        <v>1612.13</v>
      </c>
      <c r="G9" s="58">
        <v>0.64200000000000002</v>
      </c>
      <c r="H9" s="58">
        <v>0.14800000000000002</v>
      </c>
      <c r="I9" s="58">
        <v>1.9E-2</v>
      </c>
      <c r="J9" s="199">
        <f>7-C9</f>
        <v>-0.53000000000000025</v>
      </c>
      <c r="K9" s="27"/>
    </row>
    <row r="10" spans="1:11" x14ac:dyDescent="0.2">
      <c r="A10" s="27"/>
      <c r="B10" s="192" t="s">
        <v>46</v>
      </c>
      <c r="C10" s="39">
        <v>7.08</v>
      </c>
      <c r="D10" s="39">
        <v>6.92</v>
      </c>
      <c r="E10" s="38" t="s">
        <v>599</v>
      </c>
      <c r="F10" s="177">
        <v>1582.29</v>
      </c>
      <c r="G10" s="64">
        <v>0.53200000000000003</v>
      </c>
      <c r="H10" s="64">
        <v>9.7000000000000017E-2</v>
      </c>
      <c r="I10" s="64">
        <v>3.3000000000000002E-2</v>
      </c>
      <c r="J10" s="198">
        <f>9-C10</f>
        <v>1.92</v>
      </c>
      <c r="K10" s="27"/>
    </row>
    <row r="11" spans="1:11" x14ac:dyDescent="0.2">
      <c r="A11" s="27"/>
      <c r="B11" s="193" t="s">
        <v>14</v>
      </c>
      <c r="C11" s="65">
        <v>6.34</v>
      </c>
      <c r="D11" s="65">
        <v>7.66</v>
      </c>
      <c r="E11" s="66" t="s">
        <v>602</v>
      </c>
      <c r="F11" s="67">
        <v>1531.15</v>
      </c>
      <c r="G11" s="53">
        <v>0.34700000000000003</v>
      </c>
      <c r="H11" s="68">
        <v>4.2000000000000003E-2</v>
      </c>
      <c r="I11" s="68">
        <v>7.4999999999999997E-2</v>
      </c>
      <c r="J11" s="197">
        <f>5-C11</f>
        <v>-1.3399999999999999</v>
      </c>
      <c r="K11" s="27"/>
    </row>
    <row r="12" spans="1:11" x14ac:dyDescent="0.2">
      <c r="A12" s="27"/>
      <c r="B12" s="194" t="s">
        <v>42</v>
      </c>
      <c r="C12" s="42">
        <v>6.24</v>
      </c>
      <c r="D12" s="42">
        <v>7.76</v>
      </c>
      <c r="E12" s="41" t="s">
        <v>601</v>
      </c>
      <c r="F12" s="4">
        <v>1525.29</v>
      </c>
      <c r="G12" s="54">
        <v>0.32299999999999995</v>
      </c>
      <c r="H12" s="59">
        <v>3.7999999999999999E-2</v>
      </c>
      <c r="I12" s="59">
        <v>8.3000000000000004E-2</v>
      </c>
      <c r="J12" s="199">
        <f>5-C12</f>
        <v>-1.2400000000000002</v>
      </c>
      <c r="K12" s="27"/>
    </row>
    <row r="13" spans="1:11" x14ac:dyDescent="0.2">
      <c r="A13" s="27"/>
      <c r="B13" s="194" t="s">
        <v>31</v>
      </c>
      <c r="C13" s="42">
        <v>5.87</v>
      </c>
      <c r="D13" s="42">
        <v>8.129999999999999</v>
      </c>
      <c r="E13" s="41" t="s">
        <v>600</v>
      </c>
      <c r="F13" s="4">
        <v>1498.47</v>
      </c>
      <c r="G13" s="54">
        <v>0.24299999999999999</v>
      </c>
      <c r="H13" s="59">
        <v>2.4E-2</v>
      </c>
      <c r="I13" s="59">
        <v>0.12300000000000001</v>
      </c>
      <c r="J13" s="199">
        <f>7-C13</f>
        <v>1.1299999999999999</v>
      </c>
      <c r="K13" s="27"/>
    </row>
    <row r="14" spans="1:11" x14ac:dyDescent="0.2">
      <c r="A14" s="27"/>
      <c r="B14" s="194" t="s">
        <v>526</v>
      </c>
      <c r="C14" s="42">
        <v>5.4</v>
      </c>
      <c r="D14" s="42">
        <v>8.6</v>
      </c>
      <c r="E14" s="41" t="s">
        <v>601</v>
      </c>
      <c r="F14" s="4">
        <v>1466.36</v>
      </c>
      <c r="G14" s="54">
        <v>0.16500000000000001</v>
      </c>
      <c r="H14" s="59">
        <v>1.3000000000000001E-2</v>
      </c>
      <c r="I14" s="59">
        <v>0.193</v>
      </c>
      <c r="J14" s="199">
        <f>6-C14</f>
        <v>0.59999999999999964</v>
      </c>
      <c r="K14" s="27"/>
    </row>
    <row r="15" spans="1:11" x14ac:dyDescent="0.2">
      <c r="A15" s="27"/>
      <c r="B15" s="194" t="s">
        <v>26</v>
      </c>
      <c r="C15" s="42">
        <v>5.39</v>
      </c>
      <c r="D15" s="42">
        <v>8.61</v>
      </c>
      <c r="E15" s="41" t="s">
        <v>602</v>
      </c>
      <c r="F15" s="4">
        <v>1465.59</v>
      </c>
      <c r="G15" s="54">
        <v>0.16200000000000001</v>
      </c>
      <c r="H15" s="59">
        <v>1.3000000000000001E-2</v>
      </c>
      <c r="I15" s="59">
        <v>0.19699999999999998</v>
      </c>
      <c r="J15" s="199">
        <f>5-C15</f>
        <v>-0.38999999999999968</v>
      </c>
      <c r="K15" s="27"/>
    </row>
    <row r="16" spans="1:11" x14ac:dyDescent="0.2">
      <c r="A16" s="27"/>
      <c r="B16" s="195" t="s">
        <v>77</v>
      </c>
      <c r="C16" s="25">
        <v>5.05</v>
      </c>
      <c r="D16" s="25">
        <v>8.9499999999999993</v>
      </c>
      <c r="E16" s="57" t="s">
        <v>601</v>
      </c>
      <c r="F16" s="16">
        <v>1441.8</v>
      </c>
      <c r="G16" s="55">
        <v>0.11599999999999999</v>
      </c>
      <c r="H16" s="196">
        <v>8.0000000000000002E-3</v>
      </c>
      <c r="I16" s="196">
        <v>0.26500000000000001</v>
      </c>
      <c r="J16" s="198">
        <f>6-C16</f>
        <v>0.95000000000000018</v>
      </c>
      <c r="K16" s="27"/>
    </row>
    <row r="17" spans="1:11" x14ac:dyDescent="0.2">
      <c r="A17" s="27"/>
      <c r="B17" s="148" t="s">
        <v>514</v>
      </c>
      <c r="C17" s="27"/>
      <c r="D17" s="27"/>
      <c r="E17" s="27"/>
      <c r="F17" s="27"/>
      <c r="G17" s="27"/>
      <c r="H17" s="27"/>
      <c r="I17" s="27"/>
      <c r="J17" s="27"/>
      <c r="K17" s="27"/>
    </row>
    <row r="18" spans="1:11" x14ac:dyDescent="0.2">
      <c r="A18" s="27"/>
      <c r="B18" s="146" t="s">
        <v>513</v>
      </c>
      <c r="C18" s="27"/>
      <c r="D18" s="27"/>
      <c r="E18" s="27"/>
      <c r="F18" s="27"/>
      <c r="G18" s="147"/>
      <c r="H18" s="147"/>
      <c r="I18" s="147"/>
      <c r="J18" s="27"/>
    </row>
    <row r="19" spans="1:11" x14ac:dyDescent="0.2">
      <c r="G19" s="56"/>
      <c r="H19" s="56"/>
      <c r="I19" s="56"/>
    </row>
    <row r="20" spans="1:11" x14ac:dyDescent="0.2">
      <c r="G20" s="56"/>
      <c r="H20" s="56"/>
      <c r="I20" s="56"/>
    </row>
    <row r="21" spans="1:11" x14ac:dyDescent="0.2">
      <c r="G21" s="56"/>
      <c r="H21" s="56"/>
      <c r="I21" s="56"/>
    </row>
    <row r="22" spans="1:11" x14ac:dyDescent="0.2">
      <c r="G22" s="56"/>
      <c r="H22" s="56"/>
      <c r="I22" s="56"/>
    </row>
    <row r="23" spans="1:11" x14ac:dyDescent="0.2">
      <c r="C23" s="41"/>
      <c r="G23" s="56"/>
      <c r="H23" s="56"/>
      <c r="I23" s="56"/>
    </row>
    <row r="24" spans="1:11" x14ac:dyDescent="0.2">
      <c r="C24" s="41"/>
      <c r="G24" s="56"/>
      <c r="H24" s="56"/>
      <c r="I24" s="56"/>
    </row>
    <row r="25" spans="1:11" x14ac:dyDescent="0.2">
      <c r="C25" s="41"/>
      <c r="D25" s="4"/>
      <c r="G25" s="56"/>
      <c r="H25" s="56"/>
      <c r="I25" s="56"/>
    </row>
    <row r="26" spans="1:11" x14ac:dyDescent="0.2">
      <c r="C26" s="41"/>
      <c r="G26" s="56"/>
      <c r="H26" s="56"/>
      <c r="I26" s="56"/>
    </row>
    <row r="27" spans="1:11" x14ac:dyDescent="0.2">
      <c r="C27" s="41"/>
      <c r="D27" s="4"/>
      <c r="G27" s="56"/>
      <c r="H27" s="56"/>
      <c r="I27" s="56"/>
    </row>
    <row r="28" spans="1:11" x14ac:dyDescent="0.2">
      <c r="C28" s="41"/>
      <c r="D28" s="4"/>
      <c r="G28" s="56"/>
      <c r="H28" s="56"/>
      <c r="I28" s="56"/>
    </row>
    <row r="29" spans="1:11" x14ac:dyDescent="0.2">
      <c r="C29" s="41"/>
      <c r="D29" s="4"/>
      <c r="G29" s="56"/>
      <c r="H29" s="56"/>
      <c r="I29" s="56"/>
    </row>
    <row r="30" spans="1:11" x14ac:dyDescent="0.2">
      <c r="C30" s="41"/>
      <c r="D30" s="4"/>
    </row>
    <row r="31" spans="1:11" x14ac:dyDescent="0.2">
      <c r="C31" s="41"/>
      <c r="D31" s="4"/>
    </row>
    <row r="32" spans="1:11" x14ac:dyDescent="0.2">
      <c r="C32" s="41"/>
      <c r="D32" s="4"/>
    </row>
    <row r="33" spans="3:4" x14ac:dyDescent="0.2">
      <c r="C33" s="44"/>
      <c r="D33" s="4"/>
    </row>
    <row r="34" spans="3:4" x14ac:dyDescent="0.2">
      <c r="C34" s="44"/>
    </row>
  </sheetData>
  <mergeCells count="1">
    <mergeCell ref="B3:J3"/>
  </mergeCells>
  <conditionalFormatting sqref="J5:J16">
    <cfRule type="colorScale" priority="1">
      <colorScale>
        <cfvo type="num" val="-3"/>
        <cfvo type="num" val="0"/>
        <cfvo type="num" val="3"/>
        <color theme="5"/>
        <color rgb="FFFCFCFF"/>
        <color theme="4"/>
      </colorScale>
    </cfRule>
  </conditionalFormatting>
  <pageMargins left="0.7" right="0.7" top="0.75" bottom="0.75" header="0.3" footer="0.3"/>
  <ignoredErrors>
    <ignoredError sqref="J7 J15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6045-CF6B-2B4C-9E65-50563FCA9724}">
  <dimension ref="A1:I38"/>
  <sheetViews>
    <sheetView workbookViewId="0">
      <selection activeCell="I34" sqref="I34"/>
    </sheetView>
  </sheetViews>
  <sheetFormatPr baseColWidth="10" defaultRowHeight="16" x14ac:dyDescent="0.2"/>
  <cols>
    <col min="2" max="2" width="28.6640625" customWidth="1"/>
    <col min="3" max="3" width="14.5" customWidth="1"/>
    <col min="7" max="7" width="16.5" customWidth="1"/>
    <col min="8" max="8" width="15.33203125" customWidth="1"/>
  </cols>
  <sheetData>
    <row r="1" spans="1:9" x14ac:dyDescent="0.2">
      <c r="A1" s="27"/>
      <c r="B1" s="27"/>
      <c r="C1" s="27"/>
      <c r="D1" s="27"/>
      <c r="E1" s="27"/>
      <c r="F1" s="27"/>
      <c r="G1" s="27"/>
      <c r="H1" s="27"/>
      <c r="I1" s="27"/>
    </row>
    <row r="2" spans="1:9" ht="19" x14ac:dyDescent="0.25">
      <c r="A2" s="27"/>
      <c r="B2" s="293" t="s">
        <v>644</v>
      </c>
      <c r="C2" s="294"/>
      <c r="D2" s="294"/>
      <c r="E2" s="294"/>
      <c r="F2" s="294"/>
      <c r="G2" s="294"/>
      <c r="H2" s="295"/>
      <c r="I2" s="27"/>
    </row>
    <row r="3" spans="1:9" ht="51" x14ac:dyDescent="0.2">
      <c r="A3" s="27"/>
      <c r="B3" s="69" t="s">
        <v>78</v>
      </c>
      <c r="C3" s="70" t="s">
        <v>79</v>
      </c>
      <c r="D3" s="70" t="s">
        <v>0</v>
      </c>
      <c r="E3" s="70" t="s">
        <v>433</v>
      </c>
      <c r="F3" s="70" t="s">
        <v>434</v>
      </c>
      <c r="G3" s="70" t="s">
        <v>418</v>
      </c>
      <c r="H3" s="242" t="s">
        <v>645</v>
      </c>
      <c r="I3" s="27"/>
    </row>
    <row r="4" spans="1:9" x14ac:dyDescent="0.2">
      <c r="A4" s="27"/>
      <c r="B4" s="205" t="s">
        <v>525</v>
      </c>
      <c r="C4" s="224" t="s">
        <v>36</v>
      </c>
      <c r="D4" s="224">
        <v>2025</v>
      </c>
      <c r="E4" s="224">
        <v>5</v>
      </c>
      <c r="F4" s="224">
        <v>9</v>
      </c>
      <c r="G4" s="215">
        <v>8.3800000000000008</v>
      </c>
      <c r="H4" s="243">
        <v>-3.3800000000000008</v>
      </c>
      <c r="I4" s="27"/>
    </row>
    <row r="5" spans="1:9" x14ac:dyDescent="0.2">
      <c r="A5" s="27"/>
      <c r="B5" s="32" t="s">
        <v>75</v>
      </c>
      <c r="C5" t="s">
        <v>36</v>
      </c>
      <c r="D5">
        <v>2024</v>
      </c>
      <c r="E5">
        <v>3</v>
      </c>
      <c r="F5">
        <v>12</v>
      </c>
      <c r="G5" s="42">
        <v>6.13</v>
      </c>
      <c r="H5" s="159">
        <v>-3.13</v>
      </c>
      <c r="I5" s="27"/>
    </row>
    <row r="6" spans="1:9" x14ac:dyDescent="0.2">
      <c r="A6" s="27"/>
      <c r="B6" s="32" t="s">
        <v>42</v>
      </c>
      <c r="C6" t="s">
        <v>17</v>
      </c>
      <c r="D6">
        <v>2023</v>
      </c>
      <c r="E6">
        <v>4</v>
      </c>
      <c r="F6">
        <v>11</v>
      </c>
      <c r="G6" s="42">
        <v>6.14</v>
      </c>
      <c r="H6" s="159">
        <v>-2.1399999999999997</v>
      </c>
      <c r="I6" s="27"/>
    </row>
    <row r="7" spans="1:9" x14ac:dyDescent="0.2">
      <c r="A7" s="27"/>
      <c r="B7" s="32" t="s">
        <v>26</v>
      </c>
      <c r="C7" t="s">
        <v>28</v>
      </c>
      <c r="D7">
        <v>2024</v>
      </c>
      <c r="E7">
        <v>8</v>
      </c>
      <c r="F7">
        <v>7</v>
      </c>
      <c r="G7" s="42">
        <v>10.07</v>
      </c>
      <c r="H7" s="159">
        <v>-2.0700000000000003</v>
      </c>
      <c r="I7" s="27"/>
    </row>
    <row r="8" spans="1:9" x14ac:dyDescent="0.2">
      <c r="A8" s="27"/>
      <c r="B8" s="32" t="s">
        <v>441</v>
      </c>
      <c r="C8" t="s">
        <v>17</v>
      </c>
      <c r="D8">
        <v>2021</v>
      </c>
      <c r="E8">
        <v>7</v>
      </c>
      <c r="F8">
        <v>8</v>
      </c>
      <c r="G8" s="42">
        <v>9.02</v>
      </c>
      <c r="H8" s="159">
        <v>-2.0199999999999996</v>
      </c>
      <c r="I8" s="27"/>
    </row>
    <row r="9" spans="1:9" x14ac:dyDescent="0.2">
      <c r="A9" s="27"/>
      <c r="B9" s="32" t="s">
        <v>22</v>
      </c>
      <c r="C9" t="s">
        <v>24</v>
      </c>
      <c r="D9">
        <v>2022</v>
      </c>
      <c r="E9">
        <v>4.5</v>
      </c>
      <c r="F9">
        <v>10.5</v>
      </c>
      <c r="G9" s="42">
        <v>6.27</v>
      </c>
      <c r="H9" s="159">
        <v>-1.7699999999999996</v>
      </c>
      <c r="I9" s="27"/>
    </row>
    <row r="10" spans="1:9" x14ac:dyDescent="0.2">
      <c r="A10" s="27"/>
      <c r="B10" s="32" t="s">
        <v>76</v>
      </c>
      <c r="C10" t="s">
        <v>32</v>
      </c>
      <c r="D10">
        <v>2024</v>
      </c>
      <c r="E10">
        <v>8</v>
      </c>
      <c r="F10">
        <v>7</v>
      </c>
      <c r="G10" s="42">
        <v>9.76</v>
      </c>
      <c r="H10" s="159">
        <v>-1.7599999999999998</v>
      </c>
      <c r="I10" s="27"/>
    </row>
    <row r="11" spans="1:9" x14ac:dyDescent="0.2">
      <c r="A11" s="27"/>
      <c r="B11" s="32" t="s">
        <v>27</v>
      </c>
      <c r="C11" t="s">
        <v>29</v>
      </c>
      <c r="D11">
        <v>2021</v>
      </c>
      <c r="E11">
        <v>3</v>
      </c>
      <c r="F11">
        <v>12</v>
      </c>
      <c r="G11" s="42">
        <v>4.74</v>
      </c>
      <c r="H11" s="159">
        <v>-1.7400000000000002</v>
      </c>
      <c r="I11" s="27"/>
    </row>
    <row r="12" spans="1:9" x14ac:dyDescent="0.2">
      <c r="A12" s="27"/>
      <c r="B12" s="32" t="s">
        <v>35</v>
      </c>
      <c r="C12" t="s">
        <v>37</v>
      </c>
      <c r="D12">
        <v>2021</v>
      </c>
      <c r="E12">
        <v>6</v>
      </c>
      <c r="F12">
        <v>9</v>
      </c>
      <c r="G12" s="42">
        <v>7.65</v>
      </c>
      <c r="H12" s="159">
        <v>-1.6500000000000004</v>
      </c>
      <c r="I12" s="27"/>
    </row>
    <row r="13" spans="1:9" x14ac:dyDescent="0.2">
      <c r="A13" s="27"/>
      <c r="B13" s="74" t="s">
        <v>46</v>
      </c>
      <c r="C13" s="75" t="s">
        <v>47</v>
      </c>
      <c r="D13" s="75">
        <v>2023</v>
      </c>
      <c r="E13" s="75">
        <v>6</v>
      </c>
      <c r="F13" s="75">
        <v>9</v>
      </c>
      <c r="G13" s="25">
        <v>7.55</v>
      </c>
      <c r="H13" s="161">
        <v>-1.5499999999999998</v>
      </c>
      <c r="I13" s="27"/>
    </row>
    <row r="14" spans="1:9" x14ac:dyDescent="0.2">
      <c r="A14" s="27"/>
      <c r="B14" s="27"/>
      <c r="C14" s="27"/>
      <c r="D14" s="27"/>
      <c r="E14" s="27"/>
      <c r="F14" s="27"/>
      <c r="G14" s="27"/>
      <c r="H14" s="27"/>
      <c r="I14" s="27"/>
    </row>
    <row r="15" spans="1:9" x14ac:dyDescent="0.2">
      <c r="A15" s="27"/>
      <c r="B15" s="27"/>
      <c r="C15" s="27"/>
      <c r="D15" s="27"/>
      <c r="E15" s="27"/>
      <c r="F15" s="27"/>
      <c r="G15" s="27"/>
      <c r="H15" s="27"/>
      <c r="I15" s="27"/>
    </row>
    <row r="16" spans="1:9" ht="19" x14ac:dyDescent="0.25">
      <c r="A16" s="27"/>
      <c r="B16" s="293" t="s">
        <v>646</v>
      </c>
      <c r="C16" s="294"/>
      <c r="D16" s="294"/>
      <c r="E16" s="294"/>
      <c r="F16" s="294"/>
      <c r="G16" s="294"/>
      <c r="H16" s="295"/>
      <c r="I16" s="27"/>
    </row>
    <row r="17" spans="1:9" ht="51" x14ac:dyDescent="0.2">
      <c r="A17" s="27"/>
      <c r="B17" s="69" t="s">
        <v>78</v>
      </c>
      <c r="C17" s="70" t="s">
        <v>79</v>
      </c>
      <c r="D17" s="70" t="s">
        <v>0</v>
      </c>
      <c r="E17" s="70" t="s">
        <v>433</v>
      </c>
      <c r="F17" s="70" t="s">
        <v>434</v>
      </c>
      <c r="G17" s="70" t="s">
        <v>418</v>
      </c>
      <c r="H17" s="242" t="s">
        <v>645</v>
      </c>
      <c r="I17" s="27"/>
    </row>
    <row r="18" spans="1:9" x14ac:dyDescent="0.2">
      <c r="A18" s="27"/>
      <c r="B18" s="46" t="s">
        <v>44</v>
      </c>
      <c r="C18" s="124" t="s">
        <v>45</v>
      </c>
      <c r="D18" s="124">
        <v>2023</v>
      </c>
      <c r="E18" s="124">
        <v>12</v>
      </c>
      <c r="F18" s="124">
        <v>3</v>
      </c>
      <c r="G18" s="65">
        <v>8.89</v>
      </c>
      <c r="H18" s="220">
        <v>3.1099999999999994</v>
      </c>
      <c r="I18" s="27"/>
    </row>
    <row r="19" spans="1:9" x14ac:dyDescent="0.2">
      <c r="A19" s="27"/>
      <c r="B19" s="32" t="s">
        <v>22</v>
      </c>
      <c r="C19" t="s">
        <v>24</v>
      </c>
      <c r="D19">
        <v>2021</v>
      </c>
      <c r="E19">
        <v>12</v>
      </c>
      <c r="F19">
        <v>3</v>
      </c>
      <c r="G19" s="42">
        <v>9.2100000000000009</v>
      </c>
      <c r="H19" s="159">
        <v>2.7899999999999991</v>
      </c>
      <c r="I19" s="27"/>
    </row>
    <row r="20" spans="1:9" x14ac:dyDescent="0.2">
      <c r="A20" s="27"/>
      <c r="B20" s="32" t="s">
        <v>417</v>
      </c>
      <c r="C20" t="s">
        <v>45</v>
      </c>
      <c r="D20">
        <v>2024</v>
      </c>
      <c r="E20">
        <v>9</v>
      </c>
      <c r="F20">
        <v>6</v>
      </c>
      <c r="G20" s="42">
        <v>6.35</v>
      </c>
      <c r="H20" s="159">
        <v>2.6500000000000004</v>
      </c>
      <c r="I20" s="27"/>
    </row>
    <row r="21" spans="1:9" x14ac:dyDescent="0.2">
      <c r="A21" s="27"/>
      <c r="B21" s="32" t="s">
        <v>52</v>
      </c>
      <c r="C21" t="s">
        <v>32</v>
      </c>
      <c r="D21">
        <v>2023</v>
      </c>
      <c r="E21">
        <v>8</v>
      </c>
      <c r="F21">
        <v>7</v>
      </c>
      <c r="G21" s="42">
        <v>5.41</v>
      </c>
      <c r="H21" s="159">
        <v>2.59</v>
      </c>
      <c r="I21" s="27"/>
    </row>
    <row r="22" spans="1:9" x14ac:dyDescent="0.2">
      <c r="A22" s="27"/>
      <c r="B22" s="32" t="s">
        <v>35</v>
      </c>
      <c r="C22" t="s">
        <v>49</v>
      </c>
      <c r="D22">
        <v>2023</v>
      </c>
      <c r="E22">
        <v>8</v>
      </c>
      <c r="F22">
        <v>7</v>
      </c>
      <c r="G22" s="42">
        <v>5.72</v>
      </c>
      <c r="H22" s="159">
        <v>2.2800000000000002</v>
      </c>
      <c r="I22" s="27"/>
    </row>
    <row r="23" spans="1:9" x14ac:dyDescent="0.2">
      <c r="A23" s="27"/>
      <c r="B23" s="32" t="s">
        <v>18</v>
      </c>
      <c r="C23" t="s">
        <v>20</v>
      </c>
      <c r="D23">
        <v>2024</v>
      </c>
      <c r="E23">
        <v>12</v>
      </c>
      <c r="F23">
        <v>3</v>
      </c>
      <c r="G23" s="42">
        <v>9.81</v>
      </c>
      <c r="H23" s="159">
        <v>2.1899999999999995</v>
      </c>
      <c r="I23" s="27"/>
    </row>
    <row r="24" spans="1:9" x14ac:dyDescent="0.2">
      <c r="A24" s="27"/>
      <c r="B24" s="36" t="s">
        <v>46</v>
      </c>
      <c r="C24" s="90" t="s">
        <v>47</v>
      </c>
      <c r="D24" s="90">
        <v>2025</v>
      </c>
      <c r="E24" s="90">
        <v>9</v>
      </c>
      <c r="F24" s="90">
        <v>5</v>
      </c>
      <c r="G24" s="214">
        <v>7.08</v>
      </c>
      <c r="H24" s="218">
        <v>1.92</v>
      </c>
      <c r="I24" s="27"/>
    </row>
    <row r="25" spans="1:9" x14ac:dyDescent="0.2">
      <c r="A25" s="27"/>
      <c r="B25" s="32" t="s">
        <v>44</v>
      </c>
      <c r="C25" t="s">
        <v>45</v>
      </c>
      <c r="D25">
        <v>2022</v>
      </c>
      <c r="E25">
        <v>9</v>
      </c>
      <c r="F25">
        <v>6</v>
      </c>
      <c r="G25" s="42">
        <v>7.19</v>
      </c>
      <c r="H25" s="159">
        <v>1.8099999999999996</v>
      </c>
      <c r="I25" s="27"/>
    </row>
    <row r="26" spans="1:9" x14ac:dyDescent="0.2">
      <c r="A26" s="27"/>
      <c r="B26" s="32" t="s">
        <v>43</v>
      </c>
      <c r="C26" t="s">
        <v>21</v>
      </c>
      <c r="D26">
        <v>2022</v>
      </c>
      <c r="E26">
        <v>9</v>
      </c>
      <c r="F26">
        <v>6</v>
      </c>
      <c r="G26" s="42">
        <v>7.37</v>
      </c>
      <c r="H26" s="159">
        <v>1.63</v>
      </c>
      <c r="I26" s="27"/>
    </row>
    <row r="27" spans="1:9" x14ac:dyDescent="0.2">
      <c r="A27" s="27"/>
      <c r="B27" s="74" t="s">
        <v>26</v>
      </c>
      <c r="C27" s="75" t="s">
        <v>28</v>
      </c>
      <c r="D27" s="75">
        <v>2021</v>
      </c>
      <c r="E27" s="75">
        <v>8</v>
      </c>
      <c r="F27" s="75">
        <v>7</v>
      </c>
      <c r="G27" s="25">
        <v>6.38</v>
      </c>
      <c r="H27" s="161">
        <v>1.62</v>
      </c>
      <c r="I27" s="27"/>
    </row>
    <row r="28" spans="1:9" x14ac:dyDescent="0.2">
      <c r="A28" s="27"/>
      <c r="B28" s="27"/>
      <c r="C28" s="27"/>
      <c r="D28" s="27"/>
      <c r="E28" s="27"/>
      <c r="F28" s="27"/>
      <c r="G28" s="27"/>
      <c r="H28" s="27"/>
      <c r="I28" s="27"/>
    </row>
    <row r="29" spans="1:9" x14ac:dyDescent="0.2">
      <c r="G29" s="42"/>
      <c r="H29" s="225"/>
    </row>
    <row r="30" spans="1:9" x14ac:dyDescent="0.2">
      <c r="G30" s="42"/>
      <c r="H30" s="225"/>
    </row>
    <row r="31" spans="1:9" x14ac:dyDescent="0.2">
      <c r="G31" s="42"/>
      <c r="H31" s="225"/>
    </row>
    <row r="32" spans="1:9" x14ac:dyDescent="0.2">
      <c r="G32" s="42"/>
      <c r="H32" s="225"/>
    </row>
    <row r="33" spans="7:8" x14ac:dyDescent="0.2">
      <c r="G33" s="42"/>
      <c r="H33" s="225"/>
    </row>
    <row r="34" spans="7:8" x14ac:dyDescent="0.2">
      <c r="G34" s="42"/>
      <c r="H34" s="225"/>
    </row>
    <row r="35" spans="7:8" x14ac:dyDescent="0.2">
      <c r="G35" s="42"/>
      <c r="H35" s="225"/>
    </row>
    <row r="36" spans="7:8" x14ac:dyDescent="0.2">
      <c r="G36" s="42"/>
      <c r="H36" s="225"/>
    </row>
    <row r="37" spans="7:8" x14ac:dyDescent="0.2">
      <c r="G37" s="42"/>
      <c r="H37" s="225"/>
    </row>
    <row r="38" spans="7:8" x14ac:dyDescent="0.2">
      <c r="G38" s="42"/>
      <c r="H38" s="225"/>
    </row>
  </sheetData>
  <mergeCells count="2">
    <mergeCell ref="B2:H2"/>
    <mergeCell ref="B16:H16"/>
  </mergeCells>
  <conditionalFormatting sqref="H4:H13">
    <cfRule type="colorScale" priority="3">
      <colorScale>
        <cfvo type="min"/>
        <cfvo type="num" val="0"/>
        <color theme="5" tint="0.59999389629810485"/>
        <color theme="0"/>
      </colorScale>
    </cfRule>
  </conditionalFormatting>
  <conditionalFormatting sqref="H18:H27">
    <cfRule type="colorScale" priority="1">
      <colorScale>
        <cfvo type="num" val="0"/>
        <cfvo type="max"/>
        <color theme="0"/>
        <color theme="4" tint="0.59999389629810485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L169"/>
  <sheetViews>
    <sheetView workbookViewId="0">
      <selection activeCell="A2" sqref="A2:G11"/>
    </sheetView>
  </sheetViews>
  <sheetFormatPr baseColWidth="10" defaultRowHeight="16" x14ac:dyDescent="0.2"/>
  <cols>
    <col min="1" max="1" width="19" customWidth="1"/>
    <col min="6" max="6" width="13.33203125" customWidth="1"/>
    <col min="7" max="7" width="10.83203125" style="225"/>
  </cols>
  <sheetData>
    <row r="1" spans="1:11" x14ac:dyDescent="0.2">
      <c r="A1" s="1" t="s">
        <v>78</v>
      </c>
      <c r="B1" s="1" t="s">
        <v>79</v>
      </c>
      <c r="C1" s="1" t="s">
        <v>0</v>
      </c>
      <c r="D1" s="1" t="s">
        <v>433</v>
      </c>
      <c r="E1" s="1" t="s">
        <v>434</v>
      </c>
      <c r="F1" s="1" t="s">
        <v>418</v>
      </c>
      <c r="G1" s="241" t="s">
        <v>7</v>
      </c>
    </row>
    <row r="2" spans="1:11" x14ac:dyDescent="0.2">
      <c r="A2" t="s">
        <v>44</v>
      </c>
      <c r="B2" t="s">
        <v>45</v>
      </c>
      <c r="C2">
        <v>2023</v>
      </c>
      <c r="D2">
        <v>12</v>
      </c>
      <c r="E2">
        <v>3</v>
      </c>
      <c r="F2" s="42">
        <v>8.89</v>
      </c>
      <c r="G2" s="225">
        <f t="shared" ref="G2:G25" si="0">D2-F2</f>
        <v>3.1099999999999994</v>
      </c>
    </row>
    <row r="3" spans="1:11" x14ac:dyDescent="0.2">
      <c r="A3" t="s">
        <v>22</v>
      </c>
      <c r="B3" t="s">
        <v>24</v>
      </c>
      <c r="C3">
        <v>2021</v>
      </c>
      <c r="D3">
        <v>12</v>
      </c>
      <c r="E3">
        <v>3</v>
      </c>
      <c r="F3" s="42">
        <v>9.2100000000000009</v>
      </c>
      <c r="G3" s="225">
        <f t="shared" si="0"/>
        <v>2.7899999999999991</v>
      </c>
    </row>
    <row r="4" spans="1:11" x14ac:dyDescent="0.2">
      <c r="A4" t="s">
        <v>417</v>
      </c>
      <c r="B4" t="s">
        <v>45</v>
      </c>
      <c r="C4">
        <v>2024</v>
      </c>
      <c r="D4">
        <v>9</v>
      </c>
      <c r="E4">
        <v>6</v>
      </c>
      <c r="F4" s="42">
        <v>6.35</v>
      </c>
      <c r="G4" s="225">
        <f t="shared" si="0"/>
        <v>2.6500000000000004</v>
      </c>
    </row>
    <row r="5" spans="1:11" x14ac:dyDescent="0.2">
      <c r="A5" t="s">
        <v>52</v>
      </c>
      <c r="B5" t="s">
        <v>32</v>
      </c>
      <c r="C5">
        <v>2023</v>
      </c>
      <c r="D5">
        <v>8</v>
      </c>
      <c r="E5">
        <v>7</v>
      </c>
      <c r="F5" s="42">
        <v>5.41</v>
      </c>
      <c r="G5" s="225">
        <f t="shared" si="0"/>
        <v>2.59</v>
      </c>
    </row>
    <row r="6" spans="1:11" x14ac:dyDescent="0.2">
      <c r="A6" t="s">
        <v>35</v>
      </c>
      <c r="B6" t="s">
        <v>49</v>
      </c>
      <c r="C6">
        <v>2023</v>
      </c>
      <c r="D6">
        <v>8</v>
      </c>
      <c r="E6">
        <v>7</v>
      </c>
      <c r="F6" s="42">
        <v>5.72</v>
      </c>
      <c r="G6" s="225">
        <f t="shared" si="0"/>
        <v>2.2800000000000002</v>
      </c>
    </row>
    <row r="7" spans="1:11" x14ac:dyDescent="0.2">
      <c r="A7" t="s">
        <v>18</v>
      </c>
      <c r="B7" t="s">
        <v>20</v>
      </c>
      <c r="C7">
        <v>2024</v>
      </c>
      <c r="D7">
        <v>12</v>
      </c>
      <c r="E7">
        <v>3</v>
      </c>
      <c r="F7" s="42">
        <v>9.81</v>
      </c>
      <c r="G7" s="225">
        <f t="shared" si="0"/>
        <v>2.1899999999999995</v>
      </c>
    </row>
    <row r="8" spans="1:11" x14ac:dyDescent="0.2">
      <c r="A8" t="s">
        <v>46</v>
      </c>
      <c r="B8" t="s">
        <v>47</v>
      </c>
      <c r="C8">
        <v>2025</v>
      </c>
      <c r="D8">
        <v>9</v>
      </c>
      <c r="E8">
        <v>5</v>
      </c>
      <c r="F8" s="42">
        <v>7.08</v>
      </c>
      <c r="G8" s="225">
        <f t="shared" si="0"/>
        <v>1.92</v>
      </c>
    </row>
    <row r="9" spans="1:11" x14ac:dyDescent="0.2">
      <c r="A9" t="s">
        <v>44</v>
      </c>
      <c r="B9" t="s">
        <v>45</v>
      </c>
      <c r="C9">
        <v>2022</v>
      </c>
      <c r="D9">
        <v>9</v>
      </c>
      <c r="E9">
        <v>6</v>
      </c>
      <c r="F9" s="42">
        <v>7.19</v>
      </c>
      <c r="G9" s="225">
        <f t="shared" si="0"/>
        <v>1.8099999999999996</v>
      </c>
    </row>
    <row r="10" spans="1:11" x14ac:dyDescent="0.2">
      <c r="A10" t="s">
        <v>43</v>
      </c>
      <c r="B10" t="s">
        <v>21</v>
      </c>
      <c r="C10">
        <v>2022</v>
      </c>
      <c r="D10">
        <v>9</v>
      </c>
      <c r="E10">
        <v>6</v>
      </c>
      <c r="F10" s="42">
        <v>7.37</v>
      </c>
      <c r="G10" s="225">
        <f t="shared" si="0"/>
        <v>1.63</v>
      </c>
    </row>
    <row r="11" spans="1:11" x14ac:dyDescent="0.2">
      <c r="A11" t="s">
        <v>26</v>
      </c>
      <c r="B11" t="s">
        <v>28</v>
      </c>
      <c r="C11">
        <v>2021</v>
      </c>
      <c r="D11">
        <v>8</v>
      </c>
      <c r="E11">
        <v>7</v>
      </c>
      <c r="F11" s="42">
        <v>6.38</v>
      </c>
      <c r="G11" s="225">
        <f t="shared" si="0"/>
        <v>1.62</v>
      </c>
    </row>
    <row r="12" spans="1:11" x14ac:dyDescent="0.2">
      <c r="A12" t="s">
        <v>35</v>
      </c>
      <c r="B12" t="s">
        <v>49</v>
      </c>
      <c r="C12">
        <v>2024</v>
      </c>
      <c r="D12">
        <v>6</v>
      </c>
      <c r="E12">
        <v>9</v>
      </c>
      <c r="F12" s="42">
        <v>4.54</v>
      </c>
      <c r="G12" s="225">
        <f t="shared" si="0"/>
        <v>1.46</v>
      </c>
    </row>
    <row r="13" spans="1:11" x14ac:dyDescent="0.2">
      <c r="A13" t="s">
        <v>31</v>
      </c>
      <c r="B13" t="s">
        <v>33</v>
      </c>
      <c r="C13">
        <v>2024</v>
      </c>
      <c r="D13">
        <v>9</v>
      </c>
      <c r="E13">
        <v>6</v>
      </c>
      <c r="F13" s="42">
        <v>7.74</v>
      </c>
      <c r="G13" s="225">
        <f t="shared" si="0"/>
        <v>1.2599999999999998</v>
      </c>
    </row>
    <row r="14" spans="1:11" x14ac:dyDescent="0.2">
      <c r="A14" t="s">
        <v>31</v>
      </c>
      <c r="B14" t="s">
        <v>33</v>
      </c>
      <c r="C14">
        <v>2025</v>
      </c>
      <c r="D14">
        <v>7</v>
      </c>
      <c r="E14">
        <v>7</v>
      </c>
      <c r="F14" s="42">
        <v>5.87</v>
      </c>
      <c r="G14" s="225">
        <f t="shared" si="0"/>
        <v>1.1299999999999999</v>
      </c>
      <c r="J14" s="239"/>
      <c r="K14" s="42"/>
    </row>
    <row r="15" spans="1:11" x14ac:dyDescent="0.2">
      <c r="A15" t="s">
        <v>14</v>
      </c>
      <c r="B15" t="s">
        <v>16</v>
      </c>
      <c r="C15">
        <v>2021</v>
      </c>
      <c r="D15">
        <v>9</v>
      </c>
      <c r="E15">
        <v>6</v>
      </c>
      <c r="F15" s="42">
        <v>7.88</v>
      </c>
      <c r="G15" s="225">
        <f t="shared" si="0"/>
        <v>1.1200000000000001</v>
      </c>
      <c r="J15" s="239"/>
      <c r="K15" s="42"/>
    </row>
    <row r="16" spans="1:11" x14ac:dyDescent="0.2">
      <c r="A16" t="s">
        <v>35</v>
      </c>
      <c r="B16" t="s">
        <v>49</v>
      </c>
      <c r="C16">
        <v>2025</v>
      </c>
      <c r="D16">
        <v>10</v>
      </c>
      <c r="E16">
        <v>4</v>
      </c>
      <c r="F16" s="42">
        <v>8.89</v>
      </c>
      <c r="G16" s="225">
        <f t="shared" si="0"/>
        <v>1.1099999999999994</v>
      </c>
      <c r="J16" s="239"/>
      <c r="K16" s="42"/>
    </row>
    <row r="17" spans="1:11" x14ac:dyDescent="0.2">
      <c r="A17" t="s">
        <v>42</v>
      </c>
      <c r="B17" t="s">
        <v>17</v>
      </c>
      <c r="C17">
        <v>2024</v>
      </c>
      <c r="D17">
        <v>9</v>
      </c>
      <c r="E17">
        <v>6</v>
      </c>
      <c r="F17" s="42">
        <v>7.96</v>
      </c>
      <c r="G17" s="225">
        <f t="shared" si="0"/>
        <v>1.04</v>
      </c>
      <c r="J17" s="239"/>
      <c r="K17" s="42"/>
    </row>
    <row r="18" spans="1:11" x14ac:dyDescent="0.2">
      <c r="A18" t="s">
        <v>77</v>
      </c>
      <c r="B18" t="s">
        <v>45</v>
      </c>
      <c r="C18">
        <v>2025</v>
      </c>
      <c r="D18">
        <v>6</v>
      </c>
      <c r="E18">
        <v>8</v>
      </c>
      <c r="F18" s="42">
        <v>5.05</v>
      </c>
      <c r="G18" s="225">
        <f t="shared" si="0"/>
        <v>0.95000000000000018</v>
      </c>
      <c r="J18" s="239"/>
      <c r="K18" s="42"/>
    </row>
    <row r="19" spans="1:11" x14ac:dyDescent="0.2">
      <c r="A19" t="s">
        <v>18</v>
      </c>
      <c r="B19" t="s">
        <v>20</v>
      </c>
      <c r="C19">
        <v>2021</v>
      </c>
      <c r="D19">
        <v>10</v>
      </c>
      <c r="E19">
        <v>5</v>
      </c>
      <c r="F19" s="42">
        <v>9.09</v>
      </c>
      <c r="G19" s="225">
        <f t="shared" si="0"/>
        <v>0.91000000000000014</v>
      </c>
      <c r="J19" s="239"/>
      <c r="K19" s="42"/>
    </row>
    <row r="20" spans="1:11" x14ac:dyDescent="0.2">
      <c r="A20" t="s">
        <v>18</v>
      </c>
      <c r="B20" t="s">
        <v>20</v>
      </c>
      <c r="C20">
        <v>2025</v>
      </c>
      <c r="D20">
        <v>10</v>
      </c>
      <c r="E20">
        <v>4</v>
      </c>
      <c r="F20" s="42">
        <v>9.09</v>
      </c>
      <c r="G20" s="225">
        <f t="shared" si="0"/>
        <v>0.91000000000000014</v>
      </c>
      <c r="J20" s="239"/>
      <c r="K20" s="42"/>
    </row>
    <row r="21" spans="1:11" x14ac:dyDescent="0.2">
      <c r="A21" t="s">
        <v>42</v>
      </c>
      <c r="B21" t="s">
        <v>17</v>
      </c>
      <c r="C21">
        <v>2022</v>
      </c>
      <c r="D21">
        <v>9</v>
      </c>
      <c r="E21">
        <v>6</v>
      </c>
      <c r="F21" s="42">
        <v>8.11</v>
      </c>
      <c r="G21" s="225">
        <f t="shared" si="0"/>
        <v>0.89000000000000057</v>
      </c>
      <c r="J21" s="239"/>
      <c r="K21" s="42"/>
    </row>
    <row r="22" spans="1:11" x14ac:dyDescent="0.2">
      <c r="A22" t="s">
        <v>18</v>
      </c>
      <c r="B22" t="s">
        <v>20</v>
      </c>
      <c r="C22">
        <v>2023</v>
      </c>
      <c r="D22">
        <v>7</v>
      </c>
      <c r="E22">
        <v>8</v>
      </c>
      <c r="F22" s="42">
        <v>6.16</v>
      </c>
      <c r="G22" s="225">
        <f t="shared" si="0"/>
        <v>0.83999999999999986</v>
      </c>
      <c r="J22" s="239"/>
      <c r="K22" s="42"/>
    </row>
    <row r="23" spans="1:11" x14ac:dyDescent="0.2">
      <c r="A23" t="s">
        <v>40</v>
      </c>
      <c r="B23" t="s">
        <v>29</v>
      </c>
      <c r="C23">
        <v>2022</v>
      </c>
      <c r="D23">
        <v>9</v>
      </c>
      <c r="E23">
        <v>6</v>
      </c>
      <c r="F23" s="42">
        <v>8.31</v>
      </c>
      <c r="G23" s="225">
        <f t="shared" si="0"/>
        <v>0.6899999999999995</v>
      </c>
      <c r="J23" s="239"/>
      <c r="K23" s="42"/>
    </row>
    <row r="24" spans="1:11" x14ac:dyDescent="0.2">
      <c r="A24" t="s">
        <v>46</v>
      </c>
      <c r="B24" t="s">
        <v>47</v>
      </c>
      <c r="C24">
        <v>2024</v>
      </c>
      <c r="D24">
        <v>10</v>
      </c>
      <c r="E24">
        <v>5</v>
      </c>
      <c r="F24" s="42">
        <v>9.39</v>
      </c>
      <c r="G24" s="225">
        <f t="shared" si="0"/>
        <v>0.60999999999999943</v>
      </c>
      <c r="J24" s="239"/>
      <c r="K24" s="42"/>
    </row>
    <row r="25" spans="1:11" x14ac:dyDescent="0.2">
      <c r="A25" t="s">
        <v>526</v>
      </c>
      <c r="B25" t="s">
        <v>32</v>
      </c>
      <c r="C25">
        <v>2025</v>
      </c>
      <c r="D25">
        <v>6</v>
      </c>
      <c r="E25">
        <v>8</v>
      </c>
      <c r="F25" s="42">
        <v>5.4</v>
      </c>
      <c r="G25" s="225">
        <f t="shared" si="0"/>
        <v>0.59999999999999964</v>
      </c>
      <c r="J25" s="239"/>
      <c r="K25" s="42"/>
    </row>
    <row r="26" spans="1:11" hidden="1" x14ac:dyDescent="0.2">
      <c r="A26" t="s">
        <v>53</v>
      </c>
      <c r="B26" t="s">
        <v>36</v>
      </c>
      <c r="C26">
        <v>2020</v>
      </c>
      <c r="D26">
        <v>10</v>
      </c>
      <c r="E26">
        <v>4</v>
      </c>
      <c r="G26" s="42"/>
    </row>
    <row r="27" spans="1:11" hidden="1" x14ac:dyDescent="0.2">
      <c r="A27" t="s">
        <v>31</v>
      </c>
      <c r="B27" t="s">
        <v>33</v>
      </c>
      <c r="C27">
        <v>2020</v>
      </c>
      <c r="D27">
        <v>9</v>
      </c>
      <c r="E27">
        <v>5</v>
      </c>
      <c r="G27" s="42"/>
    </row>
    <row r="28" spans="1:11" hidden="1" x14ac:dyDescent="0.2">
      <c r="A28" t="s">
        <v>435</v>
      </c>
      <c r="B28" t="s">
        <v>32</v>
      </c>
      <c r="C28">
        <v>2020</v>
      </c>
      <c r="D28">
        <v>9</v>
      </c>
      <c r="E28">
        <v>5</v>
      </c>
      <c r="G28" s="42"/>
    </row>
    <row r="29" spans="1:11" hidden="1" x14ac:dyDescent="0.2">
      <c r="A29" t="s">
        <v>26</v>
      </c>
      <c r="B29" t="s">
        <v>28</v>
      </c>
      <c r="C29">
        <v>2020</v>
      </c>
      <c r="D29">
        <v>8</v>
      </c>
      <c r="E29">
        <v>6</v>
      </c>
      <c r="G29" s="42"/>
    </row>
    <row r="30" spans="1:11" hidden="1" x14ac:dyDescent="0.2">
      <c r="A30" t="s">
        <v>23</v>
      </c>
      <c r="B30" t="s">
        <v>25</v>
      </c>
      <c r="C30">
        <v>2020</v>
      </c>
      <c r="D30">
        <v>8</v>
      </c>
      <c r="E30">
        <v>6</v>
      </c>
      <c r="G30" s="42"/>
    </row>
    <row r="31" spans="1:11" hidden="1" x14ac:dyDescent="0.2">
      <c r="A31" t="s">
        <v>35</v>
      </c>
      <c r="B31" t="s">
        <v>37</v>
      </c>
      <c r="C31">
        <v>2020</v>
      </c>
      <c r="D31">
        <v>8</v>
      </c>
      <c r="E31">
        <v>6</v>
      </c>
      <c r="G31" s="42"/>
    </row>
    <row r="32" spans="1:11" hidden="1" x14ac:dyDescent="0.2">
      <c r="A32" t="s">
        <v>19</v>
      </c>
      <c r="B32" t="s">
        <v>21</v>
      </c>
      <c r="C32">
        <v>2020</v>
      </c>
      <c r="D32">
        <v>7</v>
      </c>
      <c r="E32">
        <v>7</v>
      </c>
      <c r="G32" s="42"/>
    </row>
    <row r="33" spans="1:7" hidden="1" x14ac:dyDescent="0.2">
      <c r="A33" t="s">
        <v>14</v>
      </c>
      <c r="B33" t="s">
        <v>16</v>
      </c>
      <c r="C33">
        <v>2020</v>
      </c>
      <c r="D33">
        <v>6</v>
      </c>
      <c r="E33">
        <v>8</v>
      </c>
      <c r="G33" s="42"/>
    </row>
    <row r="34" spans="1:7" hidden="1" x14ac:dyDescent="0.2">
      <c r="A34" t="s">
        <v>57</v>
      </c>
      <c r="B34" t="s">
        <v>17</v>
      </c>
      <c r="C34">
        <v>2020</v>
      </c>
      <c r="D34">
        <v>6</v>
      </c>
      <c r="E34">
        <v>8</v>
      </c>
      <c r="G34" s="42"/>
    </row>
    <row r="35" spans="1:7" hidden="1" x14ac:dyDescent="0.2">
      <c r="A35" t="s">
        <v>108</v>
      </c>
      <c r="B35" t="s">
        <v>29</v>
      </c>
      <c r="C35">
        <v>2020</v>
      </c>
      <c r="D35">
        <v>6</v>
      </c>
      <c r="E35">
        <v>8</v>
      </c>
      <c r="G35" s="42"/>
    </row>
    <row r="36" spans="1:7" hidden="1" x14ac:dyDescent="0.2">
      <c r="A36" t="s">
        <v>22</v>
      </c>
      <c r="B36" t="s">
        <v>24</v>
      </c>
      <c r="C36">
        <v>2020</v>
      </c>
      <c r="D36">
        <v>4</v>
      </c>
      <c r="E36">
        <v>10</v>
      </c>
      <c r="G36" s="42"/>
    </row>
    <row r="37" spans="1:7" hidden="1" x14ac:dyDescent="0.2">
      <c r="A37" t="s">
        <v>18</v>
      </c>
      <c r="B37" t="s">
        <v>20</v>
      </c>
      <c r="C37">
        <v>2020</v>
      </c>
      <c r="D37">
        <v>3</v>
      </c>
      <c r="E37">
        <v>11</v>
      </c>
      <c r="G37" s="42"/>
    </row>
    <row r="38" spans="1:7" hidden="1" x14ac:dyDescent="0.2">
      <c r="A38" t="s">
        <v>26</v>
      </c>
      <c r="B38" t="s">
        <v>28</v>
      </c>
      <c r="C38">
        <v>2019</v>
      </c>
      <c r="D38">
        <v>10</v>
      </c>
      <c r="E38">
        <v>4</v>
      </c>
      <c r="G38" s="42"/>
    </row>
    <row r="39" spans="1:7" hidden="1" x14ac:dyDescent="0.2">
      <c r="A39" t="s">
        <v>55</v>
      </c>
      <c r="B39" t="s">
        <v>36</v>
      </c>
      <c r="C39">
        <v>2019</v>
      </c>
      <c r="D39">
        <v>9</v>
      </c>
      <c r="E39">
        <v>5</v>
      </c>
      <c r="G39" s="42"/>
    </row>
    <row r="40" spans="1:7" hidden="1" x14ac:dyDescent="0.2">
      <c r="A40" t="s">
        <v>31</v>
      </c>
      <c r="B40" t="s">
        <v>33</v>
      </c>
      <c r="C40">
        <v>2019</v>
      </c>
      <c r="D40">
        <v>9</v>
      </c>
      <c r="E40">
        <v>5</v>
      </c>
      <c r="G40" s="42"/>
    </row>
    <row r="41" spans="1:7" hidden="1" x14ac:dyDescent="0.2">
      <c r="A41" t="s">
        <v>19</v>
      </c>
      <c r="B41" t="s">
        <v>21</v>
      </c>
      <c r="C41">
        <v>2019</v>
      </c>
      <c r="D41">
        <v>8</v>
      </c>
      <c r="E41">
        <v>6</v>
      </c>
      <c r="G41" s="42"/>
    </row>
    <row r="42" spans="1:7" hidden="1" x14ac:dyDescent="0.2">
      <c r="A42" t="s">
        <v>57</v>
      </c>
      <c r="B42" t="s">
        <v>17</v>
      </c>
      <c r="C42">
        <v>2019</v>
      </c>
      <c r="D42">
        <v>8</v>
      </c>
      <c r="E42">
        <v>6</v>
      </c>
      <c r="G42" s="42"/>
    </row>
    <row r="43" spans="1:7" hidden="1" x14ac:dyDescent="0.2">
      <c r="A43" t="s">
        <v>18</v>
      </c>
      <c r="B43" t="s">
        <v>20</v>
      </c>
      <c r="C43">
        <v>2019</v>
      </c>
      <c r="D43">
        <v>7</v>
      </c>
      <c r="E43">
        <v>7</v>
      </c>
      <c r="G43" s="42"/>
    </row>
    <row r="44" spans="1:7" hidden="1" x14ac:dyDescent="0.2">
      <c r="A44" t="s">
        <v>95</v>
      </c>
      <c r="B44" t="s">
        <v>37</v>
      </c>
      <c r="C44">
        <v>2019</v>
      </c>
      <c r="D44">
        <v>7</v>
      </c>
      <c r="E44">
        <v>7</v>
      </c>
      <c r="G44" s="42"/>
    </row>
    <row r="45" spans="1:7" hidden="1" x14ac:dyDescent="0.2">
      <c r="A45" t="s">
        <v>116</v>
      </c>
      <c r="B45" t="s">
        <v>25</v>
      </c>
      <c r="C45">
        <v>2019</v>
      </c>
      <c r="D45">
        <v>6</v>
      </c>
      <c r="E45">
        <v>8</v>
      </c>
      <c r="G45" s="42"/>
    </row>
    <row r="46" spans="1:7" hidden="1" x14ac:dyDescent="0.2">
      <c r="A46" t="s">
        <v>14</v>
      </c>
      <c r="B46" t="s">
        <v>16</v>
      </c>
      <c r="C46">
        <v>2019</v>
      </c>
      <c r="D46">
        <v>6</v>
      </c>
      <c r="E46">
        <v>8</v>
      </c>
      <c r="G46" s="42"/>
    </row>
    <row r="47" spans="1:7" hidden="1" x14ac:dyDescent="0.2">
      <c r="A47" t="s">
        <v>22</v>
      </c>
      <c r="B47" t="s">
        <v>24</v>
      </c>
      <c r="C47">
        <v>2019</v>
      </c>
      <c r="D47">
        <v>5</v>
      </c>
      <c r="E47">
        <v>9</v>
      </c>
      <c r="G47" s="42"/>
    </row>
    <row r="48" spans="1:7" hidden="1" x14ac:dyDescent="0.2">
      <c r="A48" t="s">
        <v>56</v>
      </c>
      <c r="B48" t="s">
        <v>29</v>
      </c>
      <c r="C48">
        <v>2019</v>
      </c>
      <c r="D48">
        <v>5</v>
      </c>
      <c r="E48">
        <v>9</v>
      </c>
      <c r="G48" s="42"/>
    </row>
    <row r="49" spans="1:7" hidden="1" x14ac:dyDescent="0.2">
      <c r="A49" t="s">
        <v>88</v>
      </c>
      <c r="B49" t="s">
        <v>32</v>
      </c>
      <c r="C49">
        <v>2019</v>
      </c>
      <c r="D49">
        <v>4</v>
      </c>
      <c r="E49">
        <v>10</v>
      </c>
      <c r="G49" s="42"/>
    </row>
    <row r="50" spans="1:7" hidden="1" x14ac:dyDescent="0.2">
      <c r="A50" t="s">
        <v>56</v>
      </c>
      <c r="B50" t="s">
        <v>29</v>
      </c>
      <c r="C50">
        <v>2018</v>
      </c>
      <c r="D50">
        <v>10</v>
      </c>
      <c r="E50">
        <v>4</v>
      </c>
      <c r="G50" s="42"/>
    </row>
    <row r="51" spans="1:7" hidden="1" x14ac:dyDescent="0.2">
      <c r="A51" t="s">
        <v>57</v>
      </c>
      <c r="B51" t="s">
        <v>17</v>
      </c>
      <c r="C51">
        <v>2018</v>
      </c>
      <c r="D51">
        <v>9</v>
      </c>
      <c r="E51">
        <v>5</v>
      </c>
      <c r="G51" s="42"/>
    </row>
    <row r="52" spans="1:7" hidden="1" x14ac:dyDescent="0.2">
      <c r="A52" t="s">
        <v>58</v>
      </c>
      <c r="B52" t="s">
        <v>36</v>
      </c>
      <c r="C52">
        <v>2018</v>
      </c>
      <c r="D52">
        <v>9</v>
      </c>
      <c r="E52">
        <v>5</v>
      </c>
      <c r="G52" s="42"/>
    </row>
    <row r="53" spans="1:7" hidden="1" x14ac:dyDescent="0.2">
      <c r="A53" t="s">
        <v>23</v>
      </c>
      <c r="B53" t="s">
        <v>25</v>
      </c>
      <c r="C53">
        <v>2018</v>
      </c>
      <c r="D53">
        <v>8</v>
      </c>
      <c r="E53">
        <v>6</v>
      </c>
      <c r="G53" s="42"/>
    </row>
    <row r="54" spans="1:7" hidden="1" x14ac:dyDescent="0.2">
      <c r="A54" t="s">
        <v>14</v>
      </c>
      <c r="B54" t="s">
        <v>16</v>
      </c>
      <c r="C54">
        <v>2018</v>
      </c>
      <c r="D54">
        <v>7</v>
      </c>
      <c r="E54">
        <v>7</v>
      </c>
      <c r="G54" s="42"/>
    </row>
    <row r="55" spans="1:7" hidden="1" x14ac:dyDescent="0.2">
      <c r="A55" t="s">
        <v>31</v>
      </c>
      <c r="B55" t="s">
        <v>33</v>
      </c>
      <c r="C55">
        <v>2018</v>
      </c>
      <c r="D55">
        <v>7</v>
      </c>
      <c r="E55">
        <v>7</v>
      </c>
      <c r="G55" s="42"/>
    </row>
    <row r="56" spans="1:7" hidden="1" x14ac:dyDescent="0.2">
      <c r="A56" t="s">
        <v>19</v>
      </c>
      <c r="B56" t="s">
        <v>21</v>
      </c>
      <c r="C56">
        <v>2018</v>
      </c>
      <c r="D56">
        <v>7</v>
      </c>
      <c r="E56">
        <v>7</v>
      </c>
      <c r="G56" s="42"/>
    </row>
    <row r="57" spans="1:7" hidden="1" x14ac:dyDescent="0.2">
      <c r="A57" t="s">
        <v>18</v>
      </c>
      <c r="B57" t="s">
        <v>20</v>
      </c>
      <c r="C57">
        <v>2018</v>
      </c>
      <c r="D57">
        <v>6</v>
      </c>
      <c r="E57">
        <v>8</v>
      </c>
      <c r="G57" s="42"/>
    </row>
    <row r="58" spans="1:7" hidden="1" x14ac:dyDescent="0.2">
      <c r="A58" t="s">
        <v>26</v>
      </c>
      <c r="B58" t="s">
        <v>28</v>
      </c>
      <c r="C58">
        <v>2018</v>
      </c>
      <c r="D58">
        <v>6</v>
      </c>
      <c r="E58">
        <v>8</v>
      </c>
      <c r="G58" s="42"/>
    </row>
    <row r="59" spans="1:7" hidden="1" x14ac:dyDescent="0.2">
      <c r="A59" t="s">
        <v>60</v>
      </c>
      <c r="B59" t="s">
        <v>45</v>
      </c>
      <c r="C59">
        <v>2018</v>
      </c>
      <c r="D59">
        <v>6</v>
      </c>
      <c r="E59">
        <v>8</v>
      </c>
      <c r="G59" s="42"/>
    </row>
    <row r="60" spans="1:7" hidden="1" x14ac:dyDescent="0.2">
      <c r="A60" t="s">
        <v>100</v>
      </c>
      <c r="B60" t="s">
        <v>32</v>
      </c>
      <c r="C60">
        <v>2018</v>
      </c>
      <c r="D60">
        <v>5</v>
      </c>
      <c r="E60">
        <v>9</v>
      </c>
      <c r="G60" s="42"/>
    </row>
    <row r="61" spans="1:7" hidden="1" x14ac:dyDescent="0.2">
      <c r="A61" t="s">
        <v>22</v>
      </c>
      <c r="B61" t="s">
        <v>24</v>
      </c>
      <c r="C61">
        <v>2018</v>
      </c>
      <c r="D61">
        <v>4</v>
      </c>
      <c r="E61">
        <v>10</v>
      </c>
      <c r="G61" s="42"/>
    </row>
    <row r="62" spans="1:7" hidden="1" x14ac:dyDescent="0.2">
      <c r="A62" t="s">
        <v>18</v>
      </c>
      <c r="B62" t="s">
        <v>20</v>
      </c>
      <c r="C62">
        <v>2017</v>
      </c>
      <c r="D62">
        <v>12</v>
      </c>
      <c r="E62">
        <v>2</v>
      </c>
      <c r="G62" s="42"/>
    </row>
    <row r="63" spans="1:7" hidden="1" x14ac:dyDescent="0.2">
      <c r="A63" t="s">
        <v>56</v>
      </c>
      <c r="B63" t="s">
        <v>29</v>
      </c>
      <c r="C63">
        <v>2017</v>
      </c>
      <c r="D63">
        <v>9</v>
      </c>
      <c r="E63">
        <v>5</v>
      </c>
      <c r="G63" s="42"/>
    </row>
    <row r="64" spans="1:7" hidden="1" x14ac:dyDescent="0.2">
      <c r="A64" t="s">
        <v>59</v>
      </c>
      <c r="B64" t="s">
        <v>32</v>
      </c>
      <c r="C64">
        <v>2017</v>
      </c>
      <c r="D64">
        <v>9</v>
      </c>
      <c r="E64">
        <v>5</v>
      </c>
      <c r="G64" s="42"/>
    </row>
    <row r="65" spans="1:7" hidden="1" x14ac:dyDescent="0.2">
      <c r="A65" t="s">
        <v>58</v>
      </c>
      <c r="B65" t="s">
        <v>36</v>
      </c>
      <c r="C65">
        <v>2017</v>
      </c>
      <c r="D65">
        <v>9</v>
      </c>
      <c r="E65">
        <v>5</v>
      </c>
      <c r="G65" s="42"/>
    </row>
    <row r="66" spans="1:7" hidden="1" x14ac:dyDescent="0.2">
      <c r="A66" t="s">
        <v>104</v>
      </c>
      <c r="B66" t="s">
        <v>16</v>
      </c>
      <c r="C66">
        <v>2017</v>
      </c>
      <c r="D66">
        <v>8</v>
      </c>
      <c r="E66">
        <v>6</v>
      </c>
      <c r="G66" s="42"/>
    </row>
    <row r="67" spans="1:7" hidden="1" x14ac:dyDescent="0.2">
      <c r="A67" t="s">
        <v>23</v>
      </c>
      <c r="B67" t="s">
        <v>25</v>
      </c>
      <c r="C67">
        <v>2017</v>
      </c>
      <c r="D67">
        <v>8</v>
      </c>
      <c r="E67">
        <v>6</v>
      </c>
      <c r="G67" s="42"/>
    </row>
    <row r="68" spans="1:7" hidden="1" x14ac:dyDescent="0.2">
      <c r="A68" t="s">
        <v>31</v>
      </c>
      <c r="B68" t="s">
        <v>33</v>
      </c>
      <c r="C68">
        <v>2017</v>
      </c>
      <c r="D68">
        <v>7</v>
      </c>
      <c r="E68">
        <v>7</v>
      </c>
      <c r="G68" s="42"/>
    </row>
    <row r="69" spans="1:7" hidden="1" x14ac:dyDescent="0.2">
      <c r="A69" t="s">
        <v>57</v>
      </c>
      <c r="B69" t="s">
        <v>17</v>
      </c>
      <c r="C69">
        <v>2017</v>
      </c>
      <c r="D69">
        <v>6</v>
      </c>
      <c r="E69">
        <v>8</v>
      </c>
      <c r="G69" s="42"/>
    </row>
    <row r="70" spans="1:7" hidden="1" x14ac:dyDescent="0.2">
      <c r="A70" t="s">
        <v>436</v>
      </c>
      <c r="B70" t="s">
        <v>28</v>
      </c>
      <c r="C70">
        <v>2017</v>
      </c>
      <c r="D70">
        <v>6</v>
      </c>
      <c r="E70">
        <v>8</v>
      </c>
      <c r="G70" s="42"/>
    </row>
    <row r="71" spans="1:7" hidden="1" x14ac:dyDescent="0.2">
      <c r="A71" t="s">
        <v>19</v>
      </c>
      <c r="B71" t="s">
        <v>21</v>
      </c>
      <c r="C71">
        <v>2017</v>
      </c>
      <c r="D71">
        <v>4</v>
      </c>
      <c r="E71">
        <v>10</v>
      </c>
      <c r="G71" s="42"/>
    </row>
    <row r="72" spans="1:7" hidden="1" x14ac:dyDescent="0.2">
      <c r="A72" t="s">
        <v>60</v>
      </c>
      <c r="B72" t="s">
        <v>45</v>
      </c>
      <c r="C72">
        <v>2017</v>
      </c>
      <c r="D72">
        <v>3</v>
      </c>
      <c r="E72">
        <v>11</v>
      </c>
      <c r="G72" s="42"/>
    </row>
    <row r="73" spans="1:7" hidden="1" x14ac:dyDescent="0.2">
      <c r="A73" t="s">
        <v>22</v>
      </c>
      <c r="B73" t="s">
        <v>24</v>
      </c>
      <c r="C73">
        <v>2017</v>
      </c>
      <c r="D73">
        <v>3</v>
      </c>
      <c r="E73">
        <v>11</v>
      </c>
      <c r="G73" s="42"/>
    </row>
    <row r="74" spans="1:7" hidden="1" x14ac:dyDescent="0.2">
      <c r="A74" t="s">
        <v>23</v>
      </c>
      <c r="B74" t="s">
        <v>25</v>
      </c>
      <c r="C74">
        <v>2016</v>
      </c>
      <c r="D74">
        <v>12</v>
      </c>
      <c r="E74">
        <v>2</v>
      </c>
      <c r="G74" s="42"/>
    </row>
    <row r="75" spans="1:7" hidden="1" x14ac:dyDescent="0.2">
      <c r="A75" t="s">
        <v>60</v>
      </c>
      <c r="B75" t="s">
        <v>45</v>
      </c>
      <c r="C75">
        <v>2016</v>
      </c>
      <c r="D75">
        <v>9</v>
      </c>
      <c r="E75">
        <v>5</v>
      </c>
      <c r="G75" s="42"/>
    </row>
    <row r="76" spans="1:7" hidden="1" x14ac:dyDescent="0.2">
      <c r="A76" t="s">
        <v>22</v>
      </c>
      <c r="B76" t="s">
        <v>24</v>
      </c>
      <c r="C76">
        <v>2016</v>
      </c>
      <c r="D76">
        <v>8</v>
      </c>
      <c r="E76">
        <v>6</v>
      </c>
      <c r="G76" s="42"/>
    </row>
    <row r="77" spans="1:7" hidden="1" x14ac:dyDescent="0.2">
      <c r="A77" t="s">
        <v>58</v>
      </c>
      <c r="B77" t="s">
        <v>36</v>
      </c>
      <c r="C77">
        <v>2016</v>
      </c>
      <c r="D77">
        <v>8</v>
      </c>
      <c r="E77">
        <v>6</v>
      </c>
      <c r="G77" s="42"/>
    </row>
    <row r="78" spans="1:7" hidden="1" x14ac:dyDescent="0.2">
      <c r="A78" t="s">
        <v>103</v>
      </c>
      <c r="B78" t="s">
        <v>16</v>
      </c>
      <c r="C78">
        <v>2016</v>
      </c>
      <c r="D78">
        <v>7</v>
      </c>
      <c r="E78">
        <v>7</v>
      </c>
      <c r="G78" s="42"/>
    </row>
    <row r="79" spans="1:7" hidden="1" x14ac:dyDescent="0.2">
      <c r="A79" t="s">
        <v>117</v>
      </c>
      <c r="B79" t="s">
        <v>28</v>
      </c>
      <c r="C79">
        <v>2016</v>
      </c>
      <c r="D79">
        <v>7</v>
      </c>
      <c r="E79">
        <v>7</v>
      </c>
      <c r="G79" s="42"/>
    </row>
    <row r="80" spans="1:7" hidden="1" x14ac:dyDescent="0.2">
      <c r="A80" t="s">
        <v>18</v>
      </c>
      <c r="B80" t="s">
        <v>20</v>
      </c>
      <c r="C80">
        <v>2016</v>
      </c>
      <c r="D80">
        <v>7</v>
      </c>
      <c r="E80">
        <v>7</v>
      </c>
      <c r="G80" s="42"/>
    </row>
    <row r="81" spans="1:7" hidden="1" x14ac:dyDescent="0.2">
      <c r="A81" t="s">
        <v>59</v>
      </c>
      <c r="B81" t="s">
        <v>32</v>
      </c>
      <c r="C81">
        <v>2016</v>
      </c>
      <c r="D81">
        <v>6</v>
      </c>
      <c r="E81">
        <v>8</v>
      </c>
      <c r="G81" s="42"/>
    </row>
    <row r="82" spans="1:7" hidden="1" x14ac:dyDescent="0.2">
      <c r="A82" t="s">
        <v>90</v>
      </c>
      <c r="B82" t="s">
        <v>29</v>
      </c>
      <c r="C82">
        <v>2016</v>
      </c>
      <c r="D82">
        <v>6</v>
      </c>
      <c r="E82">
        <v>8</v>
      </c>
      <c r="G82" s="42"/>
    </row>
    <row r="83" spans="1:7" hidden="1" x14ac:dyDescent="0.2">
      <c r="A83" t="s">
        <v>19</v>
      </c>
      <c r="B83" t="s">
        <v>21</v>
      </c>
      <c r="C83">
        <v>2016</v>
      </c>
      <c r="D83">
        <v>6</v>
      </c>
      <c r="E83">
        <v>8</v>
      </c>
      <c r="G83" s="42"/>
    </row>
    <row r="84" spans="1:7" hidden="1" x14ac:dyDescent="0.2">
      <c r="A84" t="s">
        <v>31</v>
      </c>
      <c r="B84" t="s">
        <v>33</v>
      </c>
      <c r="C84">
        <v>2016</v>
      </c>
      <c r="D84">
        <v>4</v>
      </c>
      <c r="E84">
        <v>10</v>
      </c>
      <c r="G84" s="42"/>
    </row>
    <row r="85" spans="1:7" hidden="1" x14ac:dyDescent="0.2">
      <c r="A85" t="s">
        <v>57</v>
      </c>
      <c r="B85" t="s">
        <v>17</v>
      </c>
      <c r="C85">
        <v>2016</v>
      </c>
      <c r="D85">
        <v>4</v>
      </c>
      <c r="E85">
        <v>10</v>
      </c>
      <c r="G85" s="42"/>
    </row>
    <row r="86" spans="1:7" hidden="1" x14ac:dyDescent="0.2">
      <c r="A86" t="s">
        <v>31</v>
      </c>
      <c r="B86" t="s">
        <v>33</v>
      </c>
      <c r="C86">
        <v>2015</v>
      </c>
      <c r="D86">
        <v>9</v>
      </c>
      <c r="E86">
        <v>5</v>
      </c>
      <c r="G86" s="42"/>
    </row>
    <row r="87" spans="1:7" hidden="1" x14ac:dyDescent="0.2">
      <c r="A87" t="s">
        <v>63</v>
      </c>
      <c r="B87" t="s">
        <v>29</v>
      </c>
      <c r="C87">
        <v>2015</v>
      </c>
      <c r="D87">
        <v>9</v>
      </c>
      <c r="E87">
        <v>5</v>
      </c>
      <c r="G87" s="42"/>
    </row>
    <row r="88" spans="1:7" hidden="1" x14ac:dyDescent="0.2">
      <c r="A88" t="s">
        <v>19</v>
      </c>
      <c r="B88" t="s">
        <v>21</v>
      </c>
      <c r="C88">
        <v>2015</v>
      </c>
      <c r="D88">
        <v>9</v>
      </c>
      <c r="E88">
        <v>5</v>
      </c>
      <c r="G88" s="42"/>
    </row>
    <row r="89" spans="1:7" hidden="1" x14ac:dyDescent="0.2">
      <c r="A89" t="s">
        <v>61</v>
      </c>
      <c r="B89" t="s">
        <v>62</v>
      </c>
      <c r="C89">
        <v>2015</v>
      </c>
      <c r="D89">
        <v>8</v>
      </c>
      <c r="E89">
        <v>6</v>
      </c>
      <c r="G89" s="42"/>
    </row>
    <row r="90" spans="1:7" hidden="1" x14ac:dyDescent="0.2">
      <c r="A90" t="s">
        <v>14</v>
      </c>
      <c r="B90" t="s">
        <v>16</v>
      </c>
      <c r="C90">
        <v>2015</v>
      </c>
      <c r="D90">
        <v>8</v>
      </c>
      <c r="E90">
        <v>6</v>
      </c>
      <c r="G90" s="42"/>
    </row>
    <row r="91" spans="1:7" hidden="1" x14ac:dyDescent="0.2">
      <c r="A91" t="s">
        <v>18</v>
      </c>
      <c r="B91" t="s">
        <v>20</v>
      </c>
      <c r="C91">
        <v>2015</v>
      </c>
      <c r="D91">
        <v>8</v>
      </c>
      <c r="E91">
        <v>6</v>
      </c>
      <c r="G91" s="42"/>
    </row>
    <row r="92" spans="1:7" hidden="1" x14ac:dyDescent="0.2">
      <c r="A92" t="s">
        <v>23</v>
      </c>
      <c r="B92" t="s">
        <v>25</v>
      </c>
      <c r="C92">
        <v>2015</v>
      </c>
      <c r="D92">
        <v>7</v>
      </c>
      <c r="E92">
        <v>7</v>
      </c>
      <c r="G92" s="42"/>
    </row>
    <row r="93" spans="1:7" hidden="1" x14ac:dyDescent="0.2">
      <c r="A93" t="s">
        <v>57</v>
      </c>
      <c r="B93" t="s">
        <v>17</v>
      </c>
      <c r="C93">
        <v>2015</v>
      </c>
      <c r="D93">
        <v>7</v>
      </c>
      <c r="E93">
        <v>7</v>
      </c>
      <c r="G93" s="42"/>
    </row>
    <row r="94" spans="1:7" hidden="1" x14ac:dyDescent="0.2">
      <c r="A94" t="s">
        <v>85</v>
      </c>
      <c r="B94" t="s">
        <v>49</v>
      </c>
      <c r="C94">
        <v>2015</v>
      </c>
      <c r="D94">
        <v>6</v>
      </c>
      <c r="E94">
        <v>8</v>
      </c>
      <c r="G94" s="42"/>
    </row>
    <row r="95" spans="1:7" hidden="1" x14ac:dyDescent="0.2">
      <c r="A95" t="s">
        <v>107</v>
      </c>
      <c r="B95" t="s">
        <v>36</v>
      </c>
      <c r="C95">
        <v>2015</v>
      </c>
      <c r="D95">
        <v>6</v>
      </c>
      <c r="E95">
        <v>8</v>
      </c>
      <c r="G95" s="42"/>
    </row>
    <row r="96" spans="1:7" hidden="1" x14ac:dyDescent="0.2">
      <c r="A96" t="s">
        <v>86</v>
      </c>
      <c r="B96" t="s">
        <v>32</v>
      </c>
      <c r="C96">
        <v>2015</v>
      </c>
      <c r="D96">
        <v>5</v>
      </c>
      <c r="E96">
        <v>9</v>
      </c>
      <c r="G96" s="42"/>
    </row>
    <row r="97" spans="1:7" hidden="1" x14ac:dyDescent="0.2">
      <c r="A97" t="s">
        <v>437</v>
      </c>
      <c r="B97" t="s">
        <v>28</v>
      </c>
      <c r="C97">
        <v>2015</v>
      </c>
      <c r="D97">
        <v>2</v>
      </c>
      <c r="E97">
        <v>12</v>
      </c>
      <c r="G97" s="42"/>
    </row>
    <row r="98" spans="1:7" hidden="1" x14ac:dyDescent="0.2">
      <c r="A98" t="s">
        <v>65</v>
      </c>
      <c r="B98" t="s">
        <v>16</v>
      </c>
      <c r="C98">
        <v>2014</v>
      </c>
      <c r="D98">
        <v>8</v>
      </c>
      <c r="E98">
        <v>6</v>
      </c>
      <c r="G98" s="42"/>
    </row>
    <row r="99" spans="1:7" hidden="1" x14ac:dyDescent="0.2">
      <c r="A99" t="s">
        <v>105</v>
      </c>
      <c r="B99" t="s">
        <v>28</v>
      </c>
      <c r="C99">
        <v>2014</v>
      </c>
      <c r="D99">
        <v>8</v>
      </c>
      <c r="E99">
        <v>6</v>
      </c>
      <c r="G99" s="42"/>
    </row>
    <row r="100" spans="1:7" hidden="1" x14ac:dyDescent="0.2">
      <c r="A100" s="2" t="s">
        <v>66</v>
      </c>
      <c r="B100" t="s">
        <v>62</v>
      </c>
      <c r="C100">
        <v>2014</v>
      </c>
      <c r="D100">
        <v>8</v>
      </c>
      <c r="E100">
        <v>6</v>
      </c>
      <c r="G100" s="42"/>
    </row>
    <row r="101" spans="1:7" hidden="1" x14ac:dyDescent="0.2">
      <c r="A101" t="s">
        <v>23</v>
      </c>
      <c r="B101" t="s">
        <v>25</v>
      </c>
      <c r="C101">
        <v>2014</v>
      </c>
      <c r="D101">
        <v>8</v>
      </c>
      <c r="E101">
        <v>6</v>
      </c>
      <c r="G101" s="42"/>
    </row>
    <row r="102" spans="1:7" hidden="1" x14ac:dyDescent="0.2">
      <c r="A102" t="s">
        <v>18</v>
      </c>
      <c r="B102" t="s">
        <v>20</v>
      </c>
      <c r="C102">
        <v>2014</v>
      </c>
      <c r="D102">
        <v>8</v>
      </c>
      <c r="E102">
        <v>6</v>
      </c>
      <c r="G102" s="42"/>
    </row>
    <row r="103" spans="1:7" hidden="1" x14ac:dyDescent="0.2">
      <c r="A103" t="s">
        <v>119</v>
      </c>
      <c r="B103" t="s">
        <v>29</v>
      </c>
      <c r="C103">
        <v>2014</v>
      </c>
      <c r="D103">
        <v>8</v>
      </c>
      <c r="E103">
        <v>6</v>
      </c>
      <c r="G103" s="42"/>
    </row>
    <row r="104" spans="1:7" hidden="1" x14ac:dyDescent="0.2">
      <c r="A104" t="s">
        <v>118</v>
      </c>
      <c r="B104" t="s">
        <v>45</v>
      </c>
      <c r="C104">
        <v>2014</v>
      </c>
      <c r="D104">
        <v>7</v>
      </c>
      <c r="E104">
        <v>7</v>
      </c>
      <c r="G104" s="42"/>
    </row>
    <row r="105" spans="1:7" hidden="1" x14ac:dyDescent="0.2">
      <c r="A105" t="s">
        <v>57</v>
      </c>
      <c r="B105" t="s">
        <v>17</v>
      </c>
      <c r="C105">
        <v>2014</v>
      </c>
      <c r="D105">
        <v>7</v>
      </c>
      <c r="E105">
        <v>7</v>
      </c>
      <c r="G105" s="42"/>
    </row>
    <row r="106" spans="1:7" hidden="1" x14ac:dyDescent="0.2">
      <c r="A106" t="s">
        <v>19</v>
      </c>
      <c r="B106" t="s">
        <v>21</v>
      </c>
      <c r="C106">
        <v>2014</v>
      </c>
      <c r="D106">
        <v>6</v>
      </c>
      <c r="E106">
        <v>8</v>
      </c>
      <c r="G106" s="42"/>
    </row>
    <row r="107" spans="1:7" hidden="1" x14ac:dyDescent="0.2">
      <c r="A107" t="s">
        <v>438</v>
      </c>
      <c r="B107" t="s">
        <v>36</v>
      </c>
      <c r="C107">
        <v>2014</v>
      </c>
      <c r="D107">
        <v>5</v>
      </c>
      <c r="E107">
        <v>9</v>
      </c>
      <c r="G107" s="42"/>
    </row>
    <row r="108" spans="1:7" hidden="1" x14ac:dyDescent="0.2">
      <c r="A108" t="s">
        <v>31</v>
      </c>
      <c r="B108" t="s">
        <v>33</v>
      </c>
      <c r="C108">
        <v>2014</v>
      </c>
      <c r="D108">
        <v>5</v>
      </c>
      <c r="E108">
        <v>9</v>
      </c>
      <c r="G108" s="42"/>
    </row>
    <row r="109" spans="1:7" hidden="1" x14ac:dyDescent="0.2">
      <c r="A109" t="s">
        <v>35</v>
      </c>
      <c r="B109" t="s">
        <v>49</v>
      </c>
      <c r="C109">
        <v>2014</v>
      </c>
      <c r="D109">
        <v>6</v>
      </c>
      <c r="E109">
        <v>8</v>
      </c>
      <c r="G109" s="42"/>
    </row>
    <row r="110" spans="1:7" hidden="1" x14ac:dyDescent="0.2">
      <c r="A110" t="s">
        <v>18</v>
      </c>
      <c r="B110" t="s">
        <v>20</v>
      </c>
      <c r="C110">
        <v>2013</v>
      </c>
      <c r="D110">
        <v>10</v>
      </c>
      <c r="E110">
        <v>4</v>
      </c>
      <c r="G110" s="42"/>
    </row>
    <row r="111" spans="1:7" hidden="1" x14ac:dyDescent="0.2">
      <c r="A111" t="s">
        <v>67</v>
      </c>
      <c r="B111" t="s">
        <v>62</v>
      </c>
      <c r="C111">
        <v>2013</v>
      </c>
      <c r="D111">
        <v>9</v>
      </c>
      <c r="E111">
        <v>5</v>
      </c>
      <c r="G111" s="42"/>
    </row>
    <row r="112" spans="1:7" hidden="1" x14ac:dyDescent="0.2">
      <c r="A112" t="s">
        <v>68</v>
      </c>
      <c r="B112" t="s">
        <v>69</v>
      </c>
      <c r="C112">
        <v>2013</v>
      </c>
      <c r="D112">
        <v>9</v>
      </c>
      <c r="E112">
        <v>5</v>
      </c>
      <c r="G112" s="42"/>
    </row>
    <row r="113" spans="1:7" hidden="1" x14ac:dyDescent="0.2">
      <c r="A113" t="s">
        <v>35</v>
      </c>
      <c r="B113" t="s">
        <v>49</v>
      </c>
      <c r="C113">
        <v>2013</v>
      </c>
      <c r="D113">
        <v>9</v>
      </c>
      <c r="E113">
        <v>5</v>
      </c>
      <c r="G113" s="42"/>
    </row>
    <row r="114" spans="1:7" hidden="1" x14ac:dyDescent="0.2">
      <c r="A114" t="s">
        <v>106</v>
      </c>
      <c r="B114" t="s">
        <v>28</v>
      </c>
      <c r="C114">
        <v>2013</v>
      </c>
      <c r="D114">
        <v>7</v>
      </c>
      <c r="E114">
        <v>7</v>
      </c>
      <c r="G114" s="42"/>
    </row>
    <row r="115" spans="1:7" hidden="1" x14ac:dyDescent="0.2">
      <c r="A115" t="s">
        <v>57</v>
      </c>
      <c r="B115" t="s">
        <v>17</v>
      </c>
      <c r="C115">
        <v>2013</v>
      </c>
      <c r="D115">
        <v>8</v>
      </c>
      <c r="E115">
        <v>6</v>
      </c>
      <c r="G115" s="42"/>
    </row>
    <row r="116" spans="1:7" hidden="1" x14ac:dyDescent="0.2">
      <c r="A116" t="s">
        <v>113</v>
      </c>
      <c r="B116" t="s">
        <v>45</v>
      </c>
      <c r="C116">
        <v>2013</v>
      </c>
      <c r="D116">
        <v>7</v>
      </c>
      <c r="E116">
        <v>7</v>
      </c>
      <c r="G116" s="42"/>
    </row>
    <row r="117" spans="1:7" hidden="1" x14ac:dyDescent="0.2">
      <c r="A117" t="s">
        <v>102</v>
      </c>
      <c r="B117" t="s">
        <v>439</v>
      </c>
      <c r="C117">
        <v>2013</v>
      </c>
      <c r="D117">
        <v>7</v>
      </c>
      <c r="E117">
        <v>7</v>
      </c>
      <c r="G117" s="42"/>
    </row>
    <row r="118" spans="1:7" hidden="1" x14ac:dyDescent="0.2">
      <c r="A118" t="s">
        <v>109</v>
      </c>
      <c r="B118" t="s">
        <v>16</v>
      </c>
      <c r="C118">
        <v>2013</v>
      </c>
      <c r="D118">
        <v>6</v>
      </c>
      <c r="E118">
        <v>8</v>
      </c>
      <c r="G118" s="42"/>
    </row>
    <row r="119" spans="1:7" hidden="1" x14ac:dyDescent="0.2">
      <c r="A119" t="s">
        <v>23</v>
      </c>
      <c r="B119" t="s">
        <v>25</v>
      </c>
      <c r="C119">
        <v>2013</v>
      </c>
      <c r="D119">
        <v>6</v>
      </c>
      <c r="E119">
        <v>8</v>
      </c>
      <c r="G119" s="42"/>
    </row>
    <row r="120" spans="1:7" hidden="1" x14ac:dyDescent="0.2">
      <c r="A120" t="s">
        <v>101</v>
      </c>
      <c r="B120" t="s">
        <v>29</v>
      </c>
      <c r="C120">
        <v>2013</v>
      </c>
      <c r="D120">
        <v>6</v>
      </c>
      <c r="E120">
        <v>8</v>
      </c>
      <c r="G120" s="42"/>
    </row>
    <row r="121" spans="1:7" hidden="1" x14ac:dyDescent="0.2">
      <c r="A121" t="s">
        <v>94</v>
      </c>
      <c r="B121" t="s">
        <v>93</v>
      </c>
      <c r="C121">
        <v>2013</v>
      </c>
      <c r="D121">
        <v>0</v>
      </c>
      <c r="E121">
        <v>14</v>
      </c>
      <c r="G121" s="42"/>
    </row>
    <row r="122" spans="1:7" hidden="1" x14ac:dyDescent="0.2">
      <c r="A122" t="s">
        <v>35</v>
      </c>
      <c r="B122" t="s">
        <v>49</v>
      </c>
      <c r="C122">
        <v>2012</v>
      </c>
      <c r="D122">
        <v>12</v>
      </c>
      <c r="E122">
        <v>2</v>
      </c>
      <c r="G122" s="42"/>
    </row>
    <row r="123" spans="1:7" hidden="1" x14ac:dyDescent="0.2">
      <c r="A123" t="s">
        <v>72</v>
      </c>
      <c r="B123" t="s">
        <v>28</v>
      </c>
      <c r="C123">
        <v>2012</v>
      </c>
      <c r="D123">
        <v>9</v>
      </c>
      <c r="E123">
        <v>5</v>
      </c>
      <c r="G123" s="42"/>
    </row>
    <row r="124" spans="1:7" hidden="1" x14ac:dyDescent="0.2">
      <c r="A124" t="s">
        <v>71</v>
      </c>
      <c r="B124" t="s">
        <v>62</v>
      </c>
      <c r="C124">
        <v>2012</v>
      </c>
      <c r="D124">
        <v>8</v>
      </c>
      <c r="E124">
        <v>6</v>
      </c>
      <c r="G124" s="42"/>
    </row>
    <row r="125" spans="1:7" hidden="1" x14ac:dyDescent="0.2">
      <c r="A125" t="s">
        <v>440</v>
      </c>
      <c r="B125" t="s">
        <v>36</v>
      </c>
      <c r="C125">
        <v>2012</v>
      </c>
      <c r="D125">
        <v>8</v>
      </c>
      <c r="E125">
        <v>6</v>
      </c>
      <c r="G125" s="42"/>
    </row>
    <row r="126" spans="1:7" hidden="1" x14ac:dyDescent="0.2">
      <c r="A126" t="s">
        <v>99</v>
      </c>
      <c r="B126" t="s">
        <v>17</v>
      </c>
      <c r="C126">
        <v>2012</v>
      </c>
      <c r="D126">
        <v>7</v>
      </c>
      <c r="E126">
        <v>7</v>
      </c>
      <c r="G126" s="42"/>
    </row>
    <row r="127" spans="1:7" hidden="1" x14ac:dyDescent="0.2">
      <c r="A127" t="s">
        <v>92</v>
      </c>
      <c r="B127" t="s">
        <v>93</v>
      </c>
      <c r="C127">
        <v>2012</v>
      </c>
      <c r="D127">
        <v>7</v>
      </c>
      <c r="E127">
        <v>7</v>
      </c>
      <c r="G127" s="42"/>
    </row>
    <row r="128" spans="1:7" hidden="1" x14ac:dyDescent="0.2">
      <c r="A128" t="s">
        <v>114</v>
      </c>
      <c r="B128" t="s">
        <v>16</v>
      </c>
      <c r="C128">
        <v>2012</v>
      </c>
      <c r="D128">
        <v>7</v>
      </c>
      <c r="E128">
        <v>7</v>
      </c>
      <c r="G128" s="42"/>
    </row>
    <row r="129" spans="1:12" hidden="1" x14ac:dyDescent="0.2">
      <c r="A129" t="s">
        <v>23</v>
      </c>
      <c r="B129" t="s">
        <v>25</v>
      </c>
      <c r="C129">
        <v>2012</v>
      </c>
      <c r="D129">
        <v>6</v>
      </c>
      <c r="E129">
        <v>8</v>
      </c>
      <c r="G129" s="42"/>
    </row>
    <row r="130" spans="1:12" hidden="1" x14ac:dyDescent="0.2">
      <c r="A130" t="s">
        <v>89</v>
      </c>
      <c r="B130" t="s">
        <v>439</v>
      </c>
      <c r="C130">
        <v>2012</v>
      </c>
      <c r="D130">
        <v>5</v>
      </c>
      <c r="E130">
        <v>9</v>
      </c>
      <c r="G130" s="42"/>
    </row>
    <row r="131" spans="1:12" hidden="1" x14ac:dyDescent="0.2">
      <c r="A131" t="s">
        <v>101</v>
      </c>
      <c r="B131" t="s">
        <v>29</v>
      </c>
      <c r="C131">
        <v>2012</v>
      </c>
      <c r="D131">
        <v>4</v>
      </c>
      <c r="E131">
        <v>10</v>
      </c>
      <c r="G131" s="42"/>
    </row>
    <row r="132" spans="1:12" hidden="1" x14ac:dyDescent="0.2">
      <c r="A132" t="s">
        <v>96</v>
      </c>
      <c r="B132" t="s">
        <v>97</v>
      </c>
      <c r="C132">
        <v>2012</v>
      </c>
      <c r="D132">
        <v>3</v>
      </c>
      <c r="E132">
        <v>11</v>
      </c>
      <c r="G132" s="42"/>
    </row>
    <row r="133" spans="1:12" hidden="1" x14ac:dyDescent="0.2">
      <c r="A133" t="s">
        <v>120</v>
      </c>
      <c r="B133" t="s">
        <v>21</v>
      </c>
      <c r="C133">
        <v>2012</v>
      </c>
      <c r="D133">
        <v>8</v>
      </c>
      <c r="E133">
        <v>6</v>
      </c>
      <c r="G133" s="42"/>
    </row>
    <row r="134" spans="1:12" x14ac:dyDescent="0.2">
      <c r="A134" t="s">
        <v>31</v>
      </c>
      <c r="B134" t="s">
        <v>41</v>
      </c>
      <c r="C134">
        <v>2022</v>
      </c>
      <c r="D134">
        <v>6</v>
      </c>
      <c r="E134">
        <v>9</v>
      </c>
      <c r="F134" s="42">
        <v>5.66</v>
      </c>
      <c r="G134" s="225">
        <f t="shared" ref="G134:G169" si="1">D134-F134</f>
        <v>0.33999999999999986</v>
      </c>
      <c r="K134" s="239"/>
      <c r="L134" s="4"/>
    </row>
    <row r="135" spans="1:12" x14ac:dyDescent="0.2">
      <c r="A135" t="s">
        <v>14</v>
      </c>
      <c r="B135" t="s">
        <v>16</v>
      </c>
      <c r="C135">
        <v>2022</v>
      </c>
      <c r="D135">
        <v>9</v>
      </c>
      <c r="E135">
        <v>6</v>
      </c>
      <c r="F135" s="42">
        <v>8.7100000000000009</v>
      </c>
      <c r="G135" s="225">
        <f t="shared" si="1"/>
        <v>0.28999999999999915</v>
      </c>
      <c r="K135" s="239"/>
      <c r="L135" s="4"/>
    </row>
    <row r="136" spans="1:12" x14ac:dyDescent="0.2">
      <c r="A136" t="s">
        <v>34</v>
      </c>
      <c r="B136" t="s">
        <v>36</v>
      </c>
      <c r="C136">
        <v>2021</v>
      </c>
      <c r="D136">
        <v>9</v>
      </c>
      <c r="E136">
        <v>6</v>
      </c>
      <c r="F136" s="42">
        <v>8.74</v>
      </c>
      <c r="G136" s="225">
        <f t="shared" si="1"/>
        <v>0.25999999999999979</v>
      </c>
      <c r="K136" s="239"/>
      <c r="L136" s="4"/>
    </row>
    <row r="137" spans="1:12" x14ac:dyDescent="0.2">
      <c r="A137" t="s">
        <v>521</v>
      </c>
      <c r="B137" t="s">
        <v>29</v>
      </c>
      <c r="C137">
        <v>2025</v>
      </c>
      <c r="D137">
        <v>9</v>
      </c>
      <c r="E137">
        <v>5</v>
      </c>
      <c r="F137" s="42">
        <v>8.74</v>
      </c>
      <c r="G137" s="225">
        <f t="shared" si="1"/>
        <v>0.25999999999999979</v>
      </c>
      <c r="K137" s="239"/>
      <c r="L137" s="4"/>
    </row>
    <row r="138" spans="1:12" x14ac:dyDescent="0.2">
      <c r="A138" t="s">
        <v>39</v>
      </c>
      <c r="B138" t="s">
        <v>32</v>
      </c>
      <c r="C138">
        <v>2022</v>
      </c>
      <c r="D138">
        <v>8</v>
      </c>
      <c r="E138">
        <v>7</v>
      </c>
      <c r="F138" s="42">
        <v>8.0299999999999994</v>
      </c>
      <c r="G138" s="225">
        <f t="shared" si="1"/>
        <v>-2.9999999999999361E-2</v>
      </c>
      <c r="K138" s="239"/>
      <c r="L138" s="4"/>
    </row>
    <row r="139" spans="1:12" x14ac:dyDescent="0.2">
      <c r="A139" t="s">
        <v>50</v>
      </c>
      <c r="B139" t="s">
        <v>29</v>
      </c>
      <c r="C139">
        <v>2023</v>
      </c>
      <c r="D139">
        <v>6</v>
      </c>
      <c r="E139">
        <v>9</v>
      </c>
      <c r="F139" s="42">
        <v>6.06</v>
      </c>
      <c r="G139" s="225">
        <f t="shared" si="1"/>
        <v>-5.9999999999999609E-2</v>
      </c>
      <c r="K139" s="239"/>
      <c r="L139" s="4"/>
    </row>
    <row r="140" spans="1:12" x14ac:dyDescent="0.2">
      <c r="A140" t="s">
        <v>30</v>
      </c>
      <c r="B140" t="s">
        <v>32</v>
      </c>
      <c r="C140">
        <v>2021</v>
      </c>
      <c r="D140">
        <v>10</v>
      </c>
      <c r="E140">
        <v>5</v>
      </c>
      <c r="F140" s="42">
        <v>10.08</v>
      </c>
      <c r="G140" s="225">
        <f t="shared" si="1"/>
        <v>-8.0000000000000071E-2</v>
      </c>
      <c r="K140" s="239"/>
      <c r="L140" s="4"/>
    </row>
    <row r="141" spans="1:12" x14ac:dyDescent="0.2">
      <c r="A141" t="s">
        <v>19</v>
      </c>
      <c r="B141" t="s">
        <v>21</v>
      </c>
      <c r="C141">
        <v>2021</v>
      </c>
      <c r="D141">
        <v>7</v>
      </c>
      <c r="E141">
        <v>8</v>
      </c>
      <c r="F141" s="42">
        <v>7.09</v>
      </c>
      <c r="G141" s="225">
        <f t="shared" si="1"/>
        <v>-8.9999999999999858E-2</v>
      </c>
      <c r="K141" s="239"/>
      <c r="L141" s="4"/>
    </row>
    <row r="142" spans="1:12" x14ac:dyDescent="0.2">
      <c r="A142" t="s">
        <v>74</v>
      </c>
      <c r="B142" t="s">
        <v>29</v>
      </c>
      <c r="C142">
        <v>2024</v>
      </c>
      <c r="D142">
        <v>6</v>
      </c>
      <c r="E142">
        <v>9</v>
      </c>
      <c r="F142" s="42">
        <v>6.23</v>
      </c>
      <c r="G142" s="225">
        <f t="shared" si="1"/>
        <v>-0.23000000000000043</v>
      </c>
      <c r="K142" s="239"/>
      <c r="L142" s="4"/>
    </row>
    <row r="143" spans="1:12" x14ac:dyDescent="0.2">
      <c r="A143" t="s">
        <v>51</v>
      </c>
      <c r="B143" t="s">
        <v>21</v>
      </c>
      <c r="C143">
        <v>2023</v>
      </c>
      <c r="D143">
        <v>7</v>
      </c>
      <c r="E143">
        <v>8</v>
      </c>
      <c r="F143" s="42">
        <v>7.32</v>
      </c>
      <c r="G143" s="225">
        <f t="shared" si="1"/>
        <v>-0.32000000000000028</v>
      </c>
      <c r="K143" s="239"/>
      <c r="L143" s="4"/>
    </row>
    <row r="144" spans="1:12" x14ac:dyDescent="0.2">
      <c r="A144" t="s">
        <v>26</v>
      </c>
      <c r="B144" t="s">
        <v>28</v>
      </c>
      <c r="C144">
        <v>2025</v>
      </c>
      <c r="D144">
        <v>5</v>
      </c>
      <c r="E144">
        <v>9</v>
      </c>
      <c r="F144" s="42">
        <v>5.39</v>
      </c>
      <c r="G144" s="225">
        <f t="shared" si="1"/>
        <v>-0.38999999999999968</v>
      </c>
      <c r="K144" s="239"/>
      <c r="L144" s="4"/>
    </row>
    <row r="145" spans="1:12" x14ac:dyDescent="0.2">
      <c r="A145" t="s">
        <v>23</v>
      </c>
      <c r="B145" t="s">
        <v>25</v>
      </c>
      <c r="C145">
        <v>2021</v>
      </c>
      <c r="D145">
        <v>6</v>
      </c>
      <c r="E145">
        <v>9</v>
      </c>
      <c r="F145" s="42">
        <v>6.52</v>
      </c>
      <c r="G145" s="225">
        <f t="shared" si="1"/>
        <v>-0.51999999999999957</v>
      </c>
      <c r="K145" s="239"/>
      <c r="L145" s="4"/>
    </row>
    <row r="146" spans="1:12" x14ac:dyDescent="0.2">
      <c r="A146" t="s">
        <v>524</v>
      </c>
      <c r="B146" t="s">
        <v>21</v>
      </c>
      <c r="C146">
        <v>2025</v>
      </c>
      <c r="D146">
        <v>7</v>
      </c>
      <c r="E146">
        <v>7</v>
      </c>
      <c r="F146" s="42">
        <v>7.53</v>
      </c>
      <c r="G146" s="225">
        <f t="shared" si="1"/>
        <v>-0.53000000000000025</v>
      </c>
      <c r="J146" s="240"/>
    </row>
    <row r="147" spans="1:12" x14ac:dyDescent="0.2">
      <c r="A147" t="s">
        <v>31</v>
      </c>
      <c r="B147" t="s">
        <v>33</v>
      </c>
      <c r="C147">
        <v>2021</v>
      </c>
      <c r="D147">
        <v>3</v>
      </c>
      <c r="E147">
        <v>12</v>
      </c>
      <c r="F147" s="42">
        <v>3.6</v>
      </c>
      <c r="G147" s="225">
        <f t="shared" si="1"/>
        <v>-0.60000000000000009</v>
      </c>
      <c r="J147" s="240"/>
    </row>
    <row r="148" spans="1:12" x14ac:dyDescent="0.2">
      <c r="A148" t="s">
        <v>38</v>
      </c>
      <c r="B148" t="s">
        <v>36</v>
      </c>
      <c r="C148">
        <v>2022</v>
      </c>
      <c r="D148">
        <v>8</v>
      </c>
      <c r="E148">
        <v>7</v>
      </c>
      <c r="F148" s="42">
        <v>8.66</v>
      </c>
      <c r="G148" s="225">
        <f t="shared" si="1"/>
        <v>-0.66000000000000014</v>
      </c>
      <c r="J148" s="240"/>
    </row>
    <row r="149" spans="1:12" x14ac:dyDescent="0.2">
      <c r="A149" t="s">
        <v>31</v>
      </c>
      <c r="B149" t="s">
        <v>33</v>
      </c>
      <c r="C149">
        <v>2023</v>
      </c>
      <c r="D149">
        <v>8</v>
      </c>
      <c r="E149">
        <v>7</v>
      </c>
      <c r="F149" s="42">
        <v>8.94</v>
      </c>
      <c r="G149" s="225">
        <f t="shared" si="1"/>
        <v>-0.9399999999999995</v>
      </c>
      <c r="J149" s="240"/>
    </row>
    <row r="150" spans="1:12" x14ac:dyDescent="0.2">
      <c r="A150" t="s">
        <v>26</v>
      </c>
      <c r="B150" t="s">
        <v>28</v>
      </c>
      <c r="C150">
        <v>2022</v>
      </c>
      <c r="D150">
        <v>6</v>
      </c>
      <c r="E150">
        <v>9</v>
      </c>
      <c r="F150" s="42">
        <v>6.95</v>
      </c>
      <c r="G150" s="225">
        <f t="shared" si="1"/>
        <v>-0.95000000000000018</v>
      </c>
      <c r="J150" s="240"/>
    </row>
    <row r="151" spans="1:12" x14ac:dyDescent="0.2">
      <c r="A151" t="s">
        <v>73</v>
      </c>
      <c r="B151" t="s">
        <v>21</v>
      </c>
      <c r="C151">
        <v>2024</v>
      </c>
      <c r="D151">
        <v>6</v>
      </c>
      <c r="E151">
        <v>9</v>
      </c>
      <c r="F151" s="42">
        <v>6.98</v>
      </c>
      <c r="G151" s="225">
        <f t="shared" si="1"/>
        <v>-0.98000000000000043</v>
      </c>
      <c r="J151" s="240"/>
    </row>
    <row r="152" spans="1:12" x14ac:dyDescent="0.2">
      <c r="A152" t="s">
        <v>18</v>
      </c>
      <c r="B152" t="s">
        <v>20</v>
      </c>
      <c r="C152">
        <v>2022</v>
      </c>
      <c r="D152">
        <v>8</v>
      </c>
      <c r="E152">
        <v>7</v>
      </c>
      <c r="F152" s="42">
        <v>9</v>
      </c>
      <c r="G152" s="225">
        <f t="shared" si="1"/>
        <v>-1</v>
      </c>
      <c r="J152" s="240"/>
    </row>
    <row r="153" spans="1:12" x14ac:dyDescent="0.2">
      <c r="A153" t="s">
        <v>14</v>
      </c>
      <c r="B153" t="s">
        <v>16</v>
      </c>
      <c r="C153">
        <v>2024</v>
      </c>
      <c r="D153">
        <v>4</v>
      </c>
      <c r="E153">
        <v>11</v>
      </c>
      <c r="F153" s="42">
        <v>5.04</v>
      </c>
      <c r="G153" s="225">
        <f t="shared" si="1"/>
        <v>-1.04</v>
      </c>
      <c r="J153" s="240"/>
    </row>
    <row r="154" spans="1:12" x14ac:dyDescent="0.2">
      <c r="A154" t="s">
        <v>14</v>
      </c>
      <c r="B154" t="s">
        <v>16</v>
      </c>
      <c r="C154">
        <v>2023</v>
      </c>
      <c r="D154">
        <v>8</v>
      </c>
      <c r="E154">
        <v>7</v>
      </c>
      <c r="F154" s="42">
        <v>9.2200000000000006</v>
      </c>
      <c r="G154" s="225">
        <f t="shared" si="1"/>
        <v>-1.2200000000000006</v>
      </c>
      <c r="J154" s="240"/>
    </row>
    <row r="155" spans="1:12" x14ac:dyDescent="0.2">
      <c r="A155" t="s">
        <v>23</v>
      </c>
      <c r="B155" t="s">
        <v>25</v>
      </c>
      <c r="C155">
        <v>2022</v>
      </c>
      <c r="D155">
        <v>4.5</v>
      </c>
      <c r="E155">
        <v>10.5</v>
      </c>
      <c r="F155" s="42">
        <v>5.74</v>
      </c>
      <c r="G155" s="225">
        <f t="shared" si="1"/>
        <v>-1.2400000000000002</v>
      </c>
      <c r="J155" s="240"/>
    </row>
    <row r="156" spans="1:12" x14ac:dyDescent="0.2">
      <c r="A156" t="s">
        <v>48</v>
      </c>
      <c r="B156" t="s">
        <v>36</v>
      </c>
      <c r="C156">
        <v>2023</v>
      </c>
      <c r="D156">
        <v>8</v>
      </c>
      <c r="E156">
        <v>7</v>
      </c>
      <c r="F156" s="42">
        <v>9.24</v>
      </c>
      <c r="G156" s="225">
        <f t="shared" si="1"/>
        <v>-1.2400000000000002</v>
      </c>
      <c r="J156" s="240"/>
    </row>
    <row r="157" spans="1:12" x14ac:dyDescent="0.2">
      <c r="A157" t="s">
        <v>42</v>
      </c>
      <c r="B157" t="s">
        <v>17</v>
      </c>
      <c r="C157">
        <v>2025</v>
      </c>
      <c r="D157">
        <v>5</v>
      </c>
      <c r="E157">
        <v>9</v>
      </c>
      <c r="F157" s="42">
        <v>6.24</v>
      </c>
      <c r="G157" s="225">
        <f t="shared" si="1"/>
        <v>-1.2400000000000002</v>
      </c>
      <c r="J157" s="240"/>
    </row>
    <row r="158" spans="1:12" x14ac:dyDescent="0.2">
      <c r="A158" t="s">
        <v>14</v>
      </c>
      <c r="B158" t="s">
        <v>16</v>
      </c>
      <c r="C158">
        <v>2025</v>
      </c>
      <c r="D158">
        <v>5</v>
      </c>
      <c r="E158">
        <v>9</v>
      </c>
      <c r="F158" s="42">
        <v>6.34</v>
      </c>
      <c r="G158" s="225">
        <f t="shared" si="1"/>
        <v>-1.3399999999999999</v>
      </c>
      <c r="H158" s="238"/>
      <c r="I158" s="42"/>
    </row>
    <row r="159" spans="1:12" x14ac:dyDescent="0.2">
      <c r="A159" t="s">
        <v>26</v>
      </c>
      <c r="B159" t="s">
        <v>28</v>
      </c>
      <c r="C159">
        <v>2023</v>
      </c>
      <c r="D159">
        <v>8</v>
      </c>
      <c r="E159">
        <v>7</v>
      </c>
      <c r="F159" s="42">
        <v>9.35</v>
      </c>
      <c r="G159" s="225">
        <f t="shared" si="1"/>
        <v>-1.3499999999999996</v>
      </c>
      <c r="H159" s="238"/>
      <c r="I159" s="42"/>
    </row>
    <row r="160" spans="1:12" x14ac:dyDescent="0.2">
      <c r="A160" t="s">
        <v>46</v>
      </c>
      <c r="B160" t="s">
        <v>47</v>
      </c>
      <c r="C160">
        <v>2023</v>
      </c>
      <c r="D160">
        <v>6</v>
      </c>
      <c r="E160">
        <v>9</v>
      </c>
      <c r="F160" s="42">
        <v>7.55</v>
      </c>
      <c r="G160" s="225">
        <f t="shared" si="1"/>
        <v>-1.5499999999999998</v>
      </c>
      <c r="H160" s="238"/>
      <c r="I160" s="42"/>
    </row>
    <row r="161" spans="1:9" x14ac:dyDescent="0.2">
      <c r="A161" t="s">
        <v>35</v>
      </c>
      <c r="B161" t="s">
        <v>37</v>
      </c>
      <c r="C161">
        <v>2021</v>
      </c>
      <c r="D161">
        <v>6</v>
      </c>
      <c r="E161">
        <v>9</v>
      </c>
      <c r="F161" s="42">
        <v>7.65</v>
      </c>
      <c r="G161" s="225">
        <f t="shared" si="1"/>
        <v>-1.6500000000000004</v>
      </c>
      <c r="H161" s="238"/>
      <c r="I161" s="42"/>
    </row>
    <row r="162" spans="1:9" x14ac:dyDescent="0.2">
      <c r="A162" t="s">
        <v>27</v>
      </c>
      <c r="B162" t="s">
        <v>29</v>
      </c>
      <c r="C162">
        <v>2021</v>
      </c>
      <c r="D162">
        <v>3</v>
      </c>
      <c r="E162">
        <v>12</v>
      </c>
      <c r="F162" s="42">
        <v>4.74</v>
      </c>
      <c r="G162" s="225">
        <f t="shared" si="1"/>
        <v>-1.7400000000000002</v>
      </c>
      <c r="H162" s="238"/>
      <c r="I162" s="42"/>
    </row>
    <row r="163" spans="1:9" x14ac:dyDescent="0.2">
      <c r="A163" t="s">
        <v>76</v>
      </c>
      <c r="B163" t="s">
        <v>32</v>
      </c>
      <c r="C163">
        <v>2024</v>
      </c>
      <c r="D163">
        <v>8</v>
      </c>
      <c r="E163">
        <v>7</v>
      </c>
      <c r="F163" s="42">
        <v>9.76</v>
      </c>
      <c r="G163" s="225">
        <f t="shared" si="1"/>
        <v>-1.7599999999999998</v>
      </c>
      <c r="H163" s="238"/>
      <c r="I163" s="42"/>
    </row>
    <row r="164" spans="1:9" x14ac:dyDescent="0.2">
      <c r="A164" t="s">
        <v>22</v>
      </c>
      <c r="B164" t="s">
        <v>24</v>
      </c>
      <c r="C164">
        <v>2022</v>
      </c>
      <c r="D164">
        <v>4.5</v>
      </c>
      <c r="E164">
        <v>10.5</v>
      </c>
      <c r="F164" s="42">
        <v>6.27</v>
      </c>
      <c r="G164" s="225">
        <f t="shared" si="1"/>
        <v>-1.7699999999999996</v>
      </c>
      <c r="H164" s="238"/>
      <c r="I164" s="42"/>
    </row>
    <row r="165" spans="1:9" x14ac:dyDescent="0.2">
      <c r="A165" t="s">
        <v>441</v>
      </c>
      <c r="B165" t="s">
        <v>17</v>
      </c>
      <c r="C165">
        <v>2021</v>
      </c>
      <c r="D165">
        <v>7</v>
      </c>
      <c r="E165">
        <v>8</v>
      </c>
      <c r="F165" s="42">
        <v>9.02</v>
      </c>
      <c r="G165" s="225">
        <f t="shared" si="1"/>
        <v>-2.0199999999999996</v>
      </c>
      <c r="H165" s="238"/>
      <c r="I165" s="42"/>
    </row>
    <row r="166" spans="1:9" x14ac:dyDescent="0.2">
      <c r="A166" t="s">
        <v>26</v>
      </c>
      <c r="B166" t="s">
        <v>28</v>
      </c>
      <c r="C166">
        <v>2024</v>
      </c>
      <c r="D166">
        <v>8</v>
      </c>
      <c r="E166">
        <v>7</v>
      </c>
      <c r="F166" s="42">
        <v>10.07</v>
      </c>
      <c r="G166" s="225">
        <f t="shared" si="1"/>
        <v>-2.0700000000000003</v>
      </c>
      <c r="H166" s="238"/>
      <c r="I166" s="42"/>
    </row>
    <row r="167" spans="1:9" x14ac:dyDescent="0.2">
      <c r="A167" t="s">
        <v>42</v>
      </c>
      <c r="B167" t="s">
        <v>17</v>
      </c>
      <c r="C167">
        <v>2023</v>
      </c>
      <c r="D167">
        <v>4</v>
      </c>
      <c r="E167">
        <v>11</v>
      </c>
      <c r="F167" s="42">
        <v>6.14</v>
      </c>
      <c r="G167" s="225">
        <f t="shared" si="1"/>
        <v>-2.1399999999999997</v>
      </c>
      <c r="H167" s="238"/>
      <c r="I167" s="42"/>
    </row>
    <row r="168" spans="1:9" x14ac:dyDescent="0.2">
      <c r="A168" t="s">
        <v>75</v>
      </c>
      <c r="B168" t="s">
        <v>36</v>
      </c>
      <c r="C168">
        <v>2024</v>
      </c>
      <c r="D168">
        <v>3</v>
      </c>
      <c r="E168">
        <v>12</v>
      </c>
      <c r="F168" s="42">
        <v>6.13</v>
      </c>
      <c r="G168" s="225">
        <f t="shared" si="1"/>
        <v>-3.13</v>
      </c>
      <c r="H168" s="238"/>
      <c r="I168" s="42"/>
    </row>
    <row r="169" spans="1:9" x14ac:dyDescent="0.2">
      <c r="A169" t="s">
        <v>525</v>
      </c>
      <c r="B169" t="s">
        <v>36</v>
      </c>
      <c r="C169">
        <v>2025</v>
      </c>
      <c r="D169">
        <v>5</v>
      </c>
      <c r="E169">
        <v>9</v>
      </c>
      <c r="F169" s="42">
        <v>8.3800000000000008</v>
      </c>
      <c r="G169" s="225">
        <f t="shared" si="1"/>
        <v>-3.3800000000000008</v>
      </c>
      <c r="H169" s="238"/>
      <c r="I169" s="42"/>
    </row>
  </sheetData>
  <autoFilter ref="A1:G169" xr:uid="{00000000-0001-0000-1600-000000000000}">
    <filterColumn colId="2">
      <filters>
        <filter val="2021"/>
        <filter val="2022"/>
        <filter val="2023"/>
        <filter val="2024"/>
        <filter val="2025"/>
      </filters>
    </filterColumn>
    <sortState xmlns:xlrd2="http://schemas.microsoft.com/office/spreadsheetml/2017/richdata2" ref="A2:G169">
      <sortCondition descending="1" ref="G1:G169"/>
    </sortState>
  </autoFilter>
  <conditionalFormatting sqref="G1:G1048576">
    <cfRule type="colorScale" priority="1">
      <colorScale>
        <cfvo type="min"/>
        <cfvo type="num" val="0"/>
        <cfvo type="max"/>
        <color theme="5" tint="0.39997558519241921"/>
        <color theme="0"/>
        <color theme="4" tint="0.39997558519241921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3:G12"/>
  <sheetViews>
    <sheetView workbookViewId="0">
      <selection activeCell="E21" sqref="E21"/>
    </sheetView>
  </sheetViews>
  <sheetFormatPr baseColWidth="10" defaultRowHeight="16" x14ac:dyDescent="0.2"/>
  <cols>
    <col min="2" max="2" width="28.1640625" customWidth="1"/>
  </cols>
  <sheetData>
    <row r="3" spans="2:7" s="27" customFormat="1" x14ac:dyDescent="0.2"/>
    <row r="4" spans="2:7" ht="19" x14ac:dyDescent="0.25">
      <c r="B4" s="293" t="s">
        <v>448</v>
      </c>
      <c r="C4" s="294"/>
      <c r="D4" s="294"/>
      <c r="E4" s="294"/>
      <c r="F4" s="294"/>
      <c r="G4" s="295"/>
    </row>
    <row r="5" spans="2:7" x14ac:dyDescent="0.2">
      <c r="B5" s="69" t="s">
        <v>78</v>
      </c>
      <c r="C5" s="70" t="s">
        <v>79</v>
      </c>
      <c r="D5" s="70" t="s">
        <v>0</v>
      </c>
      <c r="E5" s="70" t="s">
        <v>410</v>
      </c>
      <c r="F5" s="70" t="s">
        <v>449</v>
      </c>
      <c r="G5" s="86" t="s">
        <v>450</v>
      </c>
    </row>
    <row r="6" spans="2:7" x14ac:dyDescent="0.2">
      <c r="B6" s="36" t="s">
        <v>18</v>
      </c>
      <c r="C6" s="90" t="s">
        <v>20</v>
      </c>
      <c r="D6" s="90">
        <v>2024</v>
      </c>
      <c r="E6" s="91" t="s">
        <v>415</v>
      </c>
      <c r="F6" s="92">
        <f>12/15</f>
        <v>0.8</v>
      </c>
      <c r="G6" s="89" t="s">
        <v>96</v>
      </c>
    </row>
    <row r="7" spans="2:7" x14ac:dyDescent="0.2">
      <c r="B7" s="32" t="s">
        <v>44</v>
      </c>
      <c r="C7" t="s">
        <v>45</v>
      </c>
      <c r="D7">
        <v>2023</v>
      </c>
      <c r="E7" s="41" t="s">
        <v>415</v>
      </c>
      <c r="F7" s="54">
        <f>12/15</f>
        <v>0.8</v>
      </c>
      <c r="G7" s="87" t="s">
        <v>451</v>
      </c>
    </row>
    <row r="8" spans="2:7" x14ac:dyDescent="0.2">
      <c r="B8" s="32" t="s">
        <v>22</v>
      </c>
      <c r="C8" t="s">
        <v>24</v>
      </c>
      <c r="D8">
        <v>2021</v>
      </c>
      <c r="E8" s="41" t="s">
        <v>415</v>
      </c>
      <c r="F8" s="54">
        <f>12/15</f>
        <v>0.8</v>
      </c>
      <c r="G8" s="87" t="s">
        <v>451</v>
      </c>
    </row>
    <row r="9" spans="2:7" x14ac:dyDescent="0.2">
      <c r="B9" s="32" t="s">
        <v>18</v>
      </c>
      <c r="C9" t="s">
        <v>20</v>
      </c>
      <c r="D9">
        <v>2017</v>
      </c>
      <c r="E9" s="41" t="s">
        <v>452</v>
      </c>
      <c r="F9" s="54">
        <f>12/14</f>
        <v>0.8571428571428571</v>
      </c>
      <c r="G9" s="87" t="s">
        <v>96</v>
      </c>
    </row>
    <row r="10" spans="2:7" x14ac:dyDescent="0.2">
      <c r="B10" s="32" t="s">
        <v>23</v>
      </c>
      <c r="C10" t="s">
        <v>25</v>
      </c>
      <c r="D10">
        <v>2016</v>
      </c>
      <c r="E10" s="41" t="s">
        <v>452</v>
      </c>
      <c r="F10" s="54">
        <f>12/14</f>
        <v>0.8571428571428571</v>
      </c>
      <c r="G10" s="87" t="s">
        <v>451</v>
      </c>
    </row>
    <row r="11" spans="2:7" x14ac:dyDescent="0.2">
      <c r="B11" s="74" t="s">
        <v>35</v>
      </c>
      <c r="C11" s="75" t="s">
        <v>49</v>
      </c>
      <c r="D11" s="75">
        <v>2012</v>
      </c>
      <c r="E11" s="57" t="s">
        <v>452</v>
      </c>
      <c r="F11" s="55">
        <f>12/14</f>
        <v>0.8571428571428571</v>
      </c>
      <c r="G11" s="88" t="s">
        <v>451</v>
      </c>
    </row>
    <row r="12" spans="2:7" s="27" customFormat="1" x14ac:dyDescent="0.2"/>
  </sheetData>
  <mergeCells count="1">
    <mergeCell ref="B4:G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35"/>
  <sheetViews>
    <sheetView zoomScale="150" zoomScaleNormal="150" workbookViewId="0">
      <selection activeCell="C37" sqref="C37"/>
    </sheetView>
  </sheetViews>
  <sheetFormatPr baseColWidth="10" defaultRowHeight="16" x14ac:dyDescent="0.2"/>
  <cols>
    <col min="2" max="2" width="28.33203125" customWidth="1"/>
    <col min="3" max="3" width="14.5" customWidth="1"/>
    <col min="4" max="4" width="13.33203125" customWidth="1"/>
  </cols>
  <sheetData>
    <row r="1" spans="1:6" x14ac:dyDescent="0.2">
      <c r="A1" s="27"/>
      <c r="B1" s="27"/>
      <c r="C1" s="27"/>
      <c r="D1" s="27"/>
      <c r="E1" s="27"/>
      <c r="F1" s="27"/>
    </row>
    <row r="2" spans="1:6" x14ac:dyDescent="0.2">
      <c r="A2" s="27"/>
      <c r="B2" s="300" t="s">
        <v>612</v>
      </c>
      <c r="C2" s="301"/>
      <c r="D2" s="301"/>
      <c r="E2" s="302"/>
      <c r="F2" s="27"/>
    </row>
    <row r="3" spans="1:6" x14ac:dyDescent="0.2">
      <c r="A3" s="27"/>
      <c r="B3" s="102" t="s">
        <v>78</v>
      </c>
      <c r="C3" s="103" t="s">
        <v>481</v>
      </c>
      <c r="D3" s="103" t="s">
        <v>613</v>
      </c>
      <c r="E3" s="102" t="s">
        <v>482</v>
      </c>
      <c r="F3" s="27"/>
    </row>
    <row r="4" spans="1:6" x14ac:dyDescent="0.2">
      <c r="A4" s="27"/>
      <c r="B4" s="98" t="s">
        <v>77</v>
      </c>
      <c r="C4" s="65">
        <v>119.97142857142856</v>
      </c>
      <c r="D4" s="65">
        <v>85.971428571428561</v>
      </c>
      <c r="E4" s="166">
        <f t="shared" ref="E4:E15" si="0">D4-C4</f>
        <v>-34</v>
      </c>
      <c r="F4" s="27"/>
    </row>
    <row r="5" spans="1:6" x14ac:dyDescent="0.2">
      <c r="A5" s="27"/>
      <c r="B5" s="99" t="s">
        <v>31</v>
      </c>
      <c r="C5" s="42">
        <v>114.48000000000002</v>
      </c>
      <c r="D5" s="42">
        <v>99.594285714285732</v>
      </c>
      <c r="E5" s="167">
        <f t="shared" si="0"/>
        <v>-14.885714285714286</v>
      </c>
      <c r="F5" s="27"/>
    </row>
    <row r="6" spans="1:6" x14ac:dyDescent="0.2">
      <c r="A6" s="27"/>
      <c r="B6" s="99" t="s">
        <v>521</v>
      </c>
      <c r="C6" s="42">
        <v>127.20285714285716</v>
      </c>
      <c r="D6" s="42">
        <v>115.08857142857143</v>
      </c>
      <c r="E6" s="167">
        <f t="shared" si="0"/>
        <v>-12.114285714285728</v>
      </c>
      <c r="F6" s="27"/>
    </row>
    <row r="7" spans="1:6" x14ac:dyDescent="0.2">
      <c r="A7" s="27"/>
      <c r="B7" s="99" t="s">
        <v>26</v>
      </c>
      <c r="C7" s="42">
        <v>110.35142857142857</v>
      </c>
      <c r="D7" s="42">
        <v>98.985714285714295</v>
      </c>
      <c r="E7" s="167">
        <f t="shared" si="0"/>
        <v>-11.365714285714276</v>
      </c>
      <c r="F7" s="27"/>
    </row>
    <row r="8" spans="1:6" x14ac:dyDescent="0.2">
      <c r="A8" s="27"/>
      <c r="B8" s="99" t="s">
        <v>526</v>
      </c>
      <c r="C8" s="42">
        <v>109.87714285714286</v>
      </c>
      <c r="D8" s="42">
        <v>99.65428571428572</v>
      </c>
      <c r="E8" s="167">
        <f t="shared" si="0"/>
        <v>-10.222857142857137</v>
      </c>
      <c r="F8" s="27"/>
    </row>
    <row r="9" spans="1:6" x14ac:dyDescent="0.2">
      <c r="A9" s="27"/>
      <c r="B9" s="99" t="s">
        <v>14</v>
      </c>
      <c r="C9" s="42">
        <v>110.66285714285712</v>
      </c>
      <c r="D9" s="42">
        <v>108.06285714285714</v>
      </c>
      <c r="E9" s="167">
        <f t="shared" si="0"/>
        <v>-2.5999999999999801</v>
      </c>
      <c r="F9" s="27"/>
    </row>
    <row r="10" spans="1:6" x14ac:dyDescent="0.2">
      <c r="A10" s="27"/>
      <c r="B10" s="99" t="s">
        <v>42</v>
      </c>
      <c r="C10" s="42">
        <v>110.16285714285712</v>
      </c>
      <c r="D10" s="42">
        <v>107.74571428571427</v>
      </c>
      <c r="E10" s="167">
        <f t="shared" si="0"/>
        <v>-2.4171428571428493</v>
      </c>
      <c r="F10" s="27"/>
    </row>
    <row r="11" spans="1:6" x14ac:dyDescent="0.2">
      <c r="A11" s="27"/>
      <c r="B11" s="99" t="s">
        <v>46</v>
      </c>
      <c r="C11" s="42">
        <v>110.65999999999998</v>
      </c>
      <c r="D11" s="42">
        <v>115.37428571428572</v>
      </c>
      <c r="E11" s="167">
        <f t="shared" si="0"/>
        <v>4.7142857142857366</v>
      </c>
      <c r="F11" s="27"/>
    </row>
    <row r="12" spans="1:6" x14ac:dyDescent="0.2">
      <c r="A12" s="27"/>
      <c r="B12" s="99" t="s">
        <v>18</v>
      </c>
      <c r="C12" s="42">
        <v>120.39999999999999</v>
      </c>
      <c r="D12" s="42">
        <v>125.50857142857141</v>
      </c>
      <c r="E12" s="167">
        <f t="shared" si="0"/>
        <v>5.1085714285714232</v>
      </c>
      <c r="F12" s="27"/>
    </row>
    <row r="13" spans="1:6" x14ac:dyDescent="0.2">
      <c r="A13" s="27"/>
      <c r="B13" s="99" t="s">
        <v>35</v>
      </c>
      <c r="C13" s="42">
        <v>118.97428571428573</v>
      </c>
      <c r="D13" s="42">
        <v>124.89714285714287</v>
      </c>
      <c r="E13" s="167">
        <f t="shared" si="0"/>
        <v>5.9228571428571399</v>
      </c>
      <c r="F13" s="27"/>
    </row>
    <row r="14" spans="1:6" x14ac:dyDescent="0.2">
      <c r="A14" s="27"/>
      <c r="B14" s="99" t="s">
        <v>525</v>
      </c>
      <c r="C14" s="42">
        <v>115.03714285714285</v>
      </c>
      <c r="D14" s="42">
        <v>123.67142857142856</v>
      </c>
      <c r="E14" s="167">
        <f t="shared" si="0"/>
        <v>8.6342857142857099</v>
      </c>
      <c r="F14" s="27"/>
    </row>
    <row r="15" spans="1:6" x14ac:dyDescent="0.2">
      <c r="A15" s="27"/>
      <c r="B15" s="100" t="s">
        <v>524</v>
      </c>
      <c r="C15" s="25">
        <v>104.33714285714284</v>
      </c>
      <c r="D15" s="25">
        <v>125.92</v>
      </c>
      <c r="E15" s="168">
        <f t="shared" si="0"/>
        <v>21.582857142857165</v>
      </c>
      <c r="F15" s="27"/>
    </row>
    <row r="16" spans="1:6" x14ac:dyDescent="0.2">
      <c r="A16" s="27"/>
      <c r="B16" s="101" t="s">
        <v>483</v>
      </c>
      <c r="C16" s="165">
        <f>AVERAGE(C4:C15)</f>
        <v>114.34309523809524</v>
      </c>
      <c r="D16" s="165">
        <f>AVERAGE(D4:D15)</f>
        <v>110.87285714285714</v>
      </c>
      <c r="E16" s="169">
        <f t="shared" ref="E16" si="1">D16-C16</f>
        <v>-3.470238095238102</v>
      </c>
      <c r="F16" s="27"/>
    </row>
    <row r="17" spans="1:6" x14ac:dyDescent="0.2">
      <c r="A17" s="27"/>
      <c r="B17" s="27"/>
      <c r="C17" s="27"/>
      <c r="D17" s="27"/>
      <c r="E17" s="27"/>
      <c r="F17" s="27"/>
    </row>
    <row r="19" spans="1:6" x14ac:dyDescent="0.2">
      <c r="A19" s="27"/>
      <c r="B19" s="27"/>
      <c r="C19" s="27"/>
      <c r="D19" s="27"/>
      <c r="E19" s="27"/>
      <c r="F19" s="27"/>
    </row>
    <row r="20" spans="1:6" x14ac:dyDescent="0.2">
      <c r="A20" s="27"/>
      <c r="B20" s="300" t="s">
        <v>664</v>
      </c>
      <c r="C20" s="301"/>
      <c r="D20" s="301"/>
      <c r="E20" s="302"/>
      <c r="F20" s="27"/>
    </row>
    <row r="21" spans="1:6" x14ac:dyDescent="0.2">
      <c r="A21" s="27"/>
      <c r="B21" s="102" t="s">
        <v>78</v>
      </c>
      <c r="C21" s="103" t="s">
        <v>481</v>
      </c>
      <c r="D21" s="103" t="s">
        <v>613</v>
      </c>
      <c r="E21" s="102" t="s">
        <v>482</v>
      </c>
      <c r="F21" s="27"/>
    </row>
    <row r="22" spans="1:6" x14ac:dyDescent="0.2">
      <c r="A22" s="27"/>
      <c r="B22" s="98" t="s">
        <v>524</v>
      </c>
      <c r="C22" s="65">
        <v>104.33714285714284</v>
      </c>
      <c r="D22" s="65">
        <v>125.92</v>
      </c>
      <c r="E22" s="166">
        <f>D22-C22</f>
        <v>21.582857142857165</v>
      </c>
      <c r="F22" s="27"/>
    </row>
    <row r="23" spans="1:6" x14ac:dyDescent="0.2">
      <c r="A23" s="27"/>
      <c r="B23" s="99" t="s">
        <v>525</v>
      </c>
      <c r="C23" s="42">
        <v>115.03714285714285</v>
      </c>
      <c r="D23" s="42">
        <v>123.67142857142856</v>
      </c>
      <c r="E23" s="167">
        <f>D23-C23</f>
        <v>8.6342857142857099</v>
      </c>
      <c r="F23" s="27"/>
    </row>
    <row r="24" spans="1:6" x14ac:dyDescent="0.2">
      <c r="A24" s="27"/>
      <c r="B24" s="99" t="s">
        <v>35</v>
      </c>
      <c r="C24" s="42">
        <v>118.97428571428573</v>
      </c>
      <c r="D24" s="42">
        <v>124.89714285714287</v>
      </c>
      <c r="E24" s="167">
        <f>D24-C24</f>
        <v>5.9228571428571399</v>
      </c>
      <c r="F24" s="27"/>
    </row>
    <row r="25" spans="1:6" x14ac:dyDescent="0.2">
      <c r="A25" s="27"/>
      <c r="B25" s="99" t="s">
        <v>18</v>
      </c>
      <c r="C25" s="42">
        <v>120.39999999999999</v>
      </c>
      <c r="D25" s="42">
        <v>125.50857142857141</v>
      </c>
      <c r="E25" s="167">
        <f>D25-C25</f>
        <v>5.1085714285714232</v>
      </c>
      <c r="F25" s="27"/>
    </row>
    <row r="26" spans="1:6" x14ac:dyDescent="0.2">
      <c r="A26" s="27"/>
      <c r="B26" s="99" t="s">
        <v>46</v>
      </c>
      <c r="C26" s="42">
        <v>110.65999999999998</v>
      </c>
      <c r="D26" s="42">
        <v>115.37428571428572</v>
      </c>
      <c r="E26" s="167">
        <f>D26-C26</f>
        <v>4.7142857142857366</v>
      </c>
      <c r="F26" s="27"/>
    </row>
    <row r="27" spans="1:6" x14ac:dyDescent="0.2">
      <c r="A27" s="27"/>
      <c r="B27" s="99" t="s">
        <v>42</v>
      </c>
      <c r="C27" s="42">
        <v>110.16285714285712</v>
      </c>
      <c r="D27" s="42">
        <v>107.74571428571427</v>
      </c>
      <c r="E27" s="167">
        <f>D27-C27</f>
        <v>-2.4171428571428493</v>
      </c>
      <c r="F27" s="27"/>
    </row>
    <row r="28" spans="1:6" x14ac:dyDescent="0.2">
      <c r="A28" s="27"/>
      <c r="B28" s="99" t="s">
        <v>14</v>
      </c>
      <c r="C28" s="42">
        <v>110.66285714285712</v>
      </c>
      <c r="D28" s="42">
        <v>108.06285714285714</v>
      </c>
      <c r="E28" s="167">
        <f>D28-C28</f>
        <v>-2.5999999999999801</v>
      </c>
      <c r="F28" s="27"/>
    </row>
    <row r="29" spans="1:6" x14ac:dyDescent="0.2">
      <c r="A29" s="27"/>
      <c r="B29" s="99" t="s">
        <v>526</v>
      </c>
      <c r="C29" s="42">
        <v>109.87714285714286</v>
      </c>
      <c r="D29" s="42">
        <v>99.65428571428572</v>
      </c>
      <c r="E29" s="167">
        <f>D29-C29</f>
        <v>-10.222857142857137</v>
      </c>
      <c r="F29" s="27"/>
    </row>
    <row r="30" spans="1:6" x14ac:dyDescent="0.2">
      <c r="A30" s="27"/>
      <c r="B30" s="99" t="s">
        <v>26</v>
      </c>
      <c r="C30" s="42">
        <v>110.35142857142857</v>
      </c>
      <c r="D30" s="42">
        <v>98.985714285714295</v>
      </c>
      <c r="E30" s="167">
        <f>D30-C30</f>
        <v>-11.365714285714276</v>
      </c>
      <c r="F30" s="27"/>
    </row>
    <row r="31" spans="1:6" x14ac:dyDescent="0.2">
      <c r="A31" s="27"/>
      <c r="B31" s="99" t="s">
        <v>521</v>
      </c>
      <c r="C31" s="42">
        <v>127.20285714285716</v>
      </c>
      <c r="D31" s="42">
        <v>115.08857142857143</v>
      </c>
      <c r="E31" s="167">
        <f>D31-C31</f>
        <v>-12.114285714285728</v>
      </c>
      <c r="F31" s="27"/>
    </row>
    <row r="32" spans="1:6" x14ac:dyDescent="0.2">
      <c r="A32" s="27"/>
      <c r="B32" s="99" t="s">
        <v>31</v>
      </c>
      <c r="C32" s="327">
        <v>114.48000000000002</v>
      </c>
      <c r="D32" s="327">
        <v>99.594285714285732</v>
      </c>
      <c r="E32" s="167">
        <f>D32-C32</f>
        <v>-14.885714285714286</v>
      </c>
      <c r="F32" s="27"/>
    </row>
    <row r="33" spans="1:6" x14ac:dyDescent="0.2">
      <c r="A33" s="27"/>
      <c r="B33" s="100" t="s">
        <v>77</v>
      </c>
      <c r="C33" s="25">
        <v>119.97142857142856</v>
      </c>
      <c r="D33" s="25">
        <v>85.971428571428561</v>
      </c>
      <c r="E33" s="168">
        <f>D33-C33</f>
        <v>-34</v>
      </c>
      <c r="F33" s="27"/>
    </row>
    <row r="34" spans="1:6" x14ac:dyDescent="0.2">
      <c r="A34" s="27"/>
      <c r="B34" s="101" t="s">
        <v>483</v>
      </c>
      <c r="C34" s="165">
        <f>AVERAGE(C22:C33)</f>
        <v>114.34309523809522</v>
      </c>
      <c r="D34" s="165">
        <f>AVERAGE(D22:D33)</f>
        <v>110.87285714285714</v>
      </c>
      <c r="E34" s="169">
        <f>D34-C34</f>
        <v>-3.4702380952380736</v>
      </c>
      <c r="F34" s="27"/>
    </row>
    <row r="35" spans="1:6" x14ac:dyDescent="0.2">
      <c r="A35" s="27"/>
      <c r="B35" s="27"/>
      <c r="C35" s="27"/>
      <c r="D35" s="27"/>
      <c r="E35" s="27"/>
      <c r="F35" s="27"/>
    </row>
  </sheetData>
  <sortState xmlns:xlrd2="http://schemas.microsoft.com/office/spreadsheetml/2017/richdata2" ref="B22:E33">
    <sortCondition descending="1" ref="E22:E33"/>
  </sortState>
  <mergeCells count="2">
    <mergeCell ref="B2:E2"/>
    <mergeCell ref="B20:E20"/>
  </mergeCells>
  <conditionalFormatting sqref="C4:D1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16">
    <cfRule type="colorScale" priority="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C22:D3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2:E34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55"/>
  <sheetViews>
    <sheetView zoomScale="110" zoomScaleNormal="110" zoomScalePageLayoutView="110" workbookViewId="0">
      <selection activeCell="D24" sqref="D24"/>
    </sheetView>
  </sheetViews>
  <sheetFormatPr baseColWidth="10" defaultRowHeight="16" x14ac:dyDescent="0.2"/>
  <cols>
    <col min="1" max="1" width="10.83203125" style="27"/>
    <col min="3" max="3" width="8.83203125" customWidth="1"/>
    <col min="4" max="4" width="24.83203125" customWidth="1"/>
    <col min="5" max="5" width="24.6640625" customWidth="1"/>
    <col min="6" max="6" width="11.6640625" customWidth="1"/>
    <col min="9" max="9" width="10.83203125" style="27"/>
  </cols>
  <sheetData>
    <row r="1" spans="2:9" x14ac:dyDescent="0.2">
      <c r="B1" s="27"/>
      <c r="C1" s="27"/>
      <c r="D1" s="27"/>
      <c r="E1" s="27"/>
      <c r="F1" s="27"/>
      <c r="G1" s="27"/>
      <c r="H1" s="27"/>
    </row>
    <row r="2" spans="2:9" ht="21" x14ac:dyDescent="0.25">
      <c r="B2" s="27"/>
      <c r="C2" s="287" t="s">
        <v>505</v>
      </c>
      <c r="D2" s="288"/>
      <c r="E2" s="288"/>
      <c r="F2" s="288"/>
      <c r="G2" s="288"/>
      <c r="H2" s="289"/>
      <c r="I2" s="129"/>
    </row>
    <row r="3" spans="2:9" x14ac:dyDescent="0.2">
      <c r="B3" s="27"/>
      <c r="C3" s="69" t="s">
        <v>1</v>
      </c>
      <c r="D3" s="70" t="s">
        <v>500</v>
      </c>
      <c r="E3" s="70" t="s">
        <v>501</v>
      </c>
      <c r="F3" s="70" t="s">
        <v>502</v>
      </c>
      <c r="G3" s="70" t="s">
        <v>503</v>
      </c>
      <c r="H3" s="86" t="s">
        <v>504</v>
      </c>
    </row>
    <row r="4" spans="2:9" x14ac:dyDescent="0.2">
      <c r="B4" s="27"/>
      <c r="C4" s="36">
        <v>11</v>
      </c>
      <c r="D4" s="90" t="s">
        <v>42</v>
      </c>
      <c r="E4" s="90" t="s">
        <v>73</v>
      </c>
      <c r="F4" s="115">
        <v>95.74</v>
      </c>
      <c r="G4" s="115">
        <v>95.54</v>
      </c>
      <c r="H4" s="125">
        <f t="shared" ref="H4:H13" si="0">F4-G4</f>
        <v>0.19999999999998863</v>
      </c>
    </row>
    <row r="5" spans="2:9" x14ac:dyDescent="0.2">
      <c r="B5" s="27"/>
      <c r="C5" s="36">
        <v>2</v>
      </c>
      <c r="D5" s="90" t="s">
        <v>73</v>
      </c>
      <c r="E5" s="90" t="s">
        <v>31</v>
      </c>
      <c r="F5" s="115">
        <v>138.41999999999999</v>
      </c>
      <c r="G5" s="115">
        <v>137.78</v>
      </c>
      <c r="H5" s="48">
        <f t="shared" si="0"/>
        <v>0.63999999999998636</v>
      </c>
    </row>
    <row r="6" spans="2:9" x14ac:dyDescent="0.2">
      <c r="B6" s="27"/>
      <c r="C6" s="36">
        <v>14</v>
      </c>
      <c r="D6" s="90" t="s">
        <v>73</v>
      </c>
      <c r="E6" s="90" t="s">
        <v>74</v>
      </c>
      <c r="F6" s="115">
        <v>133.78</v>
      </c>
      <c r="G6" s="115">
        <v>132.52000000000001</v>
      </c>
      <c r="H6" s="48">
        <f t="shared" si="0"/>
        <v>1.2599999999999909</v>
      </c>
    </row>
    <row r="7" spans="2:9" x14ac:dyDescent="0.2">
      <c r="B7" s="27"/>
      <c r="C7" s="36">
        <v>13</v>
      </c>
      <c r="D7" s="90" t="s">
        <v>31</v>
      </c>
      <c r="E7" s="90" t="s">
        <v>73</v>
      </c>
      <c r="F7" s="115">
        <v>122.68</v>
      </c>
      <c r="G7" s="115">
        <v>121.3</v>
      </c>
      <c r="H7" s="48">
        <f t="shared" si="0"/>
        <v>1.3800000000000097</v>
      </c>
    </row>
    <row r="8" spans="2:9" x14ac:dyDescent="0.2">
      <c r="B8" s="27"/>
      <c r="C8" s="32">
        <v>4</v>
      </c>
      <c r="D8" t="s">
        <v>74</v>
      </c>
      <c r="E8" t="s">
        <v>42</v>
      </c>
      <c r="F8" s="4">
        <v>108.22</v>
      </c>
      <c r="G8" s="4">
        <v>106.6</v>
      </c>
      <c r="H8" s="33">
        <f t="shared" si="0"/>
        <v>1.6200000000000045</v>
      </c>
    </row>
    <row r="9" spans="2:9" x14ac:dyDescent="0.2">
      <c r="B9" s="27"/>
      <c r="C9" s="36">
        <v>5</v>
      </c>
      <c r="D9" s="90" t="s">
        <v>73</v>
      </c>
      <c r="E9" s="90" t="s">
        <v>26</v>
      </c>
      <c r="F9" s="115">
        <v>114.86</v>
      </c>
      <c r="G9" s="115">
        <v>112.14</v>
      </c>
      <c r="H9" s="48">
        <f t="shared" si="0"/>
        <v>2.7199999999999989</v>
      </c>
    </row>
    <row r="10" spans="2:9" x14ac:dyDescent="0.2">
      <c r="B10" s="27"/>
      <c r="C10" s="32">
        <v>2</v>
      </c>
      <c r="D10" t="s">
        <v>18</v>
      </c>
      <c r="E10" t="s">
        <v>77</v>
      </c>
      <c r="F10" s="4">
        <v>124.04</v>
      </c>
      <c r="G10" s="4">
        <v>120.9</v>
      </c>
      <c r="H10" s="33">
        <f t="shared" si="0"/>
        <v>3.1400000000000006</v>
      </c>
    </row>
    <row r="11" spans="2:9" x14ac:dyDescent="0.2">
      <c r="B11" s="27"/>
      <c r="C11" s="32">
        <v>8</v>
      </c>
      <c r="D11" t="s">
        <v>77</v>
      </c>
      <c r="E11" t="s">
        <v>75</v>
      </c>
      <c r="F11" s="4">
        <v>105.2</v>
      </c>
      <c r="G11" s="4">
        <v>101.64</v>
      </c>
      <c r="H11" s="33">
        <f t="shared" si="0"/>
        <v>3.5600000000000023</v>
      </c>
    </row>
    <row r="12" spans="2:9" x14ac:dyDescent="0.2">
      <c r="B12" s="27"/>
      <c r="C12" s="32">
        <v>8</v>
      </c>
      <c r="D12" t="s">
        <v>18</v>
      </c>
      <c r="E12" t="s">
        <v>14</v>
      </c>
      <c r="F12" s="4">
        <v>124.94</v>
      </c>
      <c r="G12" s="4">
        <v>120.82</v>
      </c>
      <c r="H12" s="33">
        <f t="shared" si="0"/>
        <v>4.1200000000000045</v>
      </c>
    </row>
    <row r="13" spans="2:9" x14ac:dyDescent="0.2">
      <c r="B13" s="27"/>
      <c r="C13" s="74">
        <v>10</v>
      </c>
      <c r="D13" s="75" t="s">
        <v>42</v>
      </c>
      <c r="E13" s="75" t="s">
        <v>75</v>
      </c>
      <c r="F13" s="16">
        <v>117.34</v>
      </c>
      <c r="G13" s="16">
        <v>113.2</v>
      </c>
      <c r="H13" s="40">
        <f t="shared" si="0"/>
        <v>4.1400000000000006</v>
      </c>
    </row>
    <row r="14" spans="2:9" x14ac:dyDescent="0.2">
      <c r="B14" s="27"/>
      <c r="C14" s="27"/>
      <c r="D14" s="27"/>
      <c r="E14" s="27"/>
      <c r="F14" s="27"/>
      <c r="G14" s="27"/>
      <c r="H14" s="27"/>
    </row>
    <row r="16" spans="2:9" ht="21" x14ac:dyDescent="0.25">
      <c r="C16" s="287" t="s">
        <v>614</v>
      </c>
      <c r="D16" s="288"/>
      <c r="E16" s="288"/>
      <c r="F16" s="288"/>
      <c r="G16" s="288"/>
      <c r="H16" s="289"/>
    </row>
    <row r="17" spans="2:8" x14ac:dyDescent="0.2">
      <c r="C17" s="28" t="s">
        <v>1</v>
      </c>
      <c r="D17" s="29" t="s">
        <v>500</v>
      </c>
      <c r="E17" s="29" t="s">
        <v>501</v>
      </c>
      <c r="F17" s="29" t="s">
        <v>502</v>
      </c>
      <c r="G17" s="29" t="s">
        <v>503</v>
      </c>
      <c r="H17" s="30" t="s">
        <v>504</v>
      </c>
    </row>
    <row r="18" spans="2:8" x14ac:dyDescent="0.2">
      <c r="C18" s="46">
        <v>12</v>
      </c>
      <c r="D18" s="124" t="s">
        <v>14</v>
      </c>
      <c r="E18" s="124" t="s">
        <v>26</v>
      </c>
      <c r="F18" s="124">
        <v>106.32</v>
      </c>
      <c r="G18" s="124">
        <v>106.26</v>
      </c>
      <c r="H18" s="47">
        <f t="shared" ref="H18:H27" si="1">F18-G18</f>
        <v>5.9999999999988063E-2</v>
      </c>
    </row>
    <row r="19" spans="2:8" x14ac:dyDescent="0.2">
      <c r="C19" s="32">
        <v>7</v>
      </c>
      <c r="D19" t="s">
        <v>77</v>
      </c>
      <c r="E19" t="s">
        <v>42</v>
      </c>
      <c r="F19">
        <v>97.32</v>
      </c>
      <c r="G19">
        <v>97.06</v>
      </c>
      <c r="H19" s="15">
        <f t="shared" si="1"/>
        <v>0.25999999999999091</v>
      </c>
    </row>
    <row r="20" spans="2:8" x14ac:dyDescent="0.2">
      <c r="C20" s="32">
        <v>5</v>
      </c>
      <c r="D20" t="s">
        <v>35</v>
      </c>
      <c r="E20" t="s">
        <v>26</v>
      </c>
      <c r="F20">
        <v>114.6</v>
      </c>
      <c r="G20">
        <v>113.58</v>
      </c>
      <c r="H20" s="15">
        <f t="shared" si="1"/>
        <v>1.019999999999996</v>
      </c>
    </row>
    <row r="21" spans="2:8" x14ac:dyDescent="0.2">
      <c r="C21" s="32">
        <v>13</v>
      </c>
      <c r="D21" t="s">
        <v>31</v>
      </c>
      <c r="E21" t="s">
        <v>42</v>
      </c>
      <c r="F21">
        <v>112.44</v>
      </c>
      <c r="G21">
        <v>110.4</v>
      </c>
      <c r="H21" s="15">
        <f t="shared" si="1"/>
        <v>2.039999999999992</v>
      </c>
    </row>
    <row r="22" spans="2:8" x14ac:dyDescent="0.2">
      <c r="C22" s="32">
        <v>1</v>
      </c>
      <c r="D22" t="s">
        <v>77</v>
      </c>
      <c r="E22" t="s">
        <v>46</v>
      </c>
      <c r="F22">
        <v>104.88</v>
      </c>
      <c r="G22">
        <v>102.62</v>
      </c>
      <c r="H22" s="15">
        <f t="shared" si="1"/>
        <v>2.2599999999999909</v>
      </c>
    </row>
    <row r="23" spans="2:8" x14ac:dyDescent="0.2">
      <c r="C23" s="32">
        <v>17</v>
      </c>
      <c r="D23" t="s">
        <v>524</v>
      </c>
      <c r="E23" t="s">
        <v>31</v>
      </c>
      <c r="F23">
        <v>96.78</v>
      </c>
      <c r="G23">
        <v>94.42</v>
      </c>
      <c r="H23" s="15">
        <f t="shared" si="1"/>
        <v>2.3599999999999994</v>
      </c>
    </row>
    <row r="24" spans="2:8" x14ac:dyDescent="0.2">
      <c r="C24" s="32">
        <v>7</v>
      </c>
      <c r="D24" t="s">
        <v>46</v>
      </c>
      <c r="E24" t="s">
        <v>31</v>
      </c>
      <c r="F24">
        <v>121.74</v>
      </c>
      <c r="G24">
        <v>118.22</v>
      </c>
      <c r="H24" s="15">
        <f t="shared" si="1"/>
        <v>3.519999999999996</v>
      </c>
    </row>
    <row r="25" spans="2:8" x14ac:dyDescent="0.2">
      <c r="C25" s="32">
        <v>13</v>
      </c>
      <c r="D25" t="s">
        <v>35</v>
      </c>
      <c r="E25" t="s">
        <v>46</v>
      </c>
      <c r="F25">
        <v>129.1</v>
      </c>
      <c r="G25">
        <v>125.36</v>
      </c>
      <c r="H25" s="15">
        <f t="shared" si="1"/>
        <v>3.7399999999999949</v>
      </c>
    </row>
    <row r="26" spans="2:8" x14ac:dyDescent="0.2">
      <c r="C26" s="32">
        <v>7</v>
      </c>
      <c r="D26" t="s">
        <v>26</v>
      </c>
      <c r="E26" t="s">
        <v>525</v>
      </c>
      <c r="F26">
        <v>141.32</v>
      </c>
      <c r="G26">
        <v>137.54</v>
      </c>
      <c r="H26" s="15">
        <f t="shared" si="1"/>
        <v>3.7800000000000011</v>
      </c>
    </row>
    <row r="27" spans="2:8" x14ac:dyDescent="0.2">
      <c r="C27" s="74">
        <v>4</v>
      </c>
      <c r="D27" s="75" t="s">
        <v>46</v>
      </c>
      <c r="E27" s="75" t="s">
        <v>524</v>
      </c>
      <c r="F27" s="75">
        <v>116.46</v>
      </c>
      <c r="G27" s="75">
        <v>112.46</v>
      </c>
      <c r="H27" s="17">
        <f t="shared" si="1"/>
        <v>4</v>
      </c>
    </row>
    <row r="29" spans="2:8" x14ac:dyDescent="0.2">
      <c r="B29" s="27"/>
      <c r="C29" s="27"/>
      <c r="D29" s="27"/>
      <c r="E29" s="27"/>
      <c r="F29" s="27"/>
      <c r="G29" s="27"/>
      <c r="H29" s="27"/>
    </row>
    <row r="30" spans="2:8" ht="21" x14ac:dyDescent="0.25">
      <c r="B30" s="287" t="s">
        <v>615</v>
      </c>
      <c r="C30" s="288"/>
      <c r="D30" s="288"/>
      <c r="E30" s="288"/>
      <c r="F30" s="288"/>
      <c r="G30" s="288"/>
      <c r="H30" s="289"/>
    </row>
    <row r="31" spans="2:8" x14ac:dyDescent="0.2">
      <c r="B31" s="69" t="s">
        <v>0</v>
      </c>
      <c r="C31" s="70" t="s">
        <v>1</v>
      </c>
      <c r="D31" s="70" t="s">
        <v>500</v>
      </c>
      <c r="E31" s="70" t="s">
        <v>501</v>
      </c>
      <c r="F31" s="70" t="s">
        <v>502</v>
      </c>
      <c r="G31" s="70" t="s">
        <v>503</v>
      </c>
      <c r="H31" s="86" t="s">
        <v>504</v>
      </c>
    </row>
    <row r="32" spans="2:8" x14ac:dyDescent="0.2">
      <c r="B32" s="32">
        <v>2022</v>
      </c>
      <c r="C32">
        <v>17</v>
      </c>
      <c r="D32" t="s">
        <v>43</v>
      </c>
      <c r="E32" t="s">
        <v>42</v>
      </c>
      <c r="F32">
        <v>89.42</v>
      </c>
      <c r="G32">
        <v>89.38</v>
      </c>
      <c r="H32" s="234">
        <f t="shared" ref="H32:H41" si="2">F32-G32</f>
        <v>4.0000000000006253E-2</v>
      </c>
    </row>
    <row r="33" spans="2:8" x14ac:dyDescent="0.2">
      <c r="B33" s="36">
        <v>2025</v>
      </c>
      <c r="C33" s="90">
        <v>12</v>
      </c>
      <c r="D33" s="90" t="s">
        <v>14</v>
      </c>
      <c r="E33" s="90" t="s">
        <v>26</v>
      </c>
      <c r="F33" s="90">
        <v>106.32</v>
      </c>
      <c r="G33" s="90">
        <v>106.26</v>
      </c>
      <c r="H33" s="236">
        <f t="shared" si="2"/>
        <v>5.9999999999988063E-2</v>
      </c>
    </row>
    <row r="34" spans="2:8" x14ac:dyDescent="0.2">
      <c r="B34" s="32">
        <v>2023</v>
      </c>
      <c r="C34">
        <v>1</v>
      </c>
      <c r="D34" t="s">
        <v>48</v>
      </c>
      <c r="E34" t="s">
        <v>35</v>
      </c>
      <c r="F34">
        <v>94.02</v>
      </c>
      <c r="G34" s="4">
        <v>93.9</v>
      </c>
      <c r="H34" s="235">
        <f t="shared" si="2"/>
        <v>0.11999999999999034</v>
      </c>
    </row>
    <row r="35" spans="2:8" x14ac:dyDescent="0.2">
      <c r="B35" s="32">
        <v>2022</v>
      </c>
      <c r="C35">
        <v>17</v>
      </c>
      <c r="D35" t="s">
        <v>40</v>
      </c>
      <c r="E35" t="s">
        <v>14</v>
      </c>
      <c r="F35">
        <v>113.96</v>
      </c>
      <c r="G35">
        <v>113.78</v>
      </c>
      <c r="H35" s="235">
        <f t="shared" si="2"/>
        <v>0.17999999999999261</v>
      </c>
    </row>
    <row r="36" spans="2:8" x14ac:dyDescent="0.2">
      <c r="B36" s="32">
        <v>2024</v>
      </c>
      <c r="C36">
        <v>11</v>
      </c>
      <c r="D36" t="s">
        <v>42</v>
      </c>
      <c r="E36" t="s">
        <v>73</v>
      </c>
      <c r="F36">
        <v>95.74</v>
      </c>
      <c r="G36">
        <v>95.54</v>
      </c>
      <c r="H36" s="235">
        <f t="shared" si="2"/>
        <v>0.19999999999998863</v>
      </c>
    </row>
    <row r="37" spans="2:8" x14ac:dyDescent="0.2">
      <c r="B37" s="36">
        <v>2025</v>
      </c>
      <c r="C37" s="90">
        <v>7</v>
      </c>
      <c r="D37" s="90" t="s">
        <v>77</v>
      </c>
      <c r="E37" s="90" t="s">
        <v>42</v>
      </c>
      <c r="F37" s="90">
        <v>97.32</v>
      </c>
      <c r="G37" s="90">
        <v>97.06</v>
      </c>
      <c r="H37" s="236">
        <f t="shared" si="2"/>
        <v>0.25999999999999091</v>
      </c>
    </row>
    <row r="38" spans="2:8" x14ac:dyDescent="0.2">
      <c r="B38" s="32">
        <v>2021</v>
      </c>
      <c r="C38">
        <v>4</v>
      </c>
      <c r="D38" t="s">
        <v>26</v>
      </c>
      <c r="E38" t="s">
        <v>30</v>
      </c>
      <c r="F38">
        <v>106.04</v>
      </c>
      <c r="G38">
        <v>105.72</v>
      </c>
      <c r="H38" s="235">
        <f t="shared" si="2"/>
        <v>0.32000000000000739</v>
      </c>
    </row>
    <row r="39" spans="2:8" x14ac:dyDescent="0.2">
      <c r="B39" s="32">
        <v>2021</v>
      </c>
      <c r="C39">
        <v>8</v>
      </c>
      <c r="D39" t="s">
        <v>26</v>
      </c>
      <c r="E39" t="s">
        <v>15</v>
      </c>
      <c r="F39" s="4">
        <v>94.9</v>
      </c>
      <c r="G39">
        <v>94.48</v>
      </c>
      <c r="H39" s="235">
        <f t="shared" si="2"/>
        <v>0.42000000000000171</v>
      </c>
    </row>
    <row r="40" spans="2:8" x14ac:dyDescent="0.2">
      <c r="B40" s="32">
        <v>2023</v>
      </c>
      <c r="C40">
        <v>15</v>
      </c>
      <c r="D40" t="s">
        <v>35</v>
      </c>
      <c r="E40" t="s">
        <v>50</v>
      </c>
      <c r="F40">
        <v>116.56</v>
      </c>
      <c r="G40">
        <v>116.08</v>
      </c>
      <c r="H40" s="235">
        <f t="shared" si="2"/>
        <v>0.48000000000000398</v>
      </c>
    </row>
    <row r="41" spans="2:8" x14ac:dyDescent="0.2">
      <c r="B41" s="74">
        <v>2024</v>
      </c>
      <c r="C41" s="75">
        <v>2</v>
      </c>
      <c r="D41" s="75" t="s">
        <v>73</v>
      </c>
      <c r="E41" s="75" t="s">
        <v>31</v>
      </c>
      <c r="F41" s="75">
        <v>138.41999999999999</v>
      </c>
      <c r="G41" s="75">
        <v>137.78</v>
      </c>
      <c r="H41" s="237">
        <f t="shared" si="2"/>
        <v>0.63999999999998636</v>
      </c>
    </row>
    <row r="42" spans="2:8" x14ac:dyDescent="0.2">
      <c r="B42" s="27"/>
      <c r="C42" s="27"/>
      <c r="D42" s="27"/>
      <c r="E42" s="27"/>
      <c r="F42" s="27"/>
      <c r="G42" s="27"/>
      <c r="H42" s="27"/>
    </row>
    <row r="43" spans="2:8" ht="21" x14ac:dyDescent="0.25">
      <c r="B43" s="287" t="s">
        <v>643</v>
      </c>
      <c r="C43" s="288"/>
      <c r="D43" s="288"/>
      <c r="E43" s="288"/>
      <c r="F43" s="288"/>
      <c r="G43" s="288"/>
      <c r="H43" s="289"/>
    </row>
    <row r="44" spans="2:8" x14ac:dyDescent="0.2">
      <c r="B44" s="69" t="s">
        <v>0</v>
      </c>
      <c r="C44" s="70" t="s">
        <v>1</v>
      </c>
      <c r="D44" s="70" t="s">
        <v>500</v>
      </c>
      <c r="E44" s="70" t="s">
        <v>501</v>
      </c>
      <c r="F44" s="70" t="s">
        <v>502</v>
      </c>
      <c r="G44" s="70" t="s">
        <v>503</v>
      </c>
      <c r="H44" s="86" t="s">
        <v>504</v>
      </c>
    </row>
    <row r="45" spans="2:8" x14ac:dyDescent="0.2">
      <c r="B45" s="46">
        <v>2021</v>
      </c>
      <c r="C45" s="124">
        <v>2</v>
      </c>
      <c r="D45" s="124" t="s">
        <v>18</v>
      </c>
      <c r="E45" s="124" t="s">
        <v>15</v>
      </c>
      <c r="F45" s="124">
        <v>163.80000000000001</v>
      </c>
      <c r="G45" s="124">
        <v>51.38</v>
      </c>
      <c r="H45" s="234">
        <f t="shared" ref="H45:H54" si="3">F45-G45</f>
        <v>112.42000000000002</v>
      </c>
    </row>
    <row r="46" spans="2:8" x14ac:dyDescent="0.2">
      <c r="B46" s="32">
        <v>2023</v>
      </c>
      <c r="C46">
        <v>8</v>
      </c>
      <c r="D46" t="s">
        <v>48</v>
      </c>
      <c r="E46" t="s">
        <v>52</v>
      </c>
      <c r="F46">
        <v>176.86</v>
      </c>
      <c r="G46">
        <v>68.42</v>
      </c>
      <c r="H46" s="235">
        <f t="shared" si="3"/>
        <v>108.44000000000001</v>
      </c>
    </row>
    <row r="47" spans="2:8" x14ac:dyDescent="0.2">
      <c r="B47" s="36">
        <v>2025</v>
      </c>
      <c r="C47" s="90">
        <v>10</v>
      </c>
      <c r="D47" s="90" t="s">
        <v>525</v>
      </c>
      <c r="E47" s="90" t="s">
        <v>77</v>
      </c>
      <c r="F47" s="90">
        <v>150.5</v>
      </c>
      <c r="G47" s="90">
        <v>51.62</v>
      </c>
      <c r="H47" s="236">
        <f t="shared" si="3"/>
        <v>98.88</v>
      </c>
    </row>
    <row r="48" spans="2:8" x14ac:dyDescent="0.2">
      <c r="B48" s="32">
        <v>2021</v>
      </c>
      <c r="C48">
        <v>16</v>
      </c>
      <c r="D48" t="s">
        <v>30</v>
      </c>
      <c r="E48" t="s">
        <v>18</v>
      </c>
      <c r="F48">
        <v>205.1</v>
      </c>
      <c r="G48">
        <v>113.88</v>
      </c>
      <c r="H48" s="235">
        <f t="shared" si="3"/>
        <v>91.22</v>
      </c>
    </row>
    <row r="49" spans="2:8" x14ac:dyDescent="0.2">
      <c r="B49" s="32">
        <v>2023</v>
      </c>
      <c r="C49">
        <v>15</v>
      </c>
      <c r="D49" t="s">
        <v>26</v>
      </c>
      <c r="E49" t="s">
        <v>42</v>
      </c>
      <c r="F49">
        <v>161.52000000000001</v>
      </c>
      <c r="G49">
        <v>70.760000000000005</v>
      </c>
      <c r="H49" s="235">
        <f t="shared" si="3"/>
        <v>90.76</v>
      </c>
    </row>
    <row r="50" spans="2:8" x14ac:dyDescent="0.2">
      <c r="B50" s="32">
        <v>2024</v>
      </c>
      <c r="C50">
        <v>3</v>
      </c>
      <c r="D50" t="s">
        <v>26</v>
      </c>
      <c r="E50" t="s">
        <v>46</v>
      </c>
      <c r="F50">
        <v>168.42</v>
      </c>
      <c r="G50">
        <v>81.58</v>
      </c>
      <c r="H50" s="235">
        <f t="shared" si="3"/>
        <v>86.839999999999989</v>
      </c>
    </row>
    <row r="51" spans="2:8" x14ac:dyDescent="0.2">
      <c r="B51" s="32">
        <v>2021</v>
      </c>
      <c r="C51">
        <v>5</v>
      </c>
      <c r="D51" t="s">
        <v>15</v>
      </c>
      <c r="E51" t="s">
        <v>31</v>
      </c>
      <c r="F51">
        <v>145.08000000000001</v>
      </c>
      <c r="G51">
        <v>58.28</v>
      </c>
      <c r="H51" s="235">
        <f t="shared" si="3"/>
        <v>86.800000000000011</v>
      </c>
    </row>
    <row r="52" spans="2:8" x14ac:dyDescent="0.2">
      <c r="B52" s="36">
        <v>2025</v>
      </c>
      <c r="C52" s="90">
        <v>11</v>
      </c>
      <c r="D52" s="90" t="s">
        <v>524</v>
      </c>
      <c r="E52" s="90" t="s">
        <v>26</v>
      </c>
      <c r="F52" s="90">
        <v>158.78</v>
      </c>
      <c r="G52" s="90">
        <v>72.739999999999995</v>
      </c>
      <c r="H52" s="236">
        <f t="shared" si="3"/>
        <v>86.04</v>
      </c>
    </row>
    <row r="53" spans="2:8" x14ac:dyDescent="0.2">
      <c r="B53" s="36">
        <v>2025</v>
      </c>
      <c r="C53" s="90">
        <v>7</v>
      </c>
      <c r="D53" s="90" t="s">
        <v>521</v>
      </c>
      <c r="E53" s="90" t="s">
        <v>526</v>
      </c>
      <c r="F53" s="90">
        <v>156.63999999999999</v>
      </c>
      <c r="G53" s="90">
        <v>70.78</v>
      </c>
      <c r="H53" s="236">
        <f t="shared" si="3"/>
        <v>85.859999999999985</v>
      </c>
    </row>
    <row r="54" spans="2:8" x14ac:dyDescent="0.2">
      <c r="B54" s="74">
        <v>2022</v>
      </c>
      <c r="C54" s="75">
        <v>8</v>
      </c>
      <c r="D54" s="75" t="s">
        <v>39</v>
      </c>
      <c r="E54" s="75" t="s">
        <v>26</v>
      </c>
      <c r="F54" s="75">
        <v>159.1</v>
      </c>
      <c r="G54" s="75">
        <v>74.62</v>
      </c>
      <c r="H54" s="237">
        <f t="shared" si="3"/>
        <v>84.47999999999999</v>
      </c>
    </row>
    <row r="55" spans="2:8" x14ac:dyDescent="0.2">
      <c r="B55" s="27"/>
      <c r="C55" s="27"/>
      <c r="D55" s="27"/>
      <c r="E55" s="27"/>
      <c r="F55" s="27"/>
      <c r="G55" s="27"/>
      <c r="H55" s="27"/>
    </row>
  </sheetData>
  <mergeCells count="4">
    <mergeCell ref="C2:H2"/>
    <mergeCell ref="C16:H16"/>
    <mergeCell ref="B30:H30"/>
    <mergeCell ref="B43:H43"/>
  </mergeCells>
  <conditionalFormatting sqref="H4:H13">
    <cfRule type="colorScale" priority="7">
      <colorScale>
        <cfvo type="min"/>
        <cfvo type="max"/>
        <color rgb="FFF8696B"/>
        <color rgb="FFFCFCFF"/>
      </colorScale>
    </cfRule>
  </conditionalFormatting>
  <conditionalFormatting sqref="H18:H27">
    <cfRule type="colorScale" priority="6">
      <colorScale>
        <cfvo type="min"/>
        <cfvo type="max"/>
        <color rgb="FFF8696B"/>
        <color rgb="FFFCFCFF"/>
      </colorScale>
    </cfRule>
  </conditionalFormatting>
  <conditionalFormatting sqref="H32:H41">
    <cfRule type="colorScale" priority="1">
      <colorScale>
        <cfvo type="min"/>
        <cfvo type="max"/>
        <color rgb="FFF8696B"/>
        <color rgb="FFFCFCFF"/>
      </colorScale>
    </cfRule>
  </conditionalFormatting>
  <conditionalFormatting sqref="H45:H54"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0"/>
  <sheetViews>
    <sheetView workbookViewId="0">
      <selection activeCell="B3" sqref="B3"/>
    </sheetView>
  </sheetViews>
  <sheetFormatPr baseColWidth="10" defaultRowHeight="16" x14ac:dyDescent="0.2"/>
  <cols>
    <col min="2" max="2" width="28.33203125" customWidth="1"/>
    <col min="3" max="3" width="16" customWidth="1"/>
  </cols>
  <sheetData>
    <row r="1" spans="1:6" x14ac:dyDescent="0.2">
      <c r="A1" s="27"/>
      <c r="B1" s="27"/>
      <c r="C1" s="27"/>
      <c r="D1" s="27"/>
      <c r="E1" s="27"/>
      <c r="F1" s="27"/>
    </row>
    <row r="2" spans="1:6" x14ac:dyDescent="0.2">
      <c r="A2" s="27"/>
      <c r="B2" s="303" t="s">
        <v>616</v>
      </c>
      <c r="C2" s="297"/>
      <c r="D2" s="297"/>
      <c r="E2" s="298"/>
      <c r="F2" s="27"/>
    </row>
    <row r="3" spans="1:6" x14ac:dyDescent="0.2">
      <c r="A3" s="27"/>
      <c r="B3" s="69" t="s">
        <v>78</v>
      </c>
      <c r="C3" s="70" t="s">
        <v>79</v>
      </c>
      <c r="D3" s="70" t="s">
        <v>0</v>
      </c>
      <c r="E3" s="86" t="s">
        <v>495</v>
      </c>
      <c r="F3" s="27"/>
    </row>
    <row r="4" spans="1:6" x14ac:dyDescent="0.2">
      <c r="A4" s="27"/>
      <c r="B4" s="32" t="s">
        <v>42</v>
      </c>
      <c r="C4" t="s">
        <v>17</v>
      </c>
      <c r="D4">
        <v>2024</v>
      </c>
      <c r="E4" s="33">
        <v>8</v>
      </c>
      <c r="F4" s="27"/>
    </row>
    <row r="5" spans="1:6" x14ac:dyDescent="0.2">
      <c r="A5" s="27"/>
      <c r="B5" s="32" t="s">
        <v>42</v>
      </c>
      <c r="C5" t="s">
        <v>17</v>
      </c>
      <c r="D5">
        <v>2022</v>
      </c>
      <c r="E5" s="33">
        <v>8</v>
      </c>
      <c r="F5" s="27"/>
    </row>
    <row r="6" spans="1:6" x14ac:dyDescent="0.2">
      <c r="A6" s="27"/>
      <c r="B6" s="36" t="s">
        <v>35</v>
      </c>
      <c r="C6" s="90" t="s">
        <v>49</v>
      </c>
      <c r="D6" s="90">
        <v>2025</v>
      </c>
      <c r="E6" s="48">
        <v>7</v>
      </c>
      <c r="F6" s="27"/>
    </row>
    <row r="7" spans="1:6" x14ac:dyDescent="0.2">
      <c r="A7" s="27"/>
      <c r="B7" s="36" t="s">
        <v>18</v>
      </c>
      <c r="C7" s="90" t="s">
        <v>20</v>
      </c>
      <c r="D7" s="90">
        <v>2025</v>
      </c>
      <c r="E7" s="48">
        <v>6</v>
      </c>
      <c r="F7" s="27"/>
    </row>
    <row r="8" spans="1:6" x14ac:dyDescent="0.2">
      <c r="A8" s="27"/>
      <c r="B8" s="36" t="s">
        <v>46</v>
      </c>
      <c r="C8" s="90" t="s">
        <v>47</v>
      </c>
      <c r="D8" s="90">
        <v>2025</v>
      </c>
      <c r="E8" s="48">
        <v>6</v>
      </c>
      <c r="F8" s="27"/>
    </row>
    <row r="9" spans="1:6" x14ac:dyDescent="0.2">
      <c r="A9" s="27"/>
      <c r="B9" s="32" t="s">
        <v>22</v>
      </c>
      <c r="C9" t="s">
        <v>24</v>
      </c>
      <c r="D9">
        <v>2021</v>
      </c>
      <c r="E9" s="87" t="s">
        <v>496</v>
      </c>
      <c r="F9" s="27"/>
    </row>
    <row r="10" spans="1:6" x14ac:dyDescent="0.2">
      <c r="A10" s="27"/>
      <c r="B10" s="32" t="s">
        <v>14</v>
      </c>
      <c r="C10" t="s">
        <v>16</v>
      </c>
      <c r="D10">
        <v>2023</v>
      </c>
      <c r="E10" s="33">
        <v>6</v>
      </c>
      <c r="F10" s="27"/>
    </row>
    <row r="11" spans="1:6" x14ac:dyDescent="0.2">
      <c r="A11" s="27"/>
      <c r="B11" s="32" t="s">
        <v>44</v>
      </c>
      <c r="C11" t="s">
        <v>45</v>
      </c>
      <c r="D11">
        <v>2023</v>
      </c>
      <c r="E11" s="33">
        <v>6</v>
      </c>
      <c r="F11" s="27"/>
    </row>
    <row r="12" spans="1:6" x14ac:dyDescent="0.2">
      <c r="A12" s="27"/>
      <c r="B12" s="32" t="s">
        <v>35</v>
      </c>
      <c r="C12" t="s">
        <v>49</v>
      </c>
      <c r="D12">
        <v>2023</v>
      </c>
      <c r="E12" s="33">
        <v>6</v>
      </c>
      <c r="F12" s="27"/>
    </row>
    <row r="13" spans="1:6" x14ac:dyDescent="0.2">
      <c r="A13" s="27"/>
      <c r="B13" s="36" t="s">
        <v>524</v>
      </c>
      <c r="C13" s="90" t="s">
        <v>21</v>
      </c>
      <c r="D13" s="90">
        <v>2025</v>
      </c>
      <c r="E13" s="48">
        <v>5</v>
      </c>
      <c r="F13" s="27"/>
    </row>
    <row r="14" spans="1:6" x14ac:dyDescent="0.2">
      <c r="A14" s="27"/>
      <c r="B14" s="32" t="s">
        <v>31</v>
      </c>
      <c r="C14" t="s">
        <v>33</v>
      </c>
      <c r="D14">
        <v>2024</v>
      </c>
      <c r="E14" s="33">
        <v>5</v>
      </c>
      <c r="F14" s="27"/>
    </row>
    <row r="15" spans="1:6" x14ac:dyDescent="0.2">
      <c r="A15" s="27"/>
      <c r="B15" s="32" t="s">
        <v>76</v>
      </c>
      <c r="C15" t="s">
        <v>32</v>
      </c>
      <c r="D15">
        <v>2024</v>
      </c>
      <c r="E15" s="33">
        <v>5</v>
      </c>
      <c r="F15" s="27"/>
    </row>
    <row r="16" spans="1:6" x14ac:dyDescent="0.2">
      <c r="A16" s="27"/>
      <c r="B16" s="32" t="s">
        <v>417</v>
      </c>
      <c r="C16" t="s">
        <v>45</v>
      </c>
      <c r="D16">
        <v>2024</v>
      </c>
      <c r="E16" s="33">
        <v>5</v>
      </c>
      <c r="F16" s="27"/>
    </row>
    <row r="17" spans="1:6" x14ac:dyDescent="0.2">
      <c r="A17" s="27"/>
      <c r="B17" s="32" t="s">
        <v>46</v>
      </c>
      <c r="C17" t="s">
        <v>47</v>
      </c>
      <c r="D17">
        <v>2024</v>
      </c>
      <c r="E17" s="33">
        <v>5</v>
      </c>
      <c r="F17" s="27"/>
    </row>
    <row r="18" spans="1:6" x14ac:dyDescent="0.2">
      <c r="A18" s="27"/>
      <c r="B18" s="32" t="s">
        <v>43</v>
      </c>
      <c r="C18" t="s">
        <v>21</v>
      </c>
      <c r="D18">
        <v>2022</v>
      </c>
      <c r="E18" s="33">
        <v>5</v>
      </c>
      <c r="F18" s="27"/>
    </row>
    <row r="19" spans="1:6" x14ac:dyDescent="0.2">
      <c r="A19" s="27"/>
      <c r="B19" s="74" t="s">
        <v>30</v>
      </c>
      <c r="C19" s="75" t="s">
        <v>32</v>
      </c>
      <c r="D19" s="75">
        <v>2021</v>
      </c>
      <c r="E19" s="40">
        <v>5</v>
      </c>
      <c r="F19" s="27"/>
    </row>
    <row r="20" spans="1:6" x14ac:dyDescent="0.2">
      <c r="A20" s="27"/>
      <c r="B20" s="27"/>
      <c r="C20" s="27"/>
      <c r="D20" s="27"/>
      <c r="E20" s="27"/>
      <c r="F20" s="27"/>
    </row>
  </sheetData>
  <sortState xmlns:xlrd2="http://schemas.microsoft.com/office/spreadsheetml/2017/richdata2" ref="B4:E19">
    <sortCondition descending="1" ref="E4:E19"/>
  </sortState>
  <mergeCells count="1">
    <mergeCell ref="B2:E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4BD2D-6FB9-EE40-A569-F21880558C4F}">
  <dimension ref="A1:G39"/>
  <sheetViews>
    <sheetView topLeftCell="A13" zoomScale="140" zoomScaleNormal="140" workbookViewId="0">
      <selection activeCell="B23" sqref="B23"/>
    </sheetView>
  </sheetViews>
  <sheetFormatPr baseColWidth="10" defaultRowHeight="16" x14ac:dyDescent="0.2"/>
  <cols>
    <col min="2" max="2" width="27" customWidth="1"/>
    <col min="3" max="3" width="9.83203125" customWidth="1"/>
    <col min="4" max="4" width="9.1640625" customWidth="1"/>
    <col min="5" max="5" width="9.5" customWidth="1"/>
  </cols>
  <sheetData>
    <row r="1" spans="1:7" x14ac:dyDescent="0.2">
      <c r="A1" s="27"/>
      <c r="B1" s="27"/>
      <c r="C1" s="27"/>
      <c r="D1" s="27"/>
      <c r="E1" s="27"/>
      <c r="F1" s="27"/>
      <c r="G1" s="27"/>
    </row>
    <row r="2" spans="1:7" ht="21" x14ac:dyDescent="0.25">
      <c r="A2" s="27"/>
      <c r="B2" s="287" t="s">
        <v>512</v>
      </c>
      <c r="C2" s="288"/>
      <c r="D2" s="288"/>
      <c r="E2" s="288"/>
      <c r="F2" s="289"/>
      <c r="G2" s="27"/>
    </row>
    <row r="3" spans="1:7" ht="32" x14ac:dyDescent="0.2">
      <c r="A3" s="27"/>
      <c r="B3" s="142" t="s">
        <v>509</v>
      </c>
      <c r="C3" s="143" t="s">
        <v>79</v>
      </c>
      <c r="D3" s="143" t="s">
        <v>0</v>
      </c>
      <c r="E3" s="143" t="s">
        <v>412</v>
      </c>
      <c r="F3" s="144" t="s">
        <v>510</v>
      </c>
      <c r="G3" s="27"/>
    </row>
    <row r="4" spans="1:7" x14ac:dyDescent="0.2">
      <c r="A4" s="27"/>
      <c r="B4" s="162" t="s">
        <v>14</v>
      </c>
      <c r="C4" s="163" t="s">
        <v>16</v>
      </c>
      <c r="D4" s="164">
        <v>2025</v>
      </c>
      <c r="E4" s="164">
        <v>109.4</v>
      </c>
      <c r="F4" s="200">
        <v>-3.2</v>
      </c>
      <c r="G4" s="27"/>
    </row>
    <row r="5" spans="1:7" x14ac:dyDescent="0.2">
      <c r="A5" s="27"/>
      <c r="B5" s="135" t="s">
        <v>57</v>
      </c>
      <c r="C5" s="131" t="s">
        <v>17</v>
      </c>
      <c r="D5" s="131">
        <v>2016</v>
      </c>
      <c r="E5" s="132">
        <v>90.164289999999994</v>
      </c>
      <c r="F5" s="136">
        <v>-5.8373799999999996</v>
      </c>
      <c r="G5" s="27"/>
    </row>
    <row r="6" spans="1:7" x14ac:dyDescent="0.2">
      <c r="A6" s="27"/>
      <c r="B6" s="135" t="s">
        <v>22</v>
      </c>
      <c r="C6" s="131" t="s">
        <v>24</v>
      </c>
      <c r="D6" s="131">
        <v>2022</v>
      </c>
      <c r="E6" s="132">
        <v>104.83069999999999</v>
      </c>
      <c r="F6" s="136">
        <v>-5.9902199999999999</v>
      </c>
      <c r="G6" s="27"/>
    </row>
    <row r="7" spans="1:7" x14ac:dyDescent="0.2">
      <c r="A7" s="27"/>
      <c r="B7" s="135" t="s">
        <v>75</v>
      </c>
      <c r="C7" s="131" t="s">
        <v>36</v>
      </c>
      <c r="D7" s="131">
        <v>2024</v>
      </c>
      <c r="E7" s="132">
        <v>106.452</v>
      </c>
      <c r="F7" s="136">
        <v>-6.26511</v>
      </c>
      <c r="G7" s="27"/>
    </row>
    <row r="8" spans="1:7" x14ac:dyDescent="0.2">
      <c r="A8" s="27"/>
      <c r="B8" s="135" t="s">
        <v>42</v>
      </c>
      <c r="C8" s="131" t="s">
        <v>17</v>
      </c>
      <c r="D8" s="131">
        <v>2023</v>
      </c>
      <c r="E8" s="132">
        <v>106.27070000000001</v>
      </c>
      <c r="F8" s="136">
        <v>-6.7734399999999999</v>
      </c>
      <c r="G8" s="27"/>
    </row>
    <row r="9" spans="1:7" x14ac:dyDescent="0.2">
      <c r="A9" s="27"/>
      <c r="B9" s="137" t="s">
        <v>26</v>
      </c>
      <c r="C9" s="133" t="s">
        <v>28</v>
      </c>
      <c r="D9" s="133">
        <v>2025</v>
      </c>
      <c r="E9" s="134">
        <v>104.7</v>
      </c>
      <c r="F9" s="138">
        <v>-7.9</v>
      </c>
      <c r="G9" s="27"/>
    </row>
    <row r="10" spans="1:7" x14ac:dyDescent="0.2">
      <c r="A10" s="27"/>
      <c r="B10" s="135" t="s">
        <v>23</v>
      </c>
      <c r="C10" s="131" t="s">
        <v>25</v>
      </c>
      <c r="D10" s="131">
        <v>2022</v>
      </c>
      <c r="E10" s="132">
        <v>102.232</v>
      </c>
      <c r="F10" s="136">
        <v>-8.5888899999999992</v>
      </c>
      <c r="G10" s="27"/>
    </row>
    <row r="11" spans="1:7" x14ac:dyDescent="0.2">
      <c r="A11" s="27"/>
      <c r="B11" s="135" t="s">
        <v>31</v>
      </c>
      <c r="C11" s="131" t="s">
        <v>33</v>
      </c>
      <c r="D11" s="131">
        <v>2014</v>
      </c>
      <c r="E11" s="132">
        <v>88.784289999999999</v>
      </c>
      <c r="F11" s="136">
        <v>-8.8396399999999993</v>
      </c>
      <c r="G11" s="27"/>
    </row>
    <row r="12" spans="1:7" x14ac:dyDescent="0.2">
      <c r="A12" s="27"/>
      <c r="B12" s="135" t="s">
        <v>88</v>
      </c>
      <c r="C12" s="131" t="s">
        <v>32</v>
      </c>
      <c r="D12" s="131">
        <v>2019</v>
      </c>
      <c r="E12" s="132">
        <v>90.684290000000004</v>
      </c>
      <c r="F12" s="136">
        <v>-10.1119</v>
      </c>
      <c r="G12" s="27"/>
    </row>
    <row r="13" spans="1:7" x14ac:dyDescent="0.2">
      <c r="A13" s="27"/>
      <c r="B13" s="135" t="s">
        <v>22</v>
      </c>
      <c r="C13" s="131" t="s">
        <v>24</v>
      </c>
      <c r="D13" s="131">
        <v>2018</v>
      </c>
      <c r="E13" s="132">
        <v>90.198570000000004</v>
      </c>
      <c r="F13" s="136">
        <v>-11.093500000000001</v>
      </c>
      <c r="G13" s="27"/>
    </row>
    <row r="14" spans="1:7" x14ac:dyDescent="0.2">
      <c r="A14" s="27"/>
      <c r="B14" s="135" t="s">
        <v>22</v>
      </c>
      <c r="C14" s="131" t="s">
        <v>24</v>
      </c>
      <c r="D14" s="131">
        <v>2017</v>
      </c>
      <c r="E14" s="132">
        <v>80.762860000000003</v>
      </c>
      <c r="F14" s="136">
        <v>-12.6358</v>
      </c>
      <c r="G14" s="27"/>
    </row>
    <row r="15" spans="1:7" x14ac:dyDescent="0.2">
      <c r="A15" s="27"/>
      <c r="B15" s="135" t="s">
        <v>437</v>
      </c>
      <c r="C15" s="131" t="s">
        <v>28</v>
      </c>
      <c r="D15" s="131">
        <v>2015</v>
      </c>
      <c r="E15" s="132">
        <v>83.34</v>
      </c>
      <c r="F15" s="136">
        <v>-13.328099999999999</v>
      </c>
      <c r="G15" s="27"/>
    </row>
    <row r="16" spans="1:7" x14ac:dyDescent="0.2">
      <c r="A16" s="27"/>
      <c r="B16" s="135" t="s">
        <v>18</v>
      </c>
      <c r="C16" s="131" t="s">
        <v>20</v>
      </c>
      <c r="D16" s="131">
        <v>2020</v>
      </c>
      <c r="E16" s="132">
        <v>82.715710000000001</v>
      </c>
      <c r="F16" s="136">
        <v>-18.186</v>
      </c>
      <c r="G16" s="27"/>
    </row>
    <row r="17" spans="1:7" x14ac:dyDescent="0.2">
      <c r="A17" s="27"/>
      <c r="B17" s="135" t="s">
        <v>96</v>
      </c>
      <c r="C17" s="131" t="s">
        <v>97</v>
      </c>
      <c r="D17" s="131">
        <v>2012</v>
      </c>
      <c r="E17" s="132">
        <v>78.632859999999994</v>
      </c>
      <c r="F17" s="136">
        <v>-19.140599999999999</v>
      </c>
      <c r="G17" s="27"/>
    </row>
    <row r="18" spans="1:7" x14ac:dyDescent="0.2">
      <c r="A18" s="27"/>
      <c r="B18" s="135" t="s">
        <v>31</v>
      </c>
      <c r="C18" s="131" t="s">
        <v>33</v>
      </c>
      <c r="D18" s="131">
        <v>2021</v>
      </c>
      <c r="E18" s="132">
        <v>92.126670000000004</v>
      </c>
      <c r="F18" s="136">
        <v>-20.687000000000001</v>
      </c>
      <c r="G18" s="27"/>
    </row>
    <row r="19" spans="1:7" x14ac:dyDescent="0.2">
      <c r="A19" s="27"/>
      <c r="B19" s="139" t="s">
        <v>94</v>
      </c>
      <c r="C19" s="140" t="s">
        <v>93</v>
      </c>
      <c r="D19" s="140">
        <v>2013</v>
      </c>
      <c r="E19" s="145">
        <v>72.554289999999995</v>
      </c>
      <c r="F19" s="141">
        <v>-26.880400000000002</v>
      </c>
      <c r="G19" s="27"/>
    </row>
    <row r="20" spans="1:7" x14ac:dyDescent="0.2">
      <c r="A20" s="27"/>
      <c r="B20" s="27"/>
      <c r="C20" s="27"/>
      <c r="D20" s="27"/>
      <c r="E20" s="27"/>
      <c r="F20" s="27"/>
      <c r="G20" s="27"/>
    </row>
    <row r="21" spans="1:7" x14ac:dyDescent="0.2">
      <c r="A21" s="27"/>
      <c r="B21" s="27"/>
      <c r="C21" s="27"/>
      <c r="D21" s="27"/>
      <c r="E21" s="27"/>
      <c r="F21" s="27"/>
      <c r="G21" s="27"/>
    </row>
    <row r="22" spans="1:7" ht="21" x14ac:dyDescent="0.25">
      <c r="A22" s="27"/>
      <c r="B22" s="287" t="s">
        <v>512</v>
      </c>
      <c r="C22" s="288"/>
      <c r="D22" s="288"/>
      <c r="E22" s="288"/>
      <c r="F22" s="289"/>
      <c r="G22" s="27"/>
    </row>
    <row r="23" spans="1:7" ht="32" x14ac:dyDescent="0.2">
      <c r="A23" s="27"/>
      <c r="B23" s="142" t="s">
        <v>509</v>
      </c>
      <c r="C23" s="143" t="s">
        <v>79</v>
      </c>
      <c r="D23" s="143" t="s">
        <v>0</v>
      </c>
      <c r="E23" s="143" t="s">
        <v>412</v>
      </c>
      <c r="F23" s="144" t="s">
        <v>510</v>
      </c>
      <c r="G23" s="27"/>
    </row>
    <row r="24" spans="1:7" x14ac:dyDescent="0.2">
      <c r="A24" s="27"/>
      <c r="B24" s="135" t="s">
        <v>57</v>
      </c>
      <c r="C24" s="131" t="s">
        <v>17</v>
      </c>
      <c r="D24" s="131">
        <v>2016</v>
      </c>
      <c r="E24" s="132">
        <v>90.164289999999994</v>
      </c>
      <c r="F24" s="136">
        <v>-5.8373799999999996</v>
      </c>
      <c r="G24" s="27"/>
    </row>
    <row r="25" spans="1:7" x14ac:dyDescent="0.2">
      <c r="A25" s="27"/>
      <c r="B25" s="135" t="s">
        <v>22</v>
      </c>
      <c r="C25" s="131" t="s">
        <v>24</v>
      </c>
      <c r="D25" s="131">
        <v>2022</v>
      </c>
      <c r="E25" s="132">
        <v>104.83069999999999</v>
      </c>
      <c r="F25" s="136">
        <v>-5.9902199999999999</v>
      </c>
      <c r="G25" s="27"/>
    </row>
    <row r="26" spans="1:7" x14ac:dyDescent="0.2">
      <c r="A26" s="27"/>
      <c r="B26" s="135" t="s">
        <v>75</v>
      </c>
      <c r="C26" s="131" t="s">
        <v>36</v>
      </c>
      <c r="D26" s="131">
        <v>2024</v>
      </c>
      <c r="E26" s="132">
        <v>106.452</v>
      </c>
      <c r="F26" s="136">
        <v>-6.26511</v>
      </c>
      <c r="G26" s="27"/>
    </row>
    <row r="27" spans="1:7" x14ac:dyDescent="0.2">
      <c r="A27" s="27"/>
      <c r="B27" s="135" t="s">
        <v>42</v>
      </c>
      <c r="C27" s="131" t="s">
        <v>17</v>
      </c>
      <c r="D27" s="131">
        <v>2023</v>
      </c>
      <c r="E27" s="132">
        <v>106.27070000000001</v>
      </c>
      <c r="F27" s="136">
        <v>-6.7734399999999999</v>
      </c>
      <c r="G27" s="27"/>
    </row>
    <row r="28" spans="1:7" x14ac:dyDescent="0.2">
      <c r="A28" s="27"/>
      <c r="B28" s="137" t="s">
        <v>26</v>
      </c>
      <c r="C28" s="133" t="s">
        <v>28</v>
      </c>
      <c r="D28" s="133">
        <v>2025</v>
      </c>
      <c r="E28" s="134">
        <v>104.7</v>
      </c>
      <c r="F28" s="138">
        <v>-7.9</v>
      </c>
      <c r="G28" s="27"/>
    </row>
    <row r="29" spans="1:7" x14ac:dyDescent="0.2">
      <c r="A29" s="27"/>
      <c r="B29" s="135" t="s">
        <v>23</v>
      </c>
      <c r="C29" s="131" t="s">
        <v>25</v>
      </c>
      <c r="D29" s="131">
        <v>2022</v>
      </c>
      <c r="E29" s="132">
        <v>102.232</v>
      </c>
      <c r="F29" s="136">
        <v>-8.5888899999999992</v>
      </c>
      <c r="G29" s="27"/>
    </row>
    <row r="30" spans="1:7" x14ac:dyDescent="0.2">
      <c r="A30" s="27"/>
      <c r="B30" s="135" t="s">
        <v>31</v>
      </c>
      <c r="C30" s="131" t="s">
        <v>33</v>
      </c>
      <c r="D30" s="131">
        <v>2014</v>
      </c>
      <c r="E30" s="132">
        <v>88.784289999999999</v>
      </c>
      <c r="F30" s="136">
        <v>-8.8396399999999993</v>
      </c>
      <c r="G30" s="27"/>
    </row>
    <row r="31" spans="1:7" x14ac:dyDescent="0.2">
      <c r="A31" s="27"/>
      <c r="B31" s="135" t="s">
        <v>88</v>
      </c>
      <c r="C31" s="131" t="s">
        <v>32</v>
      </c>
      <c r="D31" s="131">
        <v>2019</v>
      </c>
      <c r="E31" s="132">
        <v>90.684290000000004</v>
      </c>
      <c r="F31" s="136">
        <v>-10.1119</v>
      </c>
      <c r="G31" s="27"/>
    </row>
    <row r="32" spans="1:7" x14ac:dyDescent="0.2">
      <c r="A32" s="27"/>
      <c r="B32" s="135" t="s">
        <v>22</v>
      </c>
      <c r="C32" s="131" t="s">
        <v>24</v>
      </c>
      <c r="D32" s="131">
        <v>2018</v>
      </c>
      <c r="E32" s="132">
        <v>90.198570000000004</v>
      </c>
      <c r="F32" s="136">
        <v>-11.093500000000001</v>
      </c>
      <c r="G32" s="27"/>
    </row>
    <row r="33" spans="1:7" x14ac:dyDescent="0.2">
      <c r="A33" s="27"/>
      <c r="B33" s="135" t="s">
        <v>22</v>
      </c>
      <c r="C33" s="131" t="s">
        <v>24</v>
      </c>
      <c r="D33" s="131">
        <v>2017</v>
      </c>
      <c r="E33" s="132">
        <v>80.762860000000003</v>
      </c>
      <c r="F33" s="136">
        <v>-12.6358</v>
      </c>
      <c r="G33" s="27"/>
    </row>
    <row r="34" spans="1:7" x14ac:dyDescent="0.2">
      <c r="A34" s="27"/>
      <c r="B34" s="135" t="s">
        <v>437</v>
      </c>
      <c r="C34" s="131" t="s">
        <v>28</v>
      </c>
      <c r="D34" s="131">
        <v>2015</v>
      </c>
      <c r="E34" s="132">
        <v>83.34</v>
      </c>
      <c r="F34" s="136">
        <v>-13.328099999999999</v>
      </c>
      <c r="G34" s="27"/>
    </row>
    <row r="35" spans="1:7" x14ac:dyDescent="0.2">
      <c r="A35" s="27"/>
      <c r="B35" s="135" t="s">
        <v>18</v>
      </c>
      <c r="C35" s="131" t="s">
        <v>20</v>
      </c>
      <c r="D35" s="131">
        <v>2020</v>
      </c>
      <c r="E35" s="132">
        <v>82.715710000000001</v>
      </c>
      <c r="F35" s="136">
        <v>-18.186</v>
      </c>
      <c r="G35" s="27"/>
    </row>
    <row r="36" spans="1:7" x14ac:dyDescent="0.2">
      <c r="A36" s="27"/>
      <c r="B36" s="135" t="s">
        <v>96</v>
      </c>
      <c r="C36" s="131" t="s">
        <v>97</v>
      </c>
      <c r="D36" s="131">
        <v>2012</v>
      </c>
      <c r="E36" s="132">
        <v>78.632859999999994</v>
      </c>
      <c r="F36" s="136">
        <v>-19.140599999999999</v>
      </c>
      <c r="G36" s="27"/>
    </row>
    <row r="37" spans="1:7" x14ac:dyDescent="0.2">
      <c r="A37" s="27"/>
      <c r="B37" s="135" t="s">
        <v>31</v>
      </c>
      <c r="C37" s="131" t="s">
        <v>33</v>
      </c>
      <c r="D37" s="131">
        <v>2021</v>
      </c>
      <c r="E37" s="132">
        <v>92.126670000000004</v>
      </c>
      <c r="F37" s="136">
        <v>-20.687000000000001</v>
      </c>
      <c r="G37" s="27"/>
    </row>
    <row r="38" spans="1:7" x14ac:dyDescent="0.2">
      <c r="A38" s="27"/>
      <c r="B38" s="139" t="s">
        <v>94</v>
      </c>
      <c r="C38" s="140" t="s">
        <v>93</v>
      </c>
      <c r="D38" s="140">
        <v>2013</v>
      </c>
      <c r="E38" s="145">
        <v>72.554289999999995</v>
      </c>
      <c r="F38" s="141">
        <v>-26.880400000000002</v>
      </c>
      <c r="G38" s="27"/>
    </row>
    <row r="39" spans="1:7" x14ac:dyDescent="0.2">
      <c r="A39" s="27"/>
      <c r="B39" s="27"/>
      <c r="C39" s="27"/>
      <c r="D39" s="27"/>
      <c r="E39" s="27"/>
      <c r="F39" s="27"/>
      <c r="G39" s="27"/>
    </row>
  </sheetData>
  <mergeCells count="2">
    <mergeCell ref="B2:F2"/>
    <mergeCell ref="B22:F22"/>
  </mergeCells>
  <conditionalFormatting sqref="F4:F19">
    <cfRule type="colorScale" priority="2">
      <colorScale>
        <cfvo type="min"/>
        <cfvo type="num" val="0"/>
        <color rgb="FFF8696B"/>
        <color rgb="FFFCFCFF"/>
      </colorScale>
    </cfRule>
  </conditionalFormatting>
  <conditionalFormatting sqref="F24:F38">
    <cfRule type="colorScale" priority="44">
      <colorScale>
        <cfvo type="min"/>
        <cfvo type="num" val="0"/>
        <color rgb="FFF8696B"/>
        <color rgb="FFFCFCFF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H17"/>
  <sheetViews>
    <sheetView workbookViewId="0">
      <selection activeCell="H30" sqref="H30"/>
    </sheetView>
  </sheetViews>
  <sheetFormatPr baseColWidth="10" defaultRowHeight="16" x14ac:dyDescent="0.2"/>
  <cols>
    <col min="1" max="1" width="26.83203125" bestFit="1" customWidth="1"/>
    <col min="2" max="2" width="15.5" bestFit="1" customWidth="1"/>
    <col min="3" max="3" width="4.1640625" customWidth="1"/>
    <col min="4" max="4" width="7.1640625" customWidth="1"/>
    <col min="5" max="7" width="6.1640625" customWidth="1"/>
    <col min="8" max="8" width="10.6640625" customWidth="1"/>
  </cols>
  <sheetData>
    <row r="3" spans="1:8" x14ac:dyDescent="0.2">
      <c r="A3" s="5" t="s">
        <v>263</v>
      </c>
      <c r="B3" s="5" t="s">
        <v>266</v>
      </c>
    </row>
    <row r="4" spans="1:8" x14ac:dyDescent="0.2">
      <c r="A4" s="5" t="s">
        <v>264</v>
      </c>
      <c r="B4" t="s">
        <v>130</v>
      </c>
      <c r="C4" t="s">
        <v>131</v>
      </c>
      <c r="D4" t="s">
        <v>125</v>
      </c>
      <c r="E4" t="s">
        <v>127</v>
      </c>
      <c r="F4" t="s">
        <v>129</v>
      </c>
      <c r="G4" t="s">
        <v>128</v>
      </c>
      <c r="H4" t="s">
        <v>265</v>
      </c>
    </row>
    <row r="5" spans="1:8" x14ac:dyDescent="0.2">
      <c r="A5" s="6" t="s">
        <v>73</v>
      </c>
      <c r="B5">
        <v>15</v>
      </c>
      <c r="C5">
        <v>13</v>
      </c>
      <c r="D5">
        <v>24.380000000000003</v>
      </c>
      <c r="E5">
        <v>82.199999999999989</v>
      </c>
      <c r="F5">
        <v>8.1999999999999993</v>
      </c>
      <c r="G5">
        <v>103.1</v>
      </c>
      <c r="H5">
        <v>245.87999999999997</v>
      </c>
    </row>
    <row r="6" spans="1:8" x14ac:dyDescent="0.2">
      <c r="A6" s="6" t="s">
        <v>74</v>
      </c>
      <c r="B6">
        <v>8</v>
      </c>
      <c r="C6">
        <v>31</v>
      </c>
      <c r="D6">
        <v>40.24</v>
      </c>
      <c r="E6">
        <v>47.7</v>
      </c>
      <c r="F6">
        <v>9.5</v>
      </c>
      <c r="G6">
        <v>59.2</v>
      </c>
      <c r="H6">
        <v>195.64</v>
      </c>
    </row>
    <row r="7" spans="1:8" x14ac:dyDescent="0.2">
      <c r="A7" s="6" t="s">
        <v>75</v>
      </c>
      <c r="B7">
        <v>19</v>
      </c>
      <c r="C7">
        <v>22</v>
      </c>
      <c r="D7">
        <v>25.099999999999998</v>
      </c>
      <c r="E7">
        <v>43.2</v>
      </c>
      <c r="F7">
        <v>11.2</v>
      </c>
      <c r="G7">
        <v>67.199999999999989</v>
      </c>
      <c r="H7">
        <v>187.7</v>
      </c>
    </row>
    <row r="8" spans="1:8" x14ac:dyDescent="0.2">
      <c r="A8" s="6" t="s">
        <v>14</v>
      </c>
      <c r="B8">
        <v>10</v>
      </c>
      <c r="C8">
        <v>14</v>
      </c>
      <c r="D8">
        <v>30.08</v>
      </c>
      <c r="E8">
        <v>29.799999999999997</v>
      </c>
      <c r="F8">
        <v>21.2</v>
      </c>
      <c r="G8">
        <v>91</v>
      </c>
      <c r="H8">
        <v>196.07999999999998</v>
      </c>
    </row>
    <row r="9" spans="1:8" x14ac:dyDescent="0.2">
      <c r="A9" s="6" t="s">
        <v>18</v>
      </c>
      <c r="B9">
        <v>15</v>
      </c>
      <c r="C9">
        <v>38</v>
      </c>
      <c r="D9">
        <v>29.839999999999996</v>
      </c>
      <c r="E9">
        <v>69.3</v>
      </c>
      <c r="F9">
        <v>6.9</v>
      </c>
      <c r="G9">
        <v>99.2</v>
      </c>
      <c r="H9">
        <v>258.24</v>
      </c>
    </row>
    <row r="10" spans="1:8" x14ac:dyDescent="0.2">
      <c r="A10" s="6" t="s">
        <v>77</v>
      </c>
      <c r="B10">
        <v>32</v>
      </c>
      <c r="C10">
        <v>21</v>
      </c>
      <c r="D10">
        <v>32.96</v>
      </c>
      <c r="E10">
        <v>61.6</v>
      </c>
      <c r="F10">
        <v>17.7</v>
      </c>
      <c r="G10">
        <v>55.199999999999996</v>
      </c>
      <c r="H10">
        <v>220.45999999999998</v>
      </c>
    </row>
    <row r="11" spans="1:8" x14ac:dyDescent="0.2">
      <c r="A11" s="6" t="s">
        <v>35</v>
      </c>
      <c r="B11">
        <v>19</v>
      </c>
      <c r="C11">
        <v>24</v>
      </c>
      <c r="D11">
        <v>35.94</v>
      </c>
      <c r="E11">
        <v>56.800000000000004</v>
      </c>
      <c r="F11">
        <v>10.399999999999999</v>
      </c>
      <c r="G11">
        <v>63.4</v>
      </c>
      <c r="H11">
        <v>209.54000000000002</v>
      </c>
    </row>
    <row r="12" spans="1:8" x14ac:dyDescent="0.2">
      <c r="A12" s="6" t="s">
        <v>31</v>
      </c>
      <c r="B12">
        <v>29</v>
      </c>
      <c r="C12">
        <v>37</v>
      </c>
      <c r="D12">
        <v>41.5</v>
      </c>
      <c r="E12">
        <v>87.8</v>
      </c>
      <c r="F12">
        <v>9.5</v>
      </c>
      <c r="G12">
        <v>33.699999999999996</v>
      </c>
      <c r="H12">
        <v>238.5</v>
      </c>
    </row>
    <row r="13" spans="1:8" x14ac:dyDescent="0.2">
      <c r="A13" s="6" t="s">
        <v>76</v>
      </c>
      <c r="B13">
        <v>12</v>
      </c>
      <c r="C13">
        <v>21</v>
      </c>
      <c r="D13">
        <v>36.6</v>
      </c>
      <c r="E13">
        <v>73.599999999999994</v>
      </c>
      <c r="F13">
        <v>23.1</v>
      </c>
      <c r="G13">
        <v>63.3</v>
      </c>
      <c r="H13">
        <v>229.59999999999997</v>
      </c>
    </row>
    <row r="14" spans="1:8" x14ac:dyDescent="0.2">
      <c r="A14" s="6" t="s">
        <v>42</v>
      </c>
      <c r="B14">
        <v>23</v>
      </c>
      <c r="C14">
        <v>13</v>
      </c>
      <c r="D14">
        <v>27.58</v>
      </c>
      <c r="E14">
        <v>36</v>
      </c>
      <c r="F14">
        <v>8.8000000000000007</v>
      </c>
      <c r="G14">
        <v>76</v>
      </c>
      <c r="H14">
        <v>184.38</v>
      </c>
    </row>
    <row r="15" spans="1:8" x14ac:dyDescent="0.2">
      <c r="A15" s="6" t="s">
        <v>26</v>
      </c>
      <c r="B15">
        <v>11</v>
      </c>
      <c r="C15">
        <v>19</v>
      </c>
      <c r="D15">
        <v>40.94</v>
      </c>
      <c r="E15">
        <v>74.600000000000009</v>
      </c>
      <c r="F15">
        <v>1</v>
      </c>
      <c r="G15">
        <v>71.3</v>
      </c>
      <c r="H15">
        <v>217.84000000000003</v>
      </c>
    </row>
    <row r="16" spans="1:8" x14ac:dyDescent="0.2">
      <c r="A16" s="6" t="s">
        <v>46</v>
      </c>
      <c r="B16">
        <v>27</v>
      </c>
      <c r="C16">
        <v>17</v>
      </c>
      <c r="D16">
        <v>24.3</v>
      </c>
      <c r="E16">
        <v>55.300000000000004</v>
      </c>
      <c r="F16">
        <v>23.1</v>
      </c>
      <c r="G16">
        <v>73.400000000000006</v>
      </c>
      <c r="H16">
        <v>220.1</v>
      </c>
    </row>
    <row r="17" spans="1:8" x14ac:dyDescent="0.2">
      <c r="A17" s="6" t="s">
        <v>265</v>
      </c>
      <c r="B17">
        <v>220</v>
      </c>
      <c r="C17">
        <v>270</v>
      </c>
      <c r="D17">
        <v>389.46</v>
      </c>
      <c r="E17">
        <v>717.9</v>
      </c>
      <c r="F17">
        <v>150.6</v>
      </c>
      <c r="G17">
        <v>855.99999999999989</v>
      </c>
      <c r="H17">
        <v>2603.96</v>
      </c>
    </row>
  </sheetData>
  <pageMargins left="0.7" right="0.7" top="0.75" bottom="0.75" header="0.3" footer="0.3"/>
  <pageSetup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17"/>
  <sheetViews>
    <sheetView workbookViewId="0">
      <selection activeCell="H30" sqref="H30"/>
    </sheetView>
  </sheetViews>
  <sheetFormatPr baseColWidth="10" defaultRowHeight="16" x14ac:dyDescent="0.2"/>
  <cols>
    <col min="1" max="1" width="26.83203125" customWidth="1"/>
    <col min="2" max="2" width="15.5" bestFit="1" customWidth="1"/>
    <col min="3" max="3" width="4.1640625" customWidth="1"/>
    <col min="4" max="5" width="7.1640625" customWidth="1"/>
    <col min="6" max="6" width="6.1640625" customWidth="1"/>
    <col min="7" max="7" width="8.1640625" customWidth="1"/>
    <col min="8" max="8" width="10.6640625" customWidth="1"/>
    <col min="9" max="12" width="15.5" bestFit="1" customWidth="1"/>
    <col min="13" max="13" width="16.83203125" bestFit="1" customWidth="1"/>
    <col min="14" max="14" width="18.1640625" bestFit="1" customWidth="1"/>
  </cols>
  <sheetData>
    <row r="3" spans="1:8" x14ac:dyDescent="0.2">
      <c r="A3" s="5" t="s">
        <v>263</v>
      </c>
      <c r="B3" s="5" t="s">
        <v>266</v>
      </c>
    </row>
    <row r="4" spans="1:8" x14ac:dyDescent="0.2">
      <c r="A4" s="5" t="s">
        <v>264</v>
      </c>
      <c r="B4" t="s">
        <v>130</v>
      </c>
      <c r="C4" t="s">
        <v>131</v>
      </c>
      <c r="D4" t="s">
        <v>125</v>
      </c>
      <c r="E4" t="s">
        <v>127</v>
      </c>
      <c r="F4" t="s">
        <v>129</v>
      </c>
      <c r="G4" t="s">
        <v>128</v>
      </c>
      <c r="H4" t="s">
        <v>265</v>
      </c>
    </row>
    <row r="5" spans="1:8" x14ac:dyDescent="0.2">
      <c r="A5" s="6" t="s">
        <v>73</v>
      </c>
      <c r="B5">
        <v>9</v>
      </c>
      <c r="C5">
        <v>21</v>
      </c>
      <c r="D5">
        <v>54.24</v>
      </c>
      <c r="E5">
        <v>94.699999999999989</v>
      </c>
      <c r="F5">
        <v>15.1</v>
      </c>
      <c r="G5">
        <v>134.9</v>
      </c>
      <c r="H5">
        <v>328.94</v>
      </c>
    </row>
    <row r="6" spans="1:8" x14ac:dyDescent="0.2">
      <c r="A6" s="6" t="s">
        <v>74</v>
      </c>
      <c r="B6">
        <v>27</v>
      </c>
      <c r="C6">
        <v>37</v>
      </c>
      <c r="D6">
        <v>51.18</v>
      </c>
      <c r="E6">
        <v>69.7</v>
      </c>
      <c r="F6">
        <v>11.6</v>
      </c>
      <c r="G6">
        <v>107.90000000000002</v>
      </c>
      <c r="H6">
        <v>304.38</v>
      </c>
    </row>
    <row r="7" spans="1:8" x14ac:dyDescent="0.2">
      <c r="A7" s="6" t="s">
        <v>75</v>
      </c>
      <c r="B7">
        <v>23</v>
      </c>
      <c r="C7">
        <v>30</v>
      </c>
      <c r="D7">
        <v>36.459999999999994</v>
      </c>
      <c r="E7">
        <v>77.900000000000006</v>
      </c>
      <c r="F7">
        <v>16.2</v>
      </c>
      <c r="G7">
        <v>105.8</v>
      </c>
      <c r="H7">
        <v>289.36</v>
      </c>
    </row>
    <row r="8" spans="1:8" x14ac:dyDescent="0.2">
      <c r="A8" s="6" t="s">
        <v>14</v>
      </c>
      <c r="B8">
        <v>11</v>
      </c>
      <c r="C8">
        <v>25</v>
      </c>
      <c r="D8">
        <v>38.06</v>
      </c>
      <c r="E8">
        <v>47.699999999999996</v>
      </c>
      <c r="F8">
        <v>25.2</v>
      </c>
      <c r="G8">
        <v>109.2</v>
      </c>
      <c r="H8">
        <v>256.15999999999997</v>
      </c>
    </row>
    <row r="9" spans="1:8" x14ac:dyDescent="0.2">
      <c r="A9" s="6" t="s">
        <v>18</v>
      </c>
      <c r="B9">
        <v>10</v>
      </c>
      <c r="C9">
        <v>49</v>
      </c>
      <c r="D9">
        <v>57.899999999999991</v>
      </c>
      <c r="E9">
        <v>104.2</v>
      </c>
      <c r="F9">
        <v>18.5</v>
      </c>
      <c r="G9">
        <v>131.6</v>
      </c>
      <c r="H9">
        <v>371.2</v>
      </c>
    </row>
    <row r="10" spans="1:8" x14ac:dyDescent="0.2">
      <c r="A10" s="6" t="s">
        <v>77</v>
      </c>
      <c r="B10">
        <v>37</v>
      </c>
      <c r="C10">
        <v>24</v>
      </c>
      <c r="D10">
        <v>42.760000000000005</v>
      </c>
      <c r="E10">
        <v>72.7</v>
      </c>
      <c r="F10">
        <v>19.599999999999998</v>
      </c>
      <c r="G10">
        <v>95.9</v>
      </c>
      <c r="H10">
        <v>291.96000000000004</v>
      </c>
    </row>
    <row r="11" spans="1:8" x14ac:dyDescent="0.2">
      <c r="A11" s="6" t="s">
        <v>35</v>
      </c>
      <c r="B11">
        <v>29</v>
      </c>
      <c r="C11">
        <v>30</v>
      </c>
      <c r="D11">
        <v>41.019999999999996</v>
      </c>
      <c r="E11">
        <v>83.000000000000014</v>
      </c>
      <c r="F11">
        <v>32.4</v>
      </c>
      <c r="G11">
        <v>83.399999999999991</v>
      </c>
      <c r="H11">
        <v>298.82</v>
      </c>
    </row>
    <row r="12" spans="1:8" x14ac:dyDescent="0.2">
      <c r="A12" s="6" t="s">
        <v>31</v>
      </c>
      <c r="B12">
        <v>26</v>
      </c>
      <c r="C12">
        <v>38</v>
      </c>
      <c r="D12">
        <v>67.48</v>
      </c>
      <c r="E12">
        <v>128</v>
      </c>
      <c r="F12">
        <v>9.5</v>
      </c>
      <c r="G12">
        <v>78.12</v>
      </c>
      <c r="H12">
        <v>347.1</v>
      </c>
    </row>
    <row r="13" spans="1:8" x14ac:dyDescent="0.2">
      <c r="A13" s="6" t="s">
        <v>76</v>
      </c>
      <c r="B13">
        <v>16</v>
      </c>
      <c r="C13">
        <v>29</v>
      </c>
      <c r="D13">
        <v>61.96</v>
      </c>
      <c r="E13">
        <v>103.8</v>
      </c>
      <c r="F13">
        <v>28.400000000000002</v>
      </c>
      <c r="G13">
        <v>107.99999999999999</v>
      </c>
      <c r="H13">
        <v>347.15999999999997</v>
      </c>
    </row>
    <row r="14" spans="1:8" x14ac:dyDescent="0.2">
      <c r="A14" s="6" t="s">
        <v>42</v>
      </c>
      <c r="B14">
        <v>37</v>
      </c>
      <c r="C14">
        <v>20</v>
      </c>
      <c r="D14">
        <v>43.959999999999994</v>
      </c>
      <c r="E14">
        <v>73.800000000000011</v>
      </c>
      <c r="F14">
        <v>13.4</v>
      </c>
      <c r="G14">
        <v>106.9</v>
      </c>
      <c r="H14">
        <v>295.06</v>
      </c>
    </row>
    <row r="15" spans="1:8" x14ac:dyDescent="0.2">
      <c r="A15" s="6" t="s">
        <v>26</v>
      </c>
      <c r="B15">
        <v>15</v>
      </c>
      <c r="C15">
        <v>31</v>
      </c>
      <c r="D15">
        <v>71.86</v>
      </c>
      <c r="E15">
        <v>136.80000000000001</v>
      </c>
      <c r="F15">
        <v>7.7</v>
      </c>
      <c r="G15">
        <v>117.9</v>
      </c>
      <c r="H15">
        <v>380.26</v>
      </c>
    </row>
    <row r="16" spans="1:8" x14ac:dyDescent="0.2">
      <c r="A16" s="6" t="s">
        <v>46</v>
      </c>
      <c r="B16">
        <v>39</v>
      </c>
      <c r="C16">
        <v>18</v>
      </c>
      <c r="D16">
        <v>50.08</v>
      </c>
      <c r="E16">
        <v>80.3</v>
      </c>
      <c r="F16">
        <v>28.700000000000003</v>
      </c>
      <c r="G16">
        <v>84.7</v>
      </c>
      <c r="H16">
        <v>300.77999999999997</v>
      </c>
    </row>
    <row r="17" spans="1:8" x14ac:dyDescent="0.2">
      <c r="A17" s="6" t="s">
        <v>265</v>
      </c>
      <c r="B17">
        <v>279</v>
      </c>
      <c r="C17">
        <v>352</v>
      </c>
      <c r="D17">
        <v>616.95999999999992</v>
      </c>
      <c r="E17">
        <v>1072.5999999999999</v>
      </c>
      <c r="F17">
        <v>226.3</v>
      </c>
      <c r="G17">
        <v>1264.3200000000002</v>
      </c>
      <c r="H17">
        <v>3811.1799999999994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H17"/>
  <sheetViews>
    <sheetView workbookViewId="0">
      <selection activeCell="H30" sqref="H30"/>
    </sheetView>
  </sheetViews>
  <sheetFormatPr baseColWidth="10" defaultRowHeight="16" x14ac:dyDescent="0.2"/>
  <cols>
    <col min="1" max="1" width="26.83203125" customWidth="1"/>
    <col min="2" max="2" width="15.5" customWidth="1"/>
    <col min="3" max="3" width="4.1640625" customWidth="1"/>
    <col min="4" max="4" width="6.1640625" customWidth="1"/>
    <col min="5" max="5" width="7.1640625" customWidth="1"/>
    <col min="6" max="6" width="6.1640625" customWidth="1"/>
    <col min="7" max="7" width="7.1640625" customWidth="1"/>
    <col min="8" max="8" width="10.6640625" customWidth="1"/>
    <col min="9" max="9" width="15.5" bestFit="1" customWidth="1"/>
    <col min="10" max="10" width="10.6640625" customWidth="1"/>
  </cols>
  <sheetData>
    <row r="3" spans="1:8" x14ac:dyDescent="0.2">
      <c r="A3" s="5" t="s">
        <v>263</v>
      </c>
      <c r="B3" s="5" t="s">
        <v>266</v>
      </c>
    </row>
    <row r="4" spans="1:8" x14ac:dyDescent="0.2">
      <c r="A4" s="5" t="s">
        <v>264</v>
      </c>
      <c r="B4" t="s">
        <v>130</v>
      </c>
      <c r="C4" t="s">
        <v>131</v>
      </c>
      <c r="D4" t="s">
        <v>125</v>
      </c>
      <c r="E4" t="s">
        <v>127</v>
      </c>
      <c r="F4" t="s">
        <v>129</v>
      </c>
      <c r="G4" t="s">
        <v>128</v>
      </c>
      <c r="H4" t="s">
        <v>265</v>
      </c>
    </row>
    <row r="5" spans="1:8" x14ac:dyDescent="0.2">
      <c r="A5" s="6" t="s">
        <v>73</v>
      </c>
      <c r="B5">
        <v>22</v>
      </c>
      <c r="C5">
        <v>29</v>
      </c>
      <c r="D5">
        <v>70.98</v>
      </c>
      <c r="E5">
        <v>116.89999999999999</v>
      </c>
      <c r="F5">
        <v>15.1</v>
      </c>
      <c r="G5">
        <v>180.3</v>
      </c>
      <c r="H5">
        <v>434.28</v>
      </c>
    </row>
    <row r="6" spans="1:8" x14ac:dyDescent="0.2">
      <c r="A6" s="6" t="s">
        <v>74</v>
      </c>
      <c r="B6">
        <v>36</v>
      </c>
      <c r="C6">
        <v>50</v>
      </c>
      <c r="D6">
        <v>67.5</v>
      </c>
      <c r="E6">
        <v>102.10000000000001</v>
      </c>
      <c r="F6">
        <v>16.5</v>
      </c>
      <c r="G6">
        <v>139.00000000000003</v>
      </c>
      <c r="H6">
        <v>411.1</v>
      </c>
    </row>
    <row r="7" spans="1:8" x14ac:dyDescent="0.2">
      <c r="A7" s="6" t="s">
        <v>75</v>
      </c>
      <c r="B7">
        <v>24</v>
      </c>
      <c r="C7">
        <v>33</v>
      </c>
      <c r="D7">
        <v>58.059999999999995</v>
      </c>
      <c r="E7">
        <v>92.300000000000011</v>
      </c>
      <c r="F7">
        <v>28.6</v>
      </c>
      <c r="G7">
        <v>148.17999999999998</v>
      </c>
      <c r="H7">
        <v>384.14</v>
      </c>
    </row>
    <row r="8" spans="1:8" x14ac:dyDescent="0.2">
      <c r="A8" s="6" t="s">
        <v>14</v>
      </c>
      <c r="B8">
        <v>18</v>
      </c>
      <c r="C8">
        <v>30</v>
      </c>
      <c r="D8">
        <v>66.94</v>
      </c>
      <c r="E8">
        <v>65</v>
      </c>
      <c r="F8">
        <v>30.5</v>
      </c>
      <c r="G8">
        <v>152.5</v>
      </c>
      <c r="H8">
        <v>362.94</v>
      </c>
    </row>
    <row r="9" spans="1:8" x14ac:dyDescent="0.2">
      <c r="A9" s="6" t="s">
        <v>18</v>
      </c>
      <c r="B9">
        <v>13</v>
      </c>
      <c r="C9">
        <v>60</v>
      </c>
      <c r="D9">
        <v>81.919999999999987</v>
      </c>
      <c r="E9">
        <v>139.80000000000001</v>
      </c>
      <c r="F9">
        <v>25.7</v>
      </c>
      <c r="G9">
        <v>166.39999999999998</v>
      </c>
      <c r="H9">
        <v>486.82</v>
      </c>
    </row>
    <row r="10" spans="1:8" x14ac:dyDescent="0.2">
      <c r="A10" s="6" t="s">
        <v>77</v>
      </c>
      <c r="B10">
        <v>49</v>
      </c>
      <c r="C10">
        <v>29</v>
      </c>
      <c r="D10">
        <v>66.260000000000005</v>
      </c>
      <c r="E10">
        <v>101.6</v>
      </c>
      <c r="F10">
        <v>21.799999999999997</v>
      </c>
      <c r="G10">
        <v>143.1</v>
      </c>
      <c r="H10">
        <v>410.76</v>
      </c>
    </row>
    <row r="11" spans="1:8" x14ac:dyDescent="0.2">
      <c r="A11" s="6" t="s">
        <v>35</v>
      </c>
      <c r="B11">
        <v>39</v>
      </c>
      <c r="C11">
        <v>37</v>
      </c>
      <c r="D11">
        <v>46.26</v>
      </c>
      <c r="E11">
        <v>117.40000000000002</v>
      </c>
      <c r="F11">
        <v>42.099999999999994</v>
      </c>
      <c r="G11">
        <v>117.29999999999998</v>
      </c>
      <c r="H11">
        <v>399.05999999999995</v>
      </c>
    </row>
    <row r="12" spans="1:8" x14ac:dyDescent="0.2">
      <c r="A12" s="6" t="s">
        <v>31</v>
      </c>
      <c r="B12">
        <v>29</v>
      </c>
      <c r="C12">
        <v>44</v>
      </c>
      <c r="D12">
        <v>91.12</v>
      </c>
      <c r="E12">
        <v>168.20000000000002</v>
      </c>
      <c r="F12">
        <v>13.2</v>
      </c>
      <c r="G12">
        <v>109.92</v>
      </c>
      <c r="H12">
        <v>455.44000000000005</v>
      </c>
    </row>
    <row r="13" spans="1:8" x14ac:dyDescent="0.2">
      <c r="A13" s="6" t="s">
        <v>76</v>
      </c>
      <c r="B13">
        <v>23</v>
      </c>
      <c r="C13">
        <v>42</v>
      </c>
      <c r="D13">
        <v>71.94</v>
      </c>
      <c r="E13">
        <v>125.9</v>
      </c>
      <c r="F13">
        <v>40.900000000000006</v>
      </c>
      <c r="G13">
        <v>158.5</v>
      </c>
      <c r="H13">
        <v>462.24</v>
      </c>
    </row>
    <row r="14" spans="1:8" x14ac:dyDescent="0.2">
      <c r="A14" s="6" t="s">
        <v>42</v>
      </c>
      <c r="B14">
        <v>32</v>
      </c>
      <c r="C14">
        <v>40</v>
      </c>
      <c r="D14">
        <v>56.959999999999994</v>
      </c>
      <c r="E14">
        <v>107.30000000000001</v>
      </c>
      <c r="F14">
        <v>21.8</v>
      </c>
      <c r="G14">
        <v>136.30000000000001</v>
      </c>
      <c r="H14">
        <v>394.36</v>
      </c>
    </row>
    <row r="15" spans="1:8" x14ac:dyDescent="0.2">
      <c r="A15" s="6" t="s">
        <v>26</v>
      </c>
      <c r="B15">
        <v>38</v>
      </c>
      <c r="C15">
        <v>36</v>
      </c>
      <c r="D15">
        <v>79.16</v>
      </c>
      <c r="E15">
        <v>167.8</v>
      </c>
      <c r="F15">
        <v>7.3</v>
      </c>
      <c r="G15">
        <v>161.70000000000002</v>
      </c>
      <c r="H15">
        <v>489.96000000000004</v>
      </c>
    </row>
    <row r="16" spans="1:8" x14ac:dyDescent="0.2">
      <c r="A16" s="6" t="s">
        <v>46</v>
      </c>
      <c r="B16">
        <v>40</v>
      </c>
      <c r="C16">
        <v>20</v>
      </c>
      <c r="D16">
        <v>64.7</v>
      </c>
      <c r="E16">
        <v>104.6</v>
      </c>
      <c r="F16">
        <v>32.800000000000004</v>
      </c>
      <c r="G16">
        <v>122.10000000000001</v>
      </c>
      <c r="H16">
        <v>384.20000000000005</v>
      </c>
    </row>
    <row r="17" spans="1:8" x14ac:dyDescent="0.2">
      <c r="A17" s="6" t="s">
        <v>265</v>
      </c>
      <c r="B17">
        <v>363</v>
      </c>
      <c r="C17">
        <v>450</v>
      </c>
      <c r="D17">
        <v>821.80000000000007</v>
      </c>
      <c r="E17">
        <v>1408.8999999999999</v>
      </c>
      <c r="F17">
        <v>296.3</v>
      </c>
      <c r="G17">
        <v>1735.3</v>
      </c>
      <c r="H17">
        <v>5075.2999999999993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H17"/>
  <sheetViews>
    <sheetView workbookViewId="0">
      <selection activeCell="A5" sqref="A5:G16"/>
    </sheetView>
  </sheetViews>
  <sheetFormatPr baseColWidth="10" defaultRowHeight="16" x14ac:dyDescent="0.2"/>
  <cols>
    <col min="1" max="1" width="26.83203125" bestFit="1" customWidth="1"/>
    <col min="2" max="2" width="15.5" bestFit="1" customWidth="1"/>
    <col min="3" max="3" width="4.1640625" customWidth="1"/>
    <col min="4" max="4" width="8.1640625" customWidth="1"/>
    <col min="5" max="6" width="6.1640625" customWidth="1"/>
    <col min="7" max="7" width="7.1640625" customWidth="1"/>
    <col min="8" max="11" width="10.6640625" customWidth="1"/>
  </cols>
  <sheetData>
    <row r="3" spans="1:8" x14ac:dyDescent="0.2">
      <c r="A3" s="5" t="s">
        <v>263</v>
      </c>
      <c r="B3" s="5" t="s">
        <v>266</v>
      </c>
    </row>
    <row r="4" spans="1:8" x14ac:dyDescent="0.2">
      <c r="A4" s="5" t="s">
        <v>264</v>
      </c>
      <c r="B4" t="s">
        <v>130</v>
      </c>
      <c r="C4" t="s">
        <v>131</v>
      </c>
      <c r="D4" t="s">
        <v>125</v>
      </c>
      <c r="E4" t="s">
        <v>127</v>
      </c>
      <c r="F4" t="s">
        <v>129</v>
      </c>
      <c r="G4" t="s">
        <v>128</v>
      </c>
      <c r="H4" t="s">
        <v>265</v>
      </c>
    </row>
    <row r="5" spans="1:8" x14ac:dyDescent="0.2">
      <c r="A5" s="6" t="s">
        <v>73</v>
      </c>
      <c r="B5">
        <v>34</v>
      </c>
      <c r="C5">
        <v>35</v>
      </c>
      <c r="D5">
        <v>75.240000000000009</v>
      </c>
      <c r="E5">
        <v>132.09999999999997</v>
      </c>
      <c r="F5">
        <v>37.9</v>
      </c>
      <c r="G5">
        <v>232.4</v>
      </c>
      <c r="H5">
        <v>546.64</v>
      </c>
    </row>
    <row r="6" spans="1:8" x14ac:dyDescent="0.2">
      <c r="A6" s="6" t="s">
        <v>74</v>
      </c>
      <c r="B6">
        <v>46</v>
      </c>
      <c r="C6">
        <v>58</v>
      </c>
      <c r="D6">
        <v>75.900000000000006</v>
      </c>
      <c r="E6">
        <v>119.60000000000001</v>
      </c>
      <c r="F6">
        <v>18.399999999999999</v>
      </c>
      <c r="G6">
        <v>182.70000000000002</v>
      </c>
      <c r="H6">
        <v>500.6</v>
      </c>
    </row>
    <row r="7" spans="1:8" x14ac:dyDescent="0.2">
      <c r="A7" s="6" t="s">
        <v>75</v>
      </c>
      <c r="B7">
        <v>27</v>
      </c>
      <c r="C7">
        <v>42</v>
      </c>
      <c r="D7">
        <v>80.61999999999999</v>
      </c>
      <c r="E7">
        <v>112.00000000000001</v>
      </c>
      <c r="F7">
        <v>40.1</v>
      </c>
      <c r="G7">
        <v>198.07999999999998</v>
      </c>
      <c r="H7">
        <v>499.8</v>
      </c>
    </row>
    <row r="8" spans="1:8" x14ac:dyDescent="0.2">
      <c r="A8" s="6" t="s">
        <v>14</v>
      </c>
      <c r="B8">
        <v>27</v>
      </c>
      <c r="C8">
        <v>38</v>
      </c>
      <c r="D8">
        <v>90.34</v>
      </c>
      <c r="E8">
        <v>85</v>
      </c>
      <c r="F8">
        <v>38.799999999999997</v>
      </c>
      <c r="G8">
        <v>178.29999999999998</v>
      </c>
      <c r="H8">
        <v>457.43999999999994</v>
      </c>
    </row>
    <row r="9" spans="1:8" x14ac:dyDescent="0.2">
      <c r="A9" s="6" t="s">
        <v>18</v>
      </c>
      <c r="B9">
        <v>28</v>
      </c>
      <c r="C9">
        <v>69</v>
      </c>
      <c r="D9">
        <v>101.63999999999999</v>
      </c>
      <c r="E9">
        <v>163.4</v>
      </c>
      <c r="F9">
        <v>30.1</v>
      </c>
      <c r="G9">
        <v>196.39999999999998</v>
      </c>
      <c r="H9">
        <v>588.54</v>
      </c>
    </row>
    <row r="10" spans="1:8" x14ac:dyDescent="0.2">
      <c r="A10" s="6" t="s">
        <v>77</v>
      </c>
      <c r="B10">
        <v>56</v>
      </c>
      <c r="C10">
        <v>42</v>
      </c>
      <c r="D10">
        <v>82.2</v>
      </c>
      <c r="E10">
        <v>125.8</v>
      </c>
      <c r="F10">
        <v>25.999999999999996</v>
      </c>
      <c r="G10">
        <v>156.9</v>
      </c>
      <c r="H10">
        <v>488.9</v>
      </c>
    </row>
    <row r="11" spans="1:8" x14ac:dyDescent="0.2">
      <c r="A11" s="6" t="s">
        <v>35</v>
      </c>
      <c r="B11">
        <v>35</v>
      </c>
      <c r="C11">
        <v>42</v>
      </c>
      <c r="D11">
        <v>72.819999999999993</v>
      </c>
      <c r="E11">
        <v>133.70000000000002</v>
      </c>
      <c r="F11">
        <v>44.099999999999994</v>
      </c>
      <c r="G11">
        <v>156.89999999999998</v>
      </c>
      <c r="H11">
        <v>484.52</v>
      </c>
    </row>
    <row r="12" spans="1:8" x14ac:dyDescent="0.2">
      <c r="A12" s="6" t="s">
        <v>31</v>
      </c>
      <c r="B12">
        <v>36</v>
      </c>
      <c r="C12">
        <v>60</v>
      </c>
      <c r="D12">
        <v>124.54</v>
      </c>
      <c r="E12">
        <v>197.30000000000004</v>
      </c>
      <c r="F12">
        <v>21.7</v>
      </c>
      <c r="G12">
        <v>130.91999999999999</v>
      </c>
      <c r="H12">
        <v>570.46</v>
      </c>
    </row>
    <row r="13" spans="1:8" x14ac:dyDescent="0.2">
      <c r="A13" s="6" t="s">
        <v>76</v>
      </c>
      <c r="B13">
        <v>38</v>
      </c>
      <c r="C13">
        <v>46</v>
      </c>
      <c r="D13">
        <v>105.72</v>
      </c>
      <c r="E13">
        <v>150.70000000000002</v>
      </c>
      <c r="F13">
        <v>57.300000000000004</v>
      </c>
      <c r="G13">
        <v>228.3</v>
      </c>
      <c r="H13">
        <v>626.02</v>
      </c>
    </row>
    <row r="14" spans="1:8" x14ac:dyDescent="0.2">
      <c r="A14" s="6" t="s">
        <v>42</v>
      </c>
      <c r="B14">
        <v>33</v>
      </c>
      <c r="C14">
        <v>56</v>
      </c>
      <c r="D14">
        <v>72.899999999999991</v>
      </c>
      <c r="E14">
        <v>141.6</v>
      </c>
      <c r="F14">
        <v>31.8</v>
      </c>
      <c r="G14">
        <v>171.8</v>
      </c>
      <c r="H14">
        <v>507.1</v>
      </c>
    </row>
    <row r="15" spans="1:8" x14ac:dyDescent="0.2">
      <c r="A15" s="6" t="s">
        <v>26</v>
      </c>
      <c r="B15">
        <v>55</v>
      </c>
      <c r="C15">
        <v>50</v>
      </c>
      <c r="D15">
        <v>93.8</v>
      </c>
      <c r="E15">
        <v>190.9</v>
      </c>
      <c r="F15">
        <v>13.2</v>
      </c>
      <c r="G15">
        <v>193.70000000000005</v>
      </c>
      <c r="H15">
        <v>596.60000000000014</v>
      </c>
    </row>
    <row r="16" spans="1:8" x14ac:dyDescent="0.2">
      <c r="A16" s="6" t="s">
        <v>46</v>
      </c>
      <c r="B16">
        <v>47</v>
      </c>
      <c r="C16">
        <v>30</v>
      </c>
      <c r="D16">
        <v>77.760000000000005</v>
      </c>
      <c r="E16">
        <v>138.9</v>
      </c>
      <c r="F16">
        <v>52.5</v>
      </c>
      <c r="G16">
        <v>160.00000000000003</v>
      </c>
      <c r="H16">
        <v>506.15999999999997</v>
      </c>
    </row>
    <row r="17" spans="1:8" x14ac:dyDescent="0.2">
      <c r="A17" s="6" t="s">
        <v>265</v>
      </c>
      <c r="B17">
        <v>462</v>
      </c>
      <c r="C17">
        <v>568</v>
      </c>
      <c r="D17">
        <v>1053.48</v>
      </c>
      <c r="E17">
        <v>1691.0000000000002</v>
      </c>
      <c r="F17">
        <v>411.9</v>
      </c>
      <c r="G17">
        <v>2186.4</v>
      </c>
      <c r="H17">
        <v>6372.7800000000007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H17"/>
  <sheetViews>
    <sheetView workbookViewId="0">
      <selection activeCell="A5" sqref="A5:G16"/>
    </sheetView>
  </sheetViews>
  <sheetFormatPr baseColWidth="10" defaultRowHeight="16" x14ac:dyDescent="0.2"/>
  <cols>
    <col min="1" max="1" width="26.83203125" bestFit="1" customWidth="1"/>
    <col min="2" max="2" width="15.5" bestFit="1" customWidth="1"/>
    <col min="3" max="3" width="4.1640625" customWidth="1"/>
    <col min="4" max="4" width="8.1640625" customWidth="1"/>
    <col min="5" max="5" width="7.1640625" customWidth="1"/>
    <col min="6" max="6" width="6.1640625" customWidth="1"/>
    <col min="7" max="7" width="7.1640625" customWidth="1"/>
    <col min="8" max="12" width="10.6640625" customWidth="1"/>
    <col min="13" max="20" width="15.5" bestFit="1" customWidth="1"/>
    <col min="21" max="21" width="18.1640625" bestFit="1" customWidth="1"/>
    <col min="22" max="22" width="17.6640625" bestFit="1" customWidth="1"/>
  </cols>
  <sheetData>
    <row r="3" spans="1:8" x14ac:dyDescent="0.2">
      <c r="A3" s="5" t="s">
        <v>263</v>
      </c>
      <c r="B3" s="5" t="s">
        <v>266</v>
      </c>
    </row>
    <row r="4" spans="1:8" x14ac:dyDescent="0.2">
      <c r="A4" s="5" t="s">
        <v>264</v>
      </c>
      <c r="B4" t="s">
        <v>130</v>
      </c>
      <c r="C4" t="s">
        <v>131</v>
      </c>
      <c r="D4" t="s">
        <v>125</v>
      </c>
      <c r="E4" t="s">
        <v>127</v>
      </c>
      <c r="F4" t="s">
        <v>129</v>
      </c>
      <c r="G4" t="s">
        <v>128</v>
      </c>
      <c r="H4" t="s">
        <v>265</v>
      </c>
    </row>
    <row r="5" spans="1:8" x14ac:dyDescent="0.2">
      <c r="A5" s="6" t="s">
        <v>73</v>
      </c>
      <c r="B5">
        <v>43</v>
      </c>
      <c r="C5">
        <v>52</v>
      </c>
      <c r="D5">
        <v>78.460000000000008</v>
      </c>
      <c r="E5">
        <v>137.49999999999997</v>
      </c>
      <c r="F5">
        <v>40.4</v>
      </c>
      <c r="G5">
        <v>277.5</v>
      </c>
      <c r="H5">
        <v>628.8599999999999</v>
      </c>
    </row>
    <row r="6" spans="1:8" x14ac:dyDescent="0.2">
      <c r="A6" s="6" t="s">
        <v>74</v>
      </c>
      <c r="B6">
        <v>47</v>
      </c>
      <c r="C6">
        <v>68</v>
      </c>
      <c r="D6">
        <v>97.76</v>
      </c>
      <c r="E6">
        <v>152.30000000000001</v>
      </c>
      <c r="F6">
        <v>26.9</v>
      </c>
      <c r="G6">
        <v>198.00000000000003</v>
      </c>
      <c r="H6">
        <v>589.96</v>
      </c>
    </row>
    <row r="7" spans="1:8" x14ac:dyDescent="0.2">
      <c r="A7" s="6" t="s">
        <v>75</v>
      </c>
      <c r="B7">
        <v>40</v>
      </c>
      <c r="C7">
        <v>48</v>
      </c>
      <c r="D7">
        <v>93.1</v>
      </c>
      <c r="E7">
        <v>120.70000000000002</v>
      </c>
      <c r="F7">
        <v>43.800000000000004</v>
      </c>
      <c r="G7">
        <v>233.98</v>
      </c>
      <c r="H7">
        <v>579.58000000000004</v>
      </c>
    </row>
    <row r="8" spans="1:8" x14ac:dyDescent="0.2">
      <c r="A8" s="6" t="s">
        <v>14</v>
      </c>
      <c r="B8">
        <v>31</v>
      </c>
      <c r="C8">
        <v>48</v>
      </c>
      <c r="D8">
        <v>102.14</v>
      </c>
      <c r="E8">
        <v>90.5</v>
      </c>
      <c r="F8">
        <v>52.4</v>
      </c>
      <c r="G8">
        <v>221.3</v>
      </c>
      <c r="H8">
        <v>545.33999999999992</v>
      </c>
    </row>
    <row r="9" spans="1:8" x14ac:dyDescent="0.2">
      <c r="A9" s="6" t="s">
        <v>18</v>
      </c>
      <c r="B9">
        <v>30</v>
      </c>
      <c r="C9">
        <v>81</v>
      </c>
      <c r="D9">
        <v>122.6</v>
      </c>
      <c r="E9">
        <v>177.4</v>
      </c>
      <c r="F9">
        <v>38.200000000000003</v>
      </c>
      <c r="G9">
        <v>260.59999999999997</v>
      </c>
      <c r="H9">
        <v>709.8</v>
      </c>
    </row>
    <row r="10" spans="1:8" x14ac:dyDescent="0.2">
      <c r="A10" s="6" t="s">
        <v>77</v>
      </c>
      <c r="B10">
        <v>72</v>
      </c>
      <c r="C10">
        <v>55</v>
      </c>
      <c r="D10">
        <v>100.58</v>
      </c>
      <c r="E10">
        <v>157.79999999999998</v>
      </c>
      <c r="F10">
        <v>37.6</v>
      </c>
      <c r="G10">
        <v>171.10000000000002</v>
      </c>
      <c r="H10">
        <v>594.08000000000004</v>
      </c>
    </row>
    <row r="11" spans="1:8" x14ac:dyDescent="0.2">
      <c r="A11" s="6" t="s">
        <v>35</v>
      </c>
      <c r="B11">
        <v>39</v>
      </c>
      <c r="C11">
        <v>46</v>
      </c>
      <c r="D11">
        <v>85.32</v>
      </c>
      <c r="E11">
        <v>170.60000000000002</v>
      </c>
      <c r="F11">
        <v>44.099999999999994</v>
      </c>
      <c r="G11">
        <v>204.79999999999995</v>
      </c>
      <c r="H11">
        <v>589.81999999999994</v>
      </c>
    </row>
    <row r="12" spans="1:8" x14ac:dyDescent="0.2">
      <c r="A12" s="6" t="s">
        <v>31</v>
      </c>
      <c r="B12">
        <v>42</v>
      </c>
      <c r="C12">
        <v>71</v>
      </c>
      <c r="D12">
        <v>143.46</v>
      </c>
      <c r="E12">
        <v>228.50000000000006</v>
      </c>
      <c r="F12">
        <v>34.9</v>
      </c>
      <c r="G12">
        <v>158.01999999999998</v>
      </c>
      <c r="H12">
        <v>677.88000000000011</v>
      </c>
    </row>
    <row r="13" spans="1:8" x14ac:dyDescent="0.2">
      <c r="A13" s="6" t="s">
        <v>76</v>
      </c>
      <c r="B13">
        <v>48</v>
      </c>
      <c r="C13">
        <v>51</v>
      </c>
      <c r="D13">
        <v>125.53999999999999</v>
      </c>
      <c r="E13">
        <v>187.8</v>
      </c>
      <c r="F13">
        <v>77.600000000000009</v>
      </c>
      <c r="G13">
        <v>261.5</v>
      </c>
      <c r="H13">
        <v>751.44</v>
      </c>
    </row>
    <row r="14" spans="1:8" x14ac:dyDescent="0.2">
      <c r="A14" s="6" t="s">
        <v>42</v>
      </c>
      <c r="B14">
        <v>38</v>
      </c>
      <c r="C14">
        <v>68</v>
      </c>
      <c r="D14">
        <v>96.6</v>
      </c>
      <c r="E14">
        <v>180.2</v>
      </c>
      <c r="F14">
        <v>43.5</v>
      </c>
      <c r="G14">
        <v>194.20000000000002</v>
      </c>
      <c r="H14">
        <v>620.5</v>
      </c>
    </row>
    <row r="15" spans="1:8" x14ac:dyDescent="0.2">
      <c r="A15" s="6" t="s">
        <v>26</v>
      </c>
      <c r="B15">
        <v>61</v>
      </c>
      <c r="C15">
        <v>59</v>
      </c>
      <c r="D15">
        <v>118.19999999999999</v>
      </c>
      <c r="E15">
        <v>212.3</v>
      </c>
      <c r="F15">
        <v>21.7</v>
      </c>
      <c r="G15">
        <v>241.60000000000005</v>
      </c>
      <c r="H15">
        <v>713.80000000000007</v>
      </c>
    </row>
    <row r="16" spans="1:8" x14ac:dyDescent="0.2">
      <c r="A16" s="6" t="s">
        <v>46</v>
      </c>
      <c r="B16">
        <v>61</v>
      </c>
      <c r="C16">
        <v>45</v>
      </c>
      <c r="D16">
        <v>101.86000000000001</v>
      </c>
      <c r="E16">
        <v>169.9</v>
      </c>
      <c r="F16">
        <v>64.100000000000009</v>
      </c>
      <c r="G16">
        <v>180.4</v>
      </c>
      <c r="H16">
        <v>622.26</v>
      </c>
    </row>
    <row r="17" spans="1:8" x14ac:dyDescent="0.2">
      <c r="A17" s="6" t="s">
        <v>265</v>
      </c>
      <c r="B17">
        <v>552</v>
      </c>
      <c r="C17">
        <v>692</v>
      </c>
      <c r="D17">
        <v>1265.6199999999999</v>
      </c>
      <c r="E17">
        <v>1985.5</v>
      </c>
      <c r="F17">
        <v>525.19999999999993</v>
      </c>
      <c r="G17">
        <v>2603</v>
      </c>
      <c r="H17">
        <v>7623.3200000000006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H17"/>
  <sheetViews>
    <sheetView workbookViewId="0">
      <selection activeCell="A5" sqref="A5:G16"/>
    </sheetView>
  </sheetViews>
  <sheetFormatPr baseColWidth="10" defaultRowHeight="16" x14ac:dyDescent="0.2"/>
  <cols>
    <col min="1" max="1" width="26.83203125" customWidth="1"/>
    <col min="2" max="2" width="15.5" bestFit="1" customWidth="1"/>
    <col min="3" max="3" width="4.1640625" customWidth="1"/>
    <col min="4" max="5" width="7.1640625" customWidth="1"/>
    <col min="6" max="6" width="6.1640625" customWidth="1"/>
    <col min="7" max="7" width="7.1640625" customWidth="1"/>
    <col min="8" max="11" width="10.6640625" customWidth="1"/>
  </cols>
  <sheetData>
    <row r="3" spans="1:8" x14ac:dyDescent="0.2">
      <c r="A3" s="5" t="s">
        <v>263</v>
      </c>
      <c r="B3" s="5" t="s">
        <v>266</v>
      </c>
    </row>
    <row r="4" spans="1:8" x14ac:dyDescent="0.2">
      <c r="A4" s="5" t="s">
        <v>264</v>
      </c>
      <c r="B4" t="s">
        <v>130</v>
      </c>
      <c r="C4" t="s">
        <v>131</v>
      </c>
      <c r="D4" t="s">
        <v>125</v>
      </c>
      <c r="E4" t="s">
        <v>127</v>
      </c>
      <c r="F4" t="s">
        <v>129</v>
      </c>
      <c r="G4" t="s">
        <v>128</v>
      </c>
      <c r="H4" t="s">
        <v>265</v>
      </c>
    </row>
    <row r="5" spans="1:8" x14ac:dyDescent="0.2">
      <c r="A5" s="6" t="s">
        <v>73</v>
      </c>
      <c r="B5">
        <v>45</v>
      </c>
      <c r="C5">
        <v>66</v>
      </c>
      <c r="D5">
        <v>94.720000000000013</v>
      </c>
      <c r="E5">
        <v>163.19999999999996</v>
      </c>
      <c r="F5">
        <v>51.2</v>
      </c>
      <c r="G5">
        <v>316.7</v>
      </c>
      <c r="H5">
        <v>736.81999999999994</v>
      </c>
    </row>
    <row r="6" spans="1:8" x14ac:dyDescent="0.2">
      <c r="A6" s="6" t="s">
        <v>74</v>
      </c>
      <c r="B6">
        <v>40</v>
      </c>
      <c r="C6">
        <v>78</v>
      </c>
      <c r="D6">
        <v>120.52000000000001</v>
      </c>
      <c r="E6">
        <v>182.00000000000003</v>
      </c>
      <c r="F6">
        <v>45.5</v>
      </c>
      <c r="G6">
        <v>224.00000000000003</v>
      </c>
      <c r="H6">
        <v>690.0200000000001</v>
      </c>
    </row>
    <row r="7" spans="1:8" x14ac:dyDescent="0.2">
      <c r="A7" s="6" t="s">
        <v>75</v>
      </c>
      <c r="B7">
        <v>50</v>
      </c>
      <c r="C7">
        <v>60</v>
      </c>
      <c r="D7">
        <v>110.88</v>
      </c>
      <c r="E7">
        <v>125.10000000000002</v>
      </c>
      <c r="F7">
        <v>47.500000000000007</v>
      </c>
      <c r="G7">
        <v>277.58</v>
      </c>
      <c r="H7">
        <v>671.06</v>
      </c>
    </row>
    <row r="8" spans="1:8" x14ac:dyDescent="0.2">
      <c r="A8" s="6" t="s">
        <v>14</v>
      </c>
      <c r="B8">
        <v>45</v>
      </c>
      <c r="C8">
        <v>52</v>
      </c>
      <c r="D8">
        <v>129.13999999999999</v>
      </c>
      <c r="E8">
        <v>119</v>
      </c>
      <c r="F8">
        <v>60</v>
      </c>
      <c r="G8">
        <v>229.20000000000002</v>
      </c>
      <c r="H8">
        <v>634.34</v>
      </c>
    </row>
    <row r="9" spans="1:8" x14ac:dyDescent="0.2">
      <c r="A9" s="6" t="s">
        <v>18</v>
      </c>
      <c r="B9">
        <v>51</v>
      </c>
      <c r="C9">
        <v>88</v>
      </c>
      <c r="D9">
        <v>127.83999999999999</v>
      </c>
      <c r="E9">
        <v>216.6</v>
      </c>
      <c r="F9">
        <v>44.900000000000006</v>
      </c>
      <c r="G9">
        <v>289.89999999999998</v>
      </c>
      <c r="H9">
        <v>818.2399999999999</v>
      </c>
    </row>
    <row r="10" spans="1:8" x14ac:dyDescent="0.2">
      <c r="A10" s="6" t="s">
        <v>77</v>
      </c>
      <c r="B10">
        <v>88</v>
      </c>
      <c r="C10">
        <v>68</v>
      </c>
      <c r="D10">
        <v>105.92</v>
      </c>
      <c r="E10">
        <v>199.4</v>
      </c>
      <c r="F10">
        <v>50.8</v>
      </c>
      <c r="G10">
        <v>202.4</v>
      </c>
      <c r="H10">
        <v>714.52</v>
      </c>
    </row>
    <row r="11" spans="1:8" x14ac:dyDescent="0.2">
      <c r="A11" s="6" t="s">
        <v>35</v>
      </c>
      <c r="B11">
        <v>48</v>
      </c>
      <c r="C11">
        <v>67</v>
      </c>
      <c r="D11">
        <v>94.08</v>
      </c>
      <c r="E11">
        <v>216.00000000000003</v>
      </c>
      <c r="F11">
        <v>48.3</v>
      </c>
      <c r="G11">
        <v>223.29999999999995</v>
      </c>
      <c r="H11">
        <v>696.68000000000006</v>
      </c>
    </row>
    <row r="12" spans="1:8" x14ac:dyDescent="0.2">
      <c r="A12" s="6" t="s">
        <v>31</v>
      </c>
      <c r="B12">
        <v>52</v>
      </c>
      <c r="C12">
        <v>83</v>
      </c>
      <c r="D12">
        <v>177.90000000000003</v>
      </c>
      <c r="E12">
        <v>241.40000000000006</v>
      </c>
      <c r="F12">
        <v>40.9</v>
      </c>
      <c r="G12">
        <v>193.61999999999995</v>
      </c>
      <c r="H12">
        <v>788.81999999999994</v>
      </c>
    </row>
    <row r="13" spans="1:8" x14ac:dyDescent="0.2">
      <c r="A13" s="6" t="s">
        <v>76</v>
      </c>
      <c r="B13">
        <v>49</v>
      </c>
      <c r="C13">
        <v>54</v>
      </c>
      <c r="D13">
        <v>140.47999999999999</v>
      </c>
      <c r="E13">
        <v>215</v>
      </c>
      <c r="F13">
        <v>89.8</v>
      </c>
      <c r="G13">
        <v>285.19999999999993</v>
      </c>
      <c r="H13">
        <v>833.4799999999999</v>
      </c>
    </row>
    <row r="14" spans="1:8" x14ac:dyDescent="0.2">
      <c r="A14" s="6" t="s">
        <v>42</v>
      </c>
      <c r="B14">
        <v>50</v>
      </c>
      <c r="C14">
        <v>70</v>
      </c>
      <c r="D14">
        <v>108.66</v>
      </c>
      <c r="E14">
        <v>226.2</v>
      </c>
      <c r="F14">
        <v>46.5</v>
      </c>
      <c r="G14">
        <v>217.70000000000002</v>
      </c>
      <c r="H14">
        <v>719.06000000000006</v>
      </c>
    </row>
    <row r="15" spans="1:8" x14ac:dyDescent="0.2">
      <c r="A15" s="6" t="s">
        <v>26</v>
      </c>
      <c r="B15">
        <v>71</v>
      </c>
      <c r="C15">
        <v>63</v>
      </c>
      <c r="D15">
        <v>139.22</v>
      </c>
      <c r="E15">
        <v>257.60000000000002</v>
      </c>
      <c r="F15">
        <v>39.799999999999997</v>
      </c>
      <c r="G15">
        <v>273.40000000000009</v>
      </c>
      <c r="H15">
        <v>844.0200000000001</v>
      </c>
    </row>
    <row r="16" spans="1:8" x14ac:dyDescent="0.2">
      <c r="A16" s="6" t="s">
        <v>46</v>
      </c>
      <c r="B16">
        <v>79</v>
      </c>
      <c r="C16">
        <v>62</v>
      </c>
      <c r="D16">
        <v>119.03999999999999</v>
      </c>
      <c r="E16">
        <v>194.1</v>
      </c>
      <c r="F16">
        <v>78.399999999999991</v>
      </c>
      <c r="G16">
        <v>189.70000000000002</v>
      </c>
      <c r="H16">
        <v>722.24</v>
      </c>
    </row>
    <row r="17" spans="1:8" x14ac:dyDescent="0.2">
      <c r="A17" s="6" t="s">
        <v>265</v>
      </c>
      <c r="B17">
        <v>668</v>
      </c>
      <c r="C17">
        <v>811</v>
      </c>
      <c r="D17">
        <v>1468.4</v>
      </c>
      <c r="E17">
        <v>2355.6</v>
      </c>
      <c r="F17">
        <v>643.6</v>
      </c>
      <c r="G17">
        <v>2922.7</v>
      </c>
      <c r="H17">
        <v>8869.3000000000011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H17"/>
  <sheetViews>
    <sheetView workbookViewId="0">
      <selection activeCell="A5" sqref="A5:G16"/>
    </sheetView>
  </sheetViews>
  <sheetFormatPr baseColWidth="10" defaultRowHeight="16" x14ac:dyDescent="0.2"/>
  <cols>
    <col min="1" max="1" width="26.83203125" customWidth="1"/>
    <col min="2" max="2" width="15.5" bestFit="1" customWidth="1"/>
    <col min="3" max="3" width="4.1640625" customWidth="1"/>
    <col min="4" max="5" width="8.1640625" customWidth="1"/>
    <col min="6" max="6" width="7.1640625" customWidth="1"/>
    <col min="7" max="7" width="8.1640625" customWidth="1"/>
    <col min="8" max="11" width="10.6640625" customWidth="1"/>
  </cols>
  <sheetData>
    <row r="3" spans="1:8" x14ac:dyDescent="0.2">
      <c r="A3" s="5" t="s">
        <v>263</v>
      </c>
      <c r="B3" s="5" t="s">
        <v>266</v>
      </c>
    </row>
    <row r="4" spans="1:8" x14ac:dyDescent="0.2">
      <c r="A4" s="5" t="s">
        <v>264</v>
      </c>
      <c r="B4" t="s">
        <v>130</v>
      </c>
      <c r="C4" t="s">
        <v>131</v>
      </c>
      <c r="D4" t="s">
        <v>125</v>
      </c>
      <c r="E4" t="s">
        <v>127</v>
      </c>
      <c r="F4" t="s">
        <v>129</v>
      </c>
      <c r="G4" t="s">
        <v>128</v>
      </c>
      <c r="H4" t="s">
        <v>265</v>
      </c>
    </row>
    <row r="5" spans="1:8" x14ac:dyDescent="0.2">
      <c r="A5" s="6" t="s">
        <v>73</v>
      </c>
      <c r="B5">
        <v>56</v>
      </c>
      <c r="C5">
        <v>80</v>
      </c>
      <c r="D5">
        <v>112.92000000000002</v>
      </c>
      <c r="E5">
        <v>200.79999999999995</v>
      </c>
      <c r="F5">
        <v>66.5</v>
      </c>
      <c r="G5">
        <v>357.7</v>
      </c>
      <c r="H5">
        <v>873.92000000000007</v>
      </c>
    </row>
    <row r="6" spans="1:8" x14ac:dyDescent="0.2">
      <c r="A6" s="6" t="s">
        <v>74</v>
      </c>
      <c r="B6">
        <v>43</v>
      </c>
      <c r="C6">
        <v>85</v>
      </c>
      <c r="D6">
        <v>155.66000000000003</v>
      </c>
      <c r="E6">
        <v>203.90000000000003</v>
      </c>
      <c r="F6">
        <v>68.599999999999994</v>
      </c>
      <c r="G6">
        <v>251.10000000000002</v>
      </c>
      <c r="H6">
        <v>807.2600000000001</v>
      </c>
    </row>
    <row r="7" spans="1:8" x14ac:dyDescent="0.2">
      <c r="A7" s="6" t="s">
        <v>75</v>
      </c>
      <c r="B7">
        <v>59</v>
      </c>
      <c r="C7">
        <v>64</v>
      </c>
      <c r="D7">
        <v>120.82</v>
      </c>
      <c r="E7">
        <v>134.70000000000002</v>
      </c>
      <c r="F7">
        <v>67.5</v>
      </c>
      <c r="G7">
        <v>321.28000000000003</v>
      </c>
      <c r="H7">
        <v>767.3</v>
      </c>
    </row>
    <row r="8" spans="1:8" x14ac:dyDescent="0.2">
      <c r="A8" s="6" t="s">
        <v>14</v>
      </c>
      <c r="B8">
        <v>57</v>
      </c>
      <c r="C8">
        <v>60</v>
      </c>
      <c r="D8">
        <v>151.44</v>
      </c>
      <c r="E8">
        <v>135.79999999999998</v>
      </c>
      <c r="F8">
        <v>76.900000000000006</v>
      </c>
      <c r="G8">
        <v>267.52</v>
      </c>
      <c r="H8">
        <v>748.66</v>
      </c>
    </row>
    <row r="9" spans="1:8" x14ac:dyDescent="0.2">
      <c r="A9" s="6" t="s">
        <v>18</v>
      </c>
      <c r="B9">
        <v>59</v>
      </c>
      <c r="C9">
        <v>94</v>
      </c>
      <c r="D9">
        <v>133.57999999999998</v>
      </c>
      <c r="E9">
        <v>263.2</v>
      </c>
      <c r="F9">
        <v>56.000000000000007</v>
      </c>
      <c r="G9">
        <v>336</v>
      </c>
      <c r="H9">
        <v>941.78</v>
      </c>
    </row>
    <row r="10" spans="1:8" x14ac:dyDescent="0.2">
      <c r="A10" s="6" t="s">
        <v>77</v>
      </c>
      <c r="B10">
        <v>90</v>
      </c>
      <c r="C10">
        <v>75</v>
      </c>
      <c r="D10">
        <v>118.32000000000001</v>
      </c>
      <c r="E10">
        <v>235.39999999999998</v>
      </c>
      <c r="F10">
        <v>57.8</v>
      </c>
      <c r="G10">
        <v>235.1</v>
      </c>
      <c r="H10">
        <v>811.62</v>
      </c>
    </row>
    <row r="11" spans="1:8" x14ac:dyDescent="0.2">
      <c r="A11" s="6" t="s">
        <v>35</v>
      </c>
      <c r="B11">
        <v>55</v>
      </c>
      <c r="C11">
        <v>75</v>
      </c>
      <c r="D11">
        <v>105.58</v>
      </c>
      <c r="E11">
        <v>237.30000000000004</v>
      </c>
      <c r="F11">
        <v>53.519999999999996</v>
      </c>
      <c r="G11">
        <v>244.09999999999997</v>
      </c>
      <c r="H11">
        <v>770.5</v>
      </c>
    </row>
    <row r="12" spans="1:8" x14ac:dyDescent="0.2">
      <c r="A12" s="6" t="s">
        <v>31</v>
      </c>
      <c r="B12">
        <v>51</v>
      </c>
      <c r="C12">
        <v>94</v>
      </c>
      <c r="D12">
        <v>202.06</v>
      </c>
      <c r="E12">
        <v>274.8</v>
      </c>
      <c r="F12">
        <v>52.5</v>
      </c>
      <c r="G12">
        <v>211.51999999999998</v>
      </c>
      <c r="H12">
        <v>885.88</v>
      </c>
    </row>
    <row r="13" spans="1:8" x14ac:dyDescent="0.2">
      <c r="A13" s="6" t="s">
        <v>76</v>
      </c>
      <c r="B13">
        <v>53</v>
      </c>
      <c r="C13">
        <v>59</v>
      </c>
      <c r="D13">
        <v>153.33999999999997</v>
      </c>
      <c r="E13">
        <v>248.70000000000002</v>
      </c>
      <c r="F13">
        <v>111.60000000000001</v>
      </c>
      <c r="G13">
        <v>320.8</v>
      </c>
      <c r="H13">
        <v>946.44</v>
      </c>
    </row>
    <row r="14" spans="1:8" x14ac:dyDescent="0.2">
      <c r="A14" s="6" t="s">
        <v>42</v>
      </c>
      <c r="B14">
        <v>60</v>
      </c>
      <c r="C14">
        <v>76</v>
      </c>
      <c r="D14">
        <v>123.32</v>
      </c>
      <c r="E14">
        <v>253.2</v>
      </c>
      <c r="F14">
        <v>51.8</v>
      </c>
      <c r="G14">
        <v>252.00000000000003</v>
      </c>
      <c r="H14">
        <v>816.31999999999994</v>
      </c>
    </row>
    <row r="15" spans="1:8" x14ac:dyDescent="0.2">
      <c r="A15" s="6" t="s">
        <v>26</v>
      </c>
      <c r="B15">
        <v>71</v>
      </c>
      <c r="C15">
        <v>73</v>
      </c>
      <c r="D15">
        <v>159.04000000000002</v>
      </c>
      <c r="E15">
        <v>290.90000000000003</v>
      </c>
      <c r="F15">
        <v>51.900000000000006</v>
      </c>
      <c r="G15">
        <v>304.40000000000009</v>
      </c>
      <c r="H15">
        <v>950.24000000000012</v>
      </c>
    </row>
    <row r="16" spans="1:8" x14ac:dyDescent="0.2">
      <c r="A16" s="6" t="s">
        <v>46</v>
      </c>
      <c r="B16">
        <v>88</v>
      </c>
      <c r="C16">
        <v>75</v>
      </c>
      <c r="D16">
        <v>145.04000000000002</v>
      </c>
      <c r="E16">
        <v>233.51999999999998</v>
      </c>
      <c r="F16">
        <v>86.699999999999989</v>
      </c>
      <c r="G16">
        <v>242.9</v>
      </c>
      <c r="H16">
        <v>871.16</v>
      </c>
    </row>
    <row r="17" spans="1:8" x14ac:dyDescent="0.2">
      <c r="A17" s="6" t="s">
        <v>265</v>
      </c>
      <c r="B17">
        <v>742</v>
      </c>
      <c r="C17">
        <v>910</v>
      </c>
      <c r="D17">
        <v>1681.12</v>
      </c>
      <c r="E17">
        <v>2712.22</v>
      </c>
      <c r="F17">
        <v>801.31999999999994</v>
      </c>
      <c r="G17">
        <v>3344.42</v>
      </c>
      <c r="H17">
        <v>10191.08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H17"/>
  <sheetViews>
    <sheetView workbookViewId="0">
      <selection activeCell="G21" sqref="G21"/>
    </sheetView>
  </sheetViews>
  <sheetFormatPr baseColWidth="10" defaultRowHeight="16" x14ac:dyDescent="0.2"/>
  <cols>
    <col min="1" max="1" width="26.83203125" bestFit="1" customWidth="1"/>
    <col min="2" max="2" width="15.5" bestFit="1" customWidth="1"/>
    <col min="3" max="3" width="4.1640625" customWidth="1"/>
    <col min="4" max="5" width="8.1640625" customWidth="1"/>
    <col min="6" max="6" width="7.1640625" customWidth="1"/>
    <col min="7" max="7" width="8.1640625" customWidth="1"/>
    <col min="8" max="11" width="10.6640625" customWidth="1"/>
  </cols>
  <sheetData>
    <row r="3" spans="1:8" x14ac:dyDescent="0.2">
      <c r="A3" s="5" t="s">
        <v>263</v>
      </c>
      <c r="B3" s="5" t="s">
        <v>266</v>
      </c>
    </row>
    <row r="4" spans="1:8" x14ac:dyDescent="0.2">
      <c r="A4" s="5" t="s">
        <v>264</v>
      </c>
      <c r="B4" t="s">
        <v>130</v>
      </c>
      <c r="C4" t="s">
        <v>131</v>
      </c>
      <c r="D4" t="s">
        <v>125</v>
      </c>
      <c r="E4" t="s">
        <v>127</v>
      </c>
      <c r="F4" t="s">
        <v>129</v>
      </c>
      <c r="G4" t="s">
        <v>128</v>
      </c>
      <c r="H4" t="s">
        <v>265</v>
      </c>
    </row>
    <row r="5" spans="1:8" x14ac:dyDescent="0.2">
      <c r="A5" s="6" t="s">
        <v>73</v>
      </c>
      <c r="B5">
        <v>60</v>
      </c>
      <c r="C5">
        <v>85</v>
      </c>
      <c r="D5">
        <v>131.92000000000002</v>
      </c>
      <c r="E5">
        <v>242.29999999999995</v>
      </c>
      <c r="F5">
        <v>72.099999999999994</v>
      </c>
      <c r="G5">
        <v>384.8</v>
      </c>
      <c r="H5">
        <v>976.12000000000012</v>
      </c>
    </row>
    <row r="6" spans="1:8" x14ac:dyDescent="0.2">
      <c r="A6" s="6" t="s">
        <v>74</v>
      </c>
      <c r="B6">
        <v>56</v>
      </c>
      <c r="C6">
        <v>98</v>
      </c>
      <c r="D6">
        <v>185.56</v>
      </c>
      <c r="E6">
        <v>225.00000000000003</v>
      </c>
      <c r="F6">
        <v>74</v>
      </c>
      <c r="G6">
        <v>286.38</v>
      </c>
      <c r="H6">
        <v>924.94</v>
      </c>
    </row>
    <row r="7" spans="1:8" x14ac:dyDescent="0.2">
      <c r="A7" s="6" t="s">
        <v>75</v>
      </c>
      <c r="B7">
        <v>62</v>
      </c>
      <c r="C7">
        <v>65</v>
      </c>
      <c r="D7">
        <v>130</v>
      </c>
      <c r="E7">
        <v>155.60000000000005</v>
      </c>
      <c r="F7">
        <v>82.5</v>
      </c>
      <c r="G7">
        <v>355.08000000000004</v>
      </c>
      <c r="H7">
        <v>850.18000000000006</v>
      </c>
    </row>
    <row r="8" spans="1:8" x14ac:dyDescent="0.2">
      <c r="A8" s="6" t="s">
        <v>14</v>
      </c>
      <c r="B8">
        <v>66</v>
      </c>
      <c r="C8">
        <v>62</v>
      </c>
      <c r="D8">
        <v>169.44</v>
      </c>
      <c r="E8">
        <v>152.6</v>
      </c>
      <c r="F8">
        <v>88.100000000000009</v>
      </c>
      <c r="G8">
        <v>317.59999999999997</v>
      </c>
      <c r="H8">
        <v>855.74</v>
      </c>
    </row>
    <row r="9" spans="1:8" x14ac:dyDescent="0.2">
      <c r="A9" s="6" t="s">
        <v>18</v>
      </c>
      <c r="B9">
        <v>69</v>
      </c>
      <c r="C9">
        <v>103</v>
      </c>
      <c r="D9">
        <v>153.44</v>
      </c>
      <c r="E9">
        <v>286.7</v>
      </c>
      <c r="F9">
        <v>61.20000000000001</v>
      </c>
      <c r="G9">
        <v>383.49999999999994</v>
      </c>
      <c r="H9">
        <v>1056.8399999999999</v>
      </c>
    </row>
    <row r="10" spans="1:8" x14ac:dyDescent="0.2">
      <c r="A10" s="6" t="s">
        <v>77</v>
      </c>
      <c r="B10">
        <v>101</v>
      </c>
      <c r="C10">
        <v>86</v>
      </c>
      <c r="D10">
        <v>129.86000000000001</v>
      </c>
      <c r="E10">
        <v>272.20000000000005</v>
      </c>
      <c r="F10">
        <v>66.899999999999991</v>
      </c>
      <c r="G10">
        <v>275.7</v>
      </c>
      <c r="H10">
        <v>931.66000000000008</v>
      </c>
    </row>
    <row r="11" spans="1:8" x14ac:dyDescent="0.2">
      <c r="A11" s="6" t="s">
        <v>35</v>
      </c>
      <c r="B11">
        <v>74</v>
      </c>
      <c r="C11">
        <v>76</v>
      </c>
      <c r="D11">
        <v>123.36</v>
      </c>
      <c r="E11">
        <v>259</v>
      </c>
      <c r="F11">
        <v>67.52</v>
      </c>
      <c r="G11">
        <v>277.09999999999997</v>
      </c>
      <c r="H11">
        <v>876.98</v>
      </c>
    </row>
    <row r="12" spans="1:8" x14ac:dyDescent="0.2">
      <c r="A12" s="6" t="s">
        <v>31</v>
      </c>
      <c r="B12">
        <v>63</v>
      </c>
      <c r="C12">
        <v>102</v>
      </c>
      <c r="D12">
        <v>225.66</v>
      </c>
      <c r="E12">
        <v>306.7</v>
      </c>
      <c r="F12">
        <v>61.5</v>
      </c>
      <c r="G12">
        <v>241.71999999999997</v>
      </c>
      <c r="H12">
        <v>1000.5799999999999</v>
      </c>
    </row>
    <row r="13" spans="1:8" x14ac:dyDescent="0.2">
      <c r="A13" s="6" t="s">
        <v>76</v>
      </c>
      <c r="B13">
        <v>59</v>
      </c>
      <c r="C13">
        <v>66</v>
      </c>
      <c r="D13">
        <v>182.48000000000002</v>
      </c>
      <c r="E13">
        <v>283.39999999999998</v>
      </c>
      <c r="F13">
        <v>112.60000000000001</v>
      </c>
      <c r="G13">
        <v>345.6</v>
      </c>
      <c r="H13">
        <v>1049.08</v>
      </c>
    </row>
    <row r="14" spans="1:8" x14ac:dyDescent="0.2">
      <c r="A14" s="6" t="s">
        <v>42</v>
      </c>
      <c r="B14">
        <v>62</v>
      </c>
      <c r="C14">
        <v>79</v>
      </c>
      <c r="D14">
        <v>147.85999999999999</v>
      </c>
      <c r="E14">
        <v>297.2</v>
      </c>
      <c r="F14">
        <v>55.599999999999994</v>
      </c>
      <c r="G14">
        <v>294.20000000000005</v>
      </c>
      <c r="H14">
        <v>935.86</v>
      </c>
    </row>
    <row r="15" spans="1:8" x14ac:dyDescent="0.2">
      <c r="A15" s="6" t="s">
        <v>26</v>
      </c>
      <c r="B15">
        <v>83</v>
      </c>
      <c r="C15">
        <v>80</v>
      </c>
      <c r="D15">
        <v>181.14</v>
      </c>
      <c r="E15">
        <v>332.3</v>
      </c>
      <c r="F15">
        <v>55.5</v>
      </c>
      <c r="G15">
        <v>318.60000000000008</v>
      </c>
      <c r="H15">
        <v>1050.5400000000002</v>
      </c>
    </row>
    <row r="16" spans="1:8" x14ac:dyDescent="0.2">
      <c r="A16" s="6" t="s">
        <v>46</v>
      </c>
      <c r="B16">
        <v>91</v>
      </c>
      <c r="C16">
        <v>84</v>
      </c>
      <c r="D16">
        <v>162.26000000000002</v>
      </c>
      <c r="E16">
        <v>256.42</v>
      </c>
      <c r="F16">
        <v>99.699999999999989</v>
      </c>
      <c r="G16">
        <v>272.5</v>
      </c>
      <c r="H16">
        <v>965.88000000000011</v>
      </c>
    </row>
    <row r="17" spans="1:8" x14ac:dyDescent="0.2">
      <c r="A17" s="6" t="s">
        <v>265</v>
      </c>
      <c r="B17">
        <v>846</v>
      </c>
      <c r="C17">
        <v>986</v>
      </c>
      <c r="D17">
        <v>1922.9800000000002</v>
      </c>
      <c r="E17">
        <v>3069.42</v>
      </c>
      <c r="F17">
        <v>897.22</v>
      </c>
      <c r="G17">
        <v>3752.78</v>
      </c>
      <c r="H17">
        <v>11474.400000000001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H17"/>
  <sheetViews>
    <sheetView workbookViewId="0">
      <selection activeCell="G21" sqref="G21"/>
    </sheetView>
  </sheetViews>
  <sheetFormatPr baseColWidth="10" defaultRowHeight="16" x14ac:dyDescent="0.2"/>
  <cols>
    <col min="1" max="1" width="26.83203125" customWidth="1"/>
    <col min="2" max="2" width="15.5" bestFit="1" customWidth="1"/>
    <col min="3" max="3" width="5.1640625" customWidth="1"/>
    <col min="4" max="7" width="8.1640625" customWidth="1"/>
    <col min="8" max="11" width="10.6640625" customWidth="1"/>
  </cols>
  <sheetData>
    <row r="3" spans="1:8" x14ac:dyDescent="0.2">
      <c r="A3" s="5" t="s">
        <v>263</v>
      </c>
      <c r="B3" s="5" t="s">
        <v>266</v>
      </c>
    </row>
    <row r="4" spans="1:8" x14ac:dyDescent="0.2">
      <c r="A4" s="5" t="s">
        <v>264</v>
      </c>
      <c r="B4" t="s">
        <v>130</v>
      </c>
      <c r="C4" t="s">
        <v>131</v>
      </c>
      <c r="D4" t="s">
        <v>125</v>
      </c>
      <c r="E4" t="s">
        <v>127</v>
      </c>
      <c r="F4" t="s">
        <v>129</v>
      </c>
      <c r="G4" t="s">
        <v>128</v>
      </c>
      <c r="H4" t="s">
        <v>265</v>
      </c>
    </row>
    <row r="5" spans="1:8" x14ac:dyDescent="0.2">
      <c r="A5" s="6" t="s">
        <v>73</v>
      </c>
      <c r="B5">
        <v>60</v>
      </c>
      <c r="C5">
        <v>89</v>
      </c>
      <c r="D5">
        <v>138.36000000000001</v>
      </c>
      <c r="E5">
        <v>269.79999999999995</v>
      </c>
      <c r="F5">
        <v>77.099999999999994</v>
      </c>
      <c r="G5">
        <v>420.40000000000003</v>
      </c>
      <c r="H5">
        <v>1054.6600000000001</v>
      </c>
    </row>
    <row r="6" spans="1:8" x14ac:dyDescent="0.2">
      <c r="A6" s="6" t="s">
        <v>74</v>
      </c>
      <c r="B6">
        <v>52</v>
      </c>
      <c r="C6">
        <v>111</v>
      </c>
      <c r="D6">
        <v>215.24000000000004</v>
      </c>
      <c r="E6">
        <v>259.50000000000006</v>
      </c>
      <c r="F6">
        <v>81.5</v>
      </c>
      <c r="G6">
        <v>303.37999999999994</v>
      </c>
      <c r="H6">
        <v>1022.6199999999999</v>
      </c>
    </row>
    <row r="7" spans="1:8" x14ac:dyDescent="0.2">
      <c r="A7" s="6" t="s">
        <v>75</v>
      </c>
      <c r="B7">
        <v>71</v>
      </c>
      <c r="C7">
        <v>75</v>
      </c>
      <c r="D7">
        <v>136.30000000000001</v>
      </c>
      <c r="E7">
        <v>181.50000000000006</v>
      </c>
      <c r="F7">
        <v>98.9</v>
      </c>
      <c r="G7">
        <v>394.48</v>
      </c>
      <c r="H7">
        <v>957.18000000000006</v>
      </c>
    </row>
    <row r="8" spans="1:8" x14ac:dyDescent="0.2">
      <c r="A8" s="6" t="s">
        <v>14</v>
      </c>
      <c r="B8">
        <v>69</v>
      </c>
      <c r="C8">
        <v>72</v>
      </c>
      <c r="D8">
        <v>178.38</v>
      </c>
      <c r="E8">
        <v>181.2</v>
      </c>
      <c r="F8">
        <v>97.2</v>
      </c>
      <c r="G8">
        <v>349.19999999999993</v>
      </c>
      <c r="H8">
        <v>946.9799999999999</v>
      </c>
    </row>
    <row r="9" spans="1:8" x14ac:dyDescent="0.2">
      <c r="A9" s="6" t="s">
        <v>18</v>
      </c>
      <c r="B9">
        <v>92</v>
      </c>
      <c r="C9">
        <v>110</v>
      </c>
      <c r="D9">
        <v>162.01999999999998</v>
      </c>
      <c r="E9">
        <v>313.5</v>
      </c>
      <c r="F9">
        <v>64.600000000000009</v>
      </c>
      <c r="G9">
        <v>411.19999999999993</v>
      </c>
      <c r="H9">
        <v>1153.32</v>
      </c>
    </row>
    <row r="10" spans="1:8" x14ac:dyDescent="0.2">
      <c r="A10" s="6" t="s">
        <v>77</v>
      </c>
      <c r="B10">
        <v>109</v>
      </c>
      <c r="C10">
        <v>88</v>
      </c>
      <c r="D10">
        <v>139.63999999999999</v>
      </c>
      <c r="E10">
        <v>311.10000000000002</v>
      </c>
      <c r="F10">
        <v>68.8</v>
      </c>
      <c r="G10">
        <v>315.2</v>
      </c>
      <c r="H10">
        <v>1031.74</v>
      </c>
    </row>
    <row r="11" spans="1:8" x14ac:dyDescent="0.2">
      <c r="A11" s="6" t="s">
        <v>35</v>
      </c>
      <c r="B11">
        <v>83</v>
      </c>
      <c r="C11">
        <v>85</v>
      </c>
      <c r="D11">
        <v>133.6</v>
      </c>
      <c r="E11">
        <v>285.5</v>
      </c>
      <c r="F11">
        <v>78.72</v>
      </c>
      <c r="G11">
        <v>297.39999999999998</v>
      </c>
      <c r="H11">
        <v>963.22</v>
      </c>
    </row>
    <row r="12" spans="1:8" x14ac:dyDescent="0.2">
      <c r="A12" s="6" t="s">
        <v>31</v>
      </c>
      <c r="B12">
        <v>82</v>
      </c>
      <c r="C12">
        <v>115</v>
      </c>
      <c r="D12">
        <v>258.56</v>
      </c>
      <c r="E12">
        <v>333.29999999999995</v>
      </c>
      <c r="F12">
        <v>68.5</v>
      </c>
      <c r="G12">
        <v>266.72000000000003</v>
      </c>
      <c r="H12">
        <v>1124.08</v>
      </c>
    </row>
    <row r="13" spans="1:8" x14ac:dyDescent="0.2">
      <c r="A13" s="6" t="s">
        <v>76</v>
      </c>
      <c r="B13">
        <v>62</v>
      </c>
      <c r="C13">
        <v>70</v>
      </c>
      <c r="D13">
        <v>216.2</v>
      </c>
      <c r="E13">
        <v>301.5</v>
      </c>
      <c r="F13">
        <v>125.8</v>
      </c>
      <c r="G13">
        <v>403.1</v>
      </c>
      <c r="H13">
        <v>1178.5999999999999</v>
      </c>
    </row>
    <row r="14" spans="1:8" x14ac:dyDescent="0.2">
      <c r="A14" s="6" t="s">
        <v>42</v>
      </c>
      <c r="B14">
        <v>80</v>
      </c>
      <c r="C14">
        <v>82</v>
      </c>
      <c r="D14">
        <v>164.39999999999998</v>
      </c>
      <c r="E14">
        <v>328.7</v>
      </c>
      <c r="F14">
        <v>69.699999999999989</v>
      </c>
      <c r="G14">
        <v>314.90000000000009</v>
      </c>
      <c r="H14">
        <v>1039.7</v>
      </c>
    </row>
    <row r="15" spans="1:8" x14ac:dyDescent="0.2">
      <c r="A15" s="6" t="s">
        <v>26</v>
      </c>
      <c r="B15">
        <v>99</v>
      </c>
      <c r="C15">
        <v>90</v>
      </c>
      <c r="D15">
        <v>199.34</v>
      </c>
      <c r="E15">
        <v>349.3</v>
      </c>
      <c r="F15">
        <v>71.3</v>
      </c>
      <c r="G15">
        <v>331.90000000000009</v>
      </c>
      <c r="H15">
        <v>1140.8400000000001</v>
      </c>
    </row>
    <row r="16" spans="1:8" x14ac:dyDescent="0.2">
      <c r="A16" s="6" t="s">
        <v>46</v>
      </c>
      <c r="B16">
        <v>97</v>
      </c>
      <c r="C16">
        <v>96</v>
      </c>
      <c r="D16">
        <v>186.08</v>
      </c>
      <c r="E16">
        <v>275.62000000000006</v>
      </c>
      <c r="F16">
        <v>101.99999999999999</v>
      </c>
      <c r="G16">
        <v>309.20000000000005</v>
      </c>
      <c r="H16">
        <v>1065.9000000000001</v>
      </c>
    </row>
    <row r="17" spans="1:8" x14ac:dyDescent="0.2">
      <c r="A17" s="6" t="s">
        <v>265</v>
      </c>
      <c r="B17">
        <v>956</v>
      </c>
      <c r="C17">
        <v>1083</v>
      </c>
      <c r="D17">
        <v>2128.12</v>
      </c>
      <c r="E17">
        <v>3390.5199999999995</v>
      </c>
      <c r="F17">
        <v>1004.1199999999999</v>
      </c>
      <c r="G17">
        <v>4117.08</v>
      </c>
      <c r="H17">
        <v>12678.84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H17"/>
  <sheetViews>
    <sheetView workbookViewId="0">
      <selection activeCell="A5" sqref="A5:G16"/>
    </sheetView>
  </sheetViews>
  <sheetFormatPr baseColWidth="10" defaultRowHeight="16" x14ac:dyDescent="0.2"/>
  <cols>
    <col min="1" max="1" width="26.83203125" bestFit="1" customWidth="1"/>
    <col min="2" max="2" width="15.5" bestFit="1" customWidth="1"/>
    <col min="3" max="3" width="5.1640625" customWidth="1"/>
    <col min="4" max="7" width="8.1640625" customWidth="1"/>
    <col min="8" max="11" width="10.6640625" customWidth="1"/>
  </cols>
  <sheetData>
    <row r="3" spans="1:8" x14ac:dyDescent="0.2">
      <c r="A3" s="5" t="s">
        <v>263</v>
      </c>
      <c r="B3" s="5" t="s">
        <v>266</v>
      </c>
    </row>
    <row r="4" spans="1:8" x14ac:dyDescent="0.2">
      <c r="A4" s="5" t="s">
        <v>264</v>
      </c>
      <c r="B4" t="s">
        <v>130</v>
      </c>
      <c r="C4" t="s">
        <v>131</v>
      </c>
      <c r="D4" t="s">
        <v>125</v>
      </c>
      <c r="E4" t="s">
        <v>127</v>
      </c>
      <c r="F4" t="s">
        <v>129</v>
      </c>
      <c r="G4" t="s">
        <v>128</v>
      </c>
      <c r="H4" t="s">
        <v>265</v>
      </c>
    </row>
    <row r="5" spans="1:8" x14ac:dyDescent="0.2">
      <c r="A5" s="6" t="s">
        <v>73</v>
      </c>
      <c r="B5">
        <v>65</v>
      </c>
      <c r="C5">
        <v>113</v>
      </c>
      <c r="D5">
        <v>162</v>
      </c>
      <c r="E5">
        <v>288.09999999999997</v>
      </c>
      <c r="F5">
        <v>77.099999999999994</v>
      </c>
      <c r="G5">
        <v>441.30000000000007</v>
      </c>
      <c r="H5">
        <v>1146.5</v>
      </c>
    </row>
    <row r="6" spans="1:8" x14ac:dyDescent="0.2">
      <c r="A6" s="6" t="s">
        <v>74</v>
      </c>
      <c r="B6">
        <v>54</v>
      </c>
      <c r="C6">
        <v>116</v>
      </c>
      <c r="D6">
        <v>233.98000000000005</v>
      </c>
      <c r="E6">
        <v>269.60000000000008</v>
      </c>
      <c r="F6">
        <v>96.1</v>
      </c>
      <c r="G6">
        <v>340.38</v>
      </c>
      <c r="H6">
        <v>1110.0600000000002</v>
      </c>
    </row>
    <row r="7" spans="1:8" x14ac:dyDescent="0.2">
      <c r="A7" s="6" t="s">
        <v>75</v>
      </c>
      <c r="B7">
        <v>89</v>
      </c>
      <c r="C7">
        <v>80</v>
      </c>
      <c r="D7">
        <v>142.60000000000002</v>
      </c>
      <c r="E7">
        <v>199.00000000000006</v>
      </c>
      <c r="F7">
        <v>100.7</v>
      </c>
      <c r="G7">
        <v>461.38</v>
      </c>
      <c r="H7">
        <v>1072.68</v>
      </c>
    </row>
    <row r="8" spans="1:8" x14ac:dyDescent="0.2">
      <c r="A8" s="6" t="s">
        <v>14</v>
      </c>
      <c r="B8">
        <v>82</v>
      </c>
      <c r="C8">
        <v>78</v>
      </c>
      <c r="D8">
        <v>201.9</v>
      </c>
      <c r="E8">
        <v>197.79999999999998</v>
      </c>
      <c r="F8">
        <v>122.30000000000001</v>
      </c>
      <c r="G8">
        <v>386.99999999999994</v>
      </c>
      <c r="H8">
        <v>1069</v>
      </c>
    </row>
    <row r="9" spans="1:8" x14ac:dyDescent="0.2">
      <c r="A9" s="6" t="s">
        <v>18</v>
      </c>
      <c r="B9">
        <v>106</v>
      </c>
      <c r="C9">
        <v>115</v>
      </c>
      <c r="D9">
        <v>175.46</v>
      </c>
      <c r="E9">
        <v>349.5</v>
      </c>
      <c r="F9">
        <v>70.600000000000009</v>
      </c>
      <c r="G9">
        <v>445.69999999999993</v>
      </c>
      <c r="H9">
        <v>1262.26</v>
      </c>
    </row>
    <row r="10" spans="1:8" x14ac:dyDescent="0.2">
      <c r="A10" s="6" t="s">
        <v>77</v>
      </c>
      <c r="B10">
        <v>117</v>
      </c>
      <c r="C10">
        <v>93</v>
      </c>
      <c r="D10">
        <v>164.01999999999998</v>
      </c>
      <c r="E10">
        <v>356.7</v>
      </c>
      <c r="F10">
        <v>78.099999999999994</v>
      </c>
      <c r="G10">
        <v>346.1</v>
      </c>
      <c r="H10">
        <v>1154.92</v>
      </c>
    </row>
    <row r="11" spans="1:8" x14ac:dyDescent="0.2">
      <c r="A11" s="6" t="s">
        <v>35</v>
      </c>
      <c r="B11">
        <v>88</v>
      </c>
      <c r="C11">
        <v>97</v>
      </c>
      <c r="D11">
        <v>138.52000000000001</v>
      </c>
      <c r="E11">
        <v>326.00000000000006</v>
      </c>
      <c r="F11">
        <v>81.02</v>
      </c>
      <c r="G11">
        <v>331.2</v>
      </c>
      <c r="H11">
        <v>1061.74</v>
      </c>
    </row>
    <row r="12" spans="1:8" x14ac:dyDescent="0.2">
      <c r="A12" s="6" t="s">
        <v>31</v>
      </c>
      <c r="B12">
        <v>82</v>
      </c>
      <c r="C12">
        <v>125</v>
      </c>
      <c r="D12">
        <v>273.44</v>
      </c>
      <c r="E12">
        <v>357.89999999999992</v>
      </c>
      <c r="F12">
        <v>73.800000000000011</v>
      </c>
      <c r="G12">
        <v>318.62</v>
      </c>
      <c r="H12">
        <v>1230.7599999999998</v>
      </c>
    </row>
    <row r="13" spans="1:8" x14ac:dyDescent="0.2">
      <c r="A13" s="6" t="s">
        <v>76</v>
      </c>
      <c r="B13">
        <v>60</v>
      </c>
      <c r="C13">
        <v>81</v>
      </c>
      <c r="D13">
        <v>245.23999999999998</v>
      </c>
      <c r="E13">
        <v>330.8</v>
      </c>
      <c r="F13">
        <v>131.6</v>
      </c>
      <c r="G13">
        <v>440.3</v>
      </c>
      <c r="H13">
        <v>1288.94</v>
      </c>
    </row>
    <row r="14" spans="1:8" x14ac:dyDescent="0.2">
      <c r="A14" s="6" t="s">
        <v>42</v>
      </c>
      <c r="B14">
        <v>87</v>
      </c>
      <c r="C14">
        <v>91</v>
      </c>
      <c r="D14">
        <v>180.23999999999998</v>
      </c>
      <c r="E14">
        <v>356</v>
      </c>
      <c r="F14">
        <v>71.299999999999983</v>
      </c>
      <c r="G14">
        <v>343.90000000000009</v>
      </c>
      <c r="H14">
        <v>1129.44</v>
      </c>
    </row>
    <row r="15" spans="1:8" x14ac:dyDescent="0.2">
      <c r="A15" s="6" t="s">
        <v>26</v>
      </c>
      <c r="B15">
        <v>111</v>
      </c>
      <c r="C15">
        <v>92</v>
      </c>
      <c r="D15">
        <v>223.32</v>
      </c>
      <c r="E15">
        <v>390.7</v>
      </c>
      <c r="F15">
        <v>74.5</v>
      </c>
      <c r="G15">
        <v>359.40000000000009</v>
      </c>
      <c r="H15">
        <v>1250.92</v>
      </c>
    </row>
    <row r="16" spans="1:8" x14ac:dyDescent="0.2">
      <c r="A16" s="6" t="s">
        <v>46</v>
      </c>
      <c r="B16">
        <v>97</v>
      </c>
      <c r="C16">
        <v>108</v>
      </c>
      <c r="D16">
        <v>204.44</v>
      </c>
      <c r="E16">
        <v>320.0200000000001</v>
      </c>
      <c r="F16">
        <v>126.79999999999998</v>
      </c>
      <c r="G16">
        <v>350.30000000000007</v>
      </c>
      <c r="H16">
        <v>1206.56</v>
      </c>
    </row>
    <row r="17" spans="1:8" x14ac:dyDescent="0.2">
      <c r="A17" s="6" t="s">
        <v>265</v>
      </c>
      <c r="B17">
        <v>1038</v>
      </c>
      <c r="C17">
        <v>1189</v>
      </c>
      <c r="D17">
        <v>2345.1600000000003</v>
      </c>
      <c r="E17">
        <v>3742.12</v>
      </c>
      <c r="F17">
        <v>1103.92</v>
      </c>
      <c r="G17">
        <v>4565.58</v>
      </c>
      <c r="H17">
        <v>13983.78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H17"/>
  <sheetViews>
    <sheetView workbookViewId="0">
      <selection activeCell="A5" sqref="A5:G16"/>
    </sheetView>
  </sheetViews>
  <sheetFormatPr baseColWidth="10" defaultRowHeight="16" x14ac:dyDescent="0.2"/>
  <cols>
    <col min="1" max="1" width="26.83203125" bestFit="1" customWidth="1"/>
    <col min="2" max="2" width="15.5" bestFit="1" customWidth="1"/>
    <col min="3" max="3" width="5.1640625" customWidth="1"/>
    <col min="4" max="5" width="8.1640625" customWidth="1"/>
    <col min="6" max="7" width="8.1640625" bestFit="1" customWidth="1"/>
    <col min="8" max="10" width="10.6640625" bestFit="1" customWidth="1"/>
    <col min="11" max="11" width="10.6640625" customWidth="1"/>
    <col min="12" max="18" width="15.5" bestFit="1" customWidth="1"/>
    <col min="19" max="19" width="16.83203125" bestFit="1" customWidth="1"/>
    <col min="20" max="20" width="17.6640625" bestFit="1" customWidth="1"/>
  </cols>
  <sheetData>
    <row r="3" spans="1:8" x14ac:dyDescent="0.2">
      <c r="A3" s="5" t="s">
        <v>263</v>
      </c>
      <c r="B3" s="5" t="s">
        <v>266</v>
      </c>
    </row>
    <row r="4" spans="1:8" x14ac:dyDescent="0.2">
      <c r="A4" s="5" t="s">
        <v>264</v>
      </c>
      <c r="B4" t="s">
        <v>130</v>
      </c>
      <c r="C4" t="s">
        <v>131</v>
      </c>
      <c r="D4" t="s">
        <v>125</v>
      </c>
      <c r="E4" t="s">
        <v>127</v>
      </c>
      <c r="F4" t="s">
        <v>129</v>
      </c>
      <c r="G4" t="s">
        <v>128</v>
      </c>
      <c r="H4" t="s">
        <v>265</v>
      </c>
    </row>
    <row r="5" spans="1:8" x14ac:dyDescent="0.2">
      <c r="A5" s="6" t="s">
        <v>73</v>
      </c>
      <c r="B5">
        <v>65</v>
      </c>
      <c r="C5">
        <v>121</v>
      </c>
      <c r="D5">
        <v>174.98</v>
      </c>
      <c r="E5">
        <v>314.59999999999997</v>
      </c>
      <c r="F5">
        <v>86.699999999999989</v>
      </c>
      <c r="G5">
        <v>475.60000000000008</v>
      </c>
      <c r="H5">
        <v>1237.8800000000001</v>
      </c>
    </row>
    <row r="6" spans="1:8" x14ac:dyDescent="0.2">
      <c r="A6" s="6" t="s">
        <v>74</v>
      </c>
      <c r="B6">
        <v>54</v>
      </c>
      <c r="C6">
        <v>116</v>
      </c>
      <c r="D6">
        <v>249.04000000000005</v>
      </c>
      <c r="E6">
        <v>276.70000000000005</v>
      </c>
      <c r="F6">
        <v>99.5</v>
      </c>
      <c r="G6">
        <v>377.78</v>
      </c>
      <c r="H6">
        <v>1173.02</v>
      </c>
    </row>
    <row r="7" spans="1:8" x14ac:dyDescent="0.2">
      <c r="A7" s="6" t="s">
        <v>75</v>
      </c>
      <c r="B7">
        <v>107</v>
      </c>
      <c r="C7">
        <v>85</v>
      </c>
      <c r="D7">
        <v>154.96000000000004</v>
      </c>
      <c r="E7">
        <v>222.80000000000007</v>
      </c>
      <c r="F7">
        <v>109.89999999999999</v>
      </c>
      <c r="G7">
        <v>498.58</v>
      </c>
      <c r="H7">
        <v>1178.24</v>
      </c>
    </row>
    <row r="8" spans="1:8" x14ac:dyDescent="0.2">
      <c r="A8" s="6" t="s">
        <v>14</v>
      </c>
      <c r="B8">
        <v>90</v>
      </c>
      <c r="C8">
        <v>91</v>
      </c>
      <c r="D8">
        <v>220.56</v>
      </c>
      <c r="E8">
        <v>211.1</v>
      </c>
      <c r="F8">
        <v>141.5</v>
      </c>
      <c r="G8">
        <v>428.69999999999993</v>
      </c>
      <c r="H8">
        <v>1182.8599999999999</v>
      </c>
    </row>
    <row r="9" spans="1:8" x14ac:dyDescent="0.2">
      <c r="A9" s="6" t="s">
        <v>18</v>
      </c>
      <c r="B9">
        <v>115</v>
      </c>
      <c r="C9">
        <v>125</v>
      </c>
      <c r="D9">
        <v>205.86000000000004</v>
      </c>
      <c r="E9">
        <v>386.8</v>
      </c>
      <c r="F9">
        <v>77.300000000000011</v>
      </c>
      <c r="G9">
        <v>491.69999999999993</v>
      </c>
      <c r="H9">
        <v>1401.6599999999999</v>
      </c>
    </row>
    <row r="10" spans="1:8" x14ac:dyDescent="0.2">
      <c r="A10" s="6" t="s">
        <v>77</v>
      </c>
      <c r="B10">
        <v>126</v>
      </c>
      <c r="C10">
        <v>100</v>
      </c>
      <c r="D10">
        <v>179.70000000000002</v>
      </c>
      <c r="E10">
        <v>378.2</v>
      </c>
      <c r="F10">
        <v>85</v>
      </c>
      <c r="G10">
        <v>371.09999999999997</v>
      </c>
      <c r="H10">
        <v>1240</v>
      </c>
    </row>
    <row r="11" spans="1:8" x14ac:dyDescent="0.2">
      <c r="A11" s="6" t="s">
        <v>35</v>
      </c>
      <c r="B11">
        <v>101</v>
      </c>
      <c r="C11">
        <v>113</v>
      </c>
      <c r="D11">
        <v>149.28</v>
      </c>
      <c r="E11">
        <v>361.49999999999994</v>
      </c>
      <c r="F11">
        <v>84.919999999999987</v>
      </c>
      <c r="G11">
        <v>372.2000000000001</v>
      </c>
      <c r="H11">
        <v>1181.9000000000001</v>
      </c>
    </row>
    <row r="12" spans="1:8" x14ac:dyDescent="0.2">
      <c r="A12" s="6" t="s">
        <v>31</v>
      </c>
      <c r="B12">
        <v>88</v>
      </c>
      <c r="C12">
        <v>135</v>
      </c>
      <c r="D12">
        <v>296.02</v>
      </c>
      <c r="E12">
        <v>364.29999999999995</v>
      </c>
      <c r="F12">
        <v>86.6</v>
      </c>
      <c r="G12">
        <v>329.82</v>
      </c>
      <c r="H12">
        <v>1299.74</v>
      </c>
    </row>
    <row r="13" spans="1:8" x14ac:dyDescent="0.2">
      <c r="A13" s="6" t="s">
        <v>76</v>
      </c>
      <c r="B13">
        <v>63</v>
      </c>
      <c r="C13">
        <v>93</v>
      </c>
      <c r="D13">
        <v>255.53999999999996</v>
      </c>
      <c r="E13">
        <v>356.59999999999997</v>
      </c>
      <c r="F13">
        <v>148.80000000000001</v>
      </c>
      <c r="G13">
        <v>482.29999999999995</v>
      </c>
      <c r="H13">
        <v>1399.2399999999998</v>
      </c>
    </row>
    <row r="14" spans="1:8" x14ac:dyDescent="0.2">
      <c r="A14" s="6" t="s">
        <v>42</v>
      </c>
      <c r="B14">
        <v>98</v>
      </c>
      <c r="C14">
        <v>96</v>
      </c>
      <c r="D14">
        <v>208.99999999999997</v>
      </c>
      <c r="E14">
        <v>388.5</v>
      </c>
      <c r="F14">
        <v>74.699999999999989</v>
      </c>
      <c r="G14">
        <v>372.90000000000009</v>
      </c>
      <c r="H14">
        <v>1239.1000000000001</v>
      </c>
    </row>
    <row r="15" spans="1:8" x14ac:dyDescent="0.2">
      <c r="A15" s="6" t="s">
        <v>26</v>
      </c>
      <c r="B15">
        <v>117</v>
      </c>
      <c r="C15">
        <v>97</v>
      </c>
      <c r="D15">
        <v>234.07999999999998</v>
      </c>
      <c r="E15">
        <v>446.1</v>
      </c>
      <c r="F15">
        <v>87.6</v>
      </c>
      <c r="G15">
        <v>383.80000000000007</v>
      </c>
      <c r="H15">
        <v>1365.5800000000002</v>
      </c>
    </row>
    <row r="16" spans="1:8" x14ac:dyDescent="0.2">
      <c r="A16" s="6" t="s">
        <v>46</v>
      </c>
      <c r="B16">
        <v>98</v>
      </c>
      <c r="C16">
        <v>115</v>
      </c>
      <c r="D16">
        <v>223.86</v>
      </c>
      <c r="E16">
        <v>363.42000000000007</v>
      </c>
      <c r="F16">
        <v>132.6</v>
      </c>
      <c r="G16">
        <v>402.7000000000001</v>
      </c>
      <c r="H16">
        <v>1335.5800000000002</v>
      </c>
    </row>
    <row r="17" spans="1:8" x14ac:dyDescent="0.2">
      <c r="A17" s="6" t="s">
        <v>265</v>
      </c>
      <c r="B17">
        <v>1122</v>
      </c>
      <c r="C17">
        <v>1287</v>
      </c>
      <c r="D17">
        <v>2552.8799999999997</v>
      </c>
      <c r="E17">
        <v>4070.62</v>
      </c>
      <c r="F17">
        <v>1215.1199999999999</v>
      </c>
      <c r="G17">
        <v>4987.18</v>
      </c>
      <c r="H17">
        <v>15234.8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H17"/>
  <sheetViews>
    <sheetView workbookViewId="0">
      <selection activeCell="A5" sqref="A5:G16"/>
    </sheetView>
  </sheetViews>
  <sheetFormatPr baseColWidth="10" defaultRowHeight="16" x14ac:dyDescent="0.2"/>
  <cols>
    <col min="1" max="1" width="26.83203125" bestFit="1" customWidth="1"/>
    <col min="2" max="2" width="15.5" bestFit="1" customWidth="1"/>
    <col min="3" max="3" width="5.1640625" customWidth="1"/>
    <col min="4" max="7" width="8.1640625" customWidth="1"/>
    <col min="8" max="11" width="10.6640625" customWidth="1"/>
  </cols>
  <sheetData>
    <row r="3" spans="1:8" x14ac:dyDescent="0.2">
      <c r="A3" s="5" t="s">
        <v>263</v>
      </c>
      <c r="B3" s="5" t="s">
        <v>266</v>
      </c>
    </row>
    <row r="4" spans="1:8" x14ac:dyDescent="0.2">
      <c r="A4" s="5" t="s">
        <v>264</v>
      </c>
      <c r="B4" t="s">
        <v>130</v>
      </c>
      <c r="C4" t="s">
        <v>131</v>
      </c>
      <c r="D4" t="s">
        <v>125</v>
      </c>
      <c r="E4" t="s">
        <v>127</v>
      </c>
      <c r="F4" t="s">
        <v>129</v>
      </c>
      <c r="G4" t="s">
        <v>128</v>
      </c>
      <c r="H4" t="s">
        <v>265</v>
      </c>
    </row>
    <row r="5" spans="1:8" x14ac:dyDescent="0.2">
      <c r="A5" s="6" t="s">
        <v>73</v>
      </c>
      <c r="B5">
        <v>83</v>
      </c>
      <c r="C5">
        <v>136</v>
      </c>
      <c r="D5">
        <v>194.57999999999998</v>
      </c>
      <c r="E5">
        <v>341.2</v>
      </c>
      <c r="F5">
        <v>97.499999999999986</v>
      </c>
      <c r="G5">
        <v>504.90000000000009</v>
      </c>
      <c r="H5">
        <v>1357.18</v>
      </c>
    </row>
    <row r="6" spans="1:8" x14ac:dyDescent="0.2">
      <c r="A6" s="6" t="s">
        <v>74</v>
      </c>
      <c r="B6">
        <v>71</v>
      </c>
      <c r="C6">
        <v>120</v>
      </c>
      <c r="D6">
        <v>266.66000000000003</v>
      </c>
      <c r="E6">
        <v>303.00000000000011</v>
      </c>
      <c r="F6">
        <v>121.2</v>
      </c>
      <c r="G6">
        <v>418.17999999999995</v>
      </c>
      <c r="H6">
        <v>1300.04</v>
      </c>
    </row>
    <row r="7" spans="1:8" x14ac:dyDescent="0.2">
      <c r="A7" s="6" t="s">
        <v>75</v>
      </c>
      <c r="B7">
        <v>109</v>
      </c>
      <c r="C7">
        <v>88</v>
      </c>
      <c r="D7">
        <v>181.10000000000002</v>
      </c>
      <c r="E7">
        <v>236.90000000000009</v>
      </c>
      <c r="F7">
        <v>120.19999999999999</v>
      </c>
      <c r="G7">
        <v>537.48</v>
      </c>
      <c r="H7">
        <v>1272.68</v>
      </c>
    </row>
    <row r="8" spans="1:8" x14ac:dyDescent="0.2">
      <c r="A8" s="6" t="s">
        <v>14</v>
      </c>
      <c r="B8">
        <v>95</v>
      </c>
      <c r="C8">
        <v>97</v>
      </c>
      <c r="D8">
        <v>230.76</v>
      </c>
      <c r="E8">
        <v>232.29999999999998</v>
      </c>
      <c r="F8">
        <v>157.80000000000001</v>
      </c>
      <c r="G8">
        <v>467.79999999999995</v>
      </c>
      <c r="H8">
        <v>1280.6599999999999</v>
      </c>
    </row>
    <row r="9" spans="1:8" x14ac:dyDescent="0.2">
      <c r="A9" s="6" t="s">
        <v>18</v>
      </c>
      <c r="B9">
        <v>129</v>
      </c>
      <c r="C9">
        <v>134</v>
      </c>
      <c r="D9">
        <v>233.5</v>
      </c>
      <c r="E9">
        <v>414.7</v>
      </c>
      <c r="F9">
        <v>77.300000000000011</v>
      </c>
      <c r="G9">
        <v>518.19999999999993</v>
      </c>
      <c r="H9">
        <v>1506.6999999999998</v>
      </c>
    </row>
    <row r="10" spans="1:8" x14ac:dyDescent="0.2">
      <c r="A10" s="6" t="s">
        <v>77</v>
      </c>
      <c r="B10">
        <v>133</v>
      </c>
      <c r="C10">
        <v>107</v>
      </c>
      <c r="D10">
        <v>187.68</v>
      </c>
      <c r="E10">
        <v>403.50000000000006</v>
      </c>
      <c r="F10">
        <v>96</v>
      </c>
      <c r="G10">
        <v>411.5</v>
      </c>
      <c r="H10">
        <v>1338.68</v>
      </c>
    </row>
    <row r="11" spans="1:8" x14ac:dyDescent="0.2">
      <c r="A11" s="6" t="s">
        <v>35</v>
      </c>
      <c r="B11">
        <v>103</v>
      </c>
      <c r="C11">
        <v>125</v>
      </c>
      <c r="D11">
        <v>151.37999999999997</v>
      </c>
      <c r="E11">
        <v>393.5</v>
      </c>
      <c r="F11">
        <v>92.12</v>
      </c>
      <c r="G11">
        <v>392.60000000000008</v>
      </c>
      <c r="H11">
        <v>1257.6000000000001</v>
      </c>
    </row>
    <row r="12" spans="1:8" x14ac:dyDescent="0.2">
      <c r="A12" s="6" t="s">
        <v>31</v>
      </c>
      <c r="B12">
        <v>88</v>
      </c>
      <c r="C12">
        <v>148</v>
      </c>
      <c r="D12">
        <v>321.39999999999998</v>
      </c>
      <c r="E12">
        <v>398.49999999999994</v>
      </c>
      <c r="F12">
        <v>97.6</v>
      </c>
      <c r="G12">
        <v>355.02000000000004</v>
      </c>
      <c r="H12">
        <v>1408.5199999999998</v>
      </c>
    </row>
    <row r="13" spans="1:8" x14ac:dyDescent="0.2">
      <c r="A13" s="6" t="s">
        <v>76</v>
      </c>
      <c r="B13">
        <v>71</v>
      </c>
      <c r="C13">
        <v>104</v>
      </c>
      <c r="D13">
        <v>274.8</v>
      </c>
      <c r="E13">
        <v>375.89999999999992</v>
      </c>
      <c r="F13">
        <v>150</v>
      </c>
      <c r="G13">
        <v>528.5</v>
      </c>
      <c r="H13">
        <v>1504.1999999999998</v>
      </c>
    </row>
    <row r="14" spans="1:8" x14ac:dyDescent="0.2">
      <c r="A14" s="6" t="s">
        <v>42</v>
      </c>
      <c r="B14">
        <v>100</v>
      </c>
      <c r="C14">
        <v>112</v>
      </c>
      <c r="D14">
        <v>225.64</v>
      </c>
      <c r="E14">
        <v>418.6</v>
      </c>
      <c r="F14">
        <v>88.799999999999983</v>
      </c>
      <c r="G14">
        <v>402.50000000000011</v>
      </c>
      <c r="H14">
        <v>1347.54</v>
      </c>
    </row>
    <row r="15" spans="1:8" x14ac:dyDescent="0.2">
      <c r="A15" s="6" t="s">
        <v>26</v>
      </c>
      <c r="B15">
        <v>118</v>
      </c>
      <c r="C15">
        <v>107</v>
      </c>
      <c r="D15">
        <v>262.5</v>
      </c>
      <c r="E15">
        <v>482.6</v>
      </c>
      <c r="F15">
        <v>103.49999999999999</v>
      </c>
      <c r="G15">
        <v>411.60000000000008</v>
      </c>
      <c r="H15">
        <v>1485.2</v>
      </c>
    </row>
    <row r="16" spans="1:8" x14ac:dyDescent="0.2">
      <c r="A16" s="6" t="s">
        <v>46</v>
      </c>
      <c r="B16">
        <v>100</v>
      </c>
      <c r="C16">
        <v>128</v>
      </c>
      <c r="D16">
        <v>236.02000000000004</v>
      </c>
      <c r="E16">
        <v>402.92000000000013</v>
      </c>
      <c r="F16">
        <v>157.80000000000001</v>
      </c>
      <c r="G16">
        <v>431.70000000000005</v>
      </c>
      <c r="H16">
        <v>1456.4400000000003</v>
      </c>
    </row>
    <row r="17" spans="1:8" x14ac:dyDescent="0.2">
      <c r="A17" s="6" t="s">
        <v>265</v>
      </c>
      <c r="B17">
        <v>1200</v>
      </c>
      <c r="C17">
        <v>1406</v>
      </c>
      <c r="D17">
        <v>2766.02</v>
      </c>
      <c r="E17">
        <v>4403.6200000000008</v>
      </c>
      <c r="F17">
        <v>1359.82</v>
      </c>
      <c r="G17">
        <v>5379.9800000000005</v>
      </c>
      <c r="H17">
        <v>16515.440000000002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H17"/>
  <sheetViews>
    <sheetView workbookViewId="0">
      <selection activeCell="A5" sqref="A5:G16"/>
    </sheetView>
  </sheetViews>
  <sheetFormatPr baseColWidth="10" defaultRowHeight="16" x14ac:dyDescent="0.2"/>
  <cols>
    <col min="1" max="1" width="26.83203125" bestFit="1" customWidth="1"/>
    <col min="2" max="2" width="15.5" bestFit="1" customWidth="1"/>
    <col min="3" max="3" width="5.1640625" customWidth="1"/>
    <col min="4" max="7" width="8.1640625" customWidth="1"/>
    <col min="8" max="11" width="10.6640625" customWidth="1"/>
  </cols>
  <sheetData>
    <row r="3" spans="1:8" x14ac:dyDescent="0.2">
      <c r="A3" s="5" t="s">
        <v>263</v>
      </c>
      <c r="B3" s="5" t="s">
        <v>266</v>
      </c>
    </row>
    <row r="4" spans="1:8" x14ac:dyDescent="0.2">
      <c r="A4" s="5" t="s">
        <v>264</v>
      </c>
      <c r="B4" t="s">
        <v>130</v>
      </c>
      <c r="C4" t="s">
        <v>131</v>
      </c>
      <c r="D4" t="s">
        <v>125</v>
      </c>
      <c r="E4" t="s">
        <v>127</v>
      </c>
      <c r="F4" t="s">
        <v>129</v>
      </c>
      <c r="G4" t="s">
        <v>128</v>
      </c>
      <c r="H4" t="s">
        <v>265</v>
      </c>
    </row>
    <row r="5" spans="1:8" x14ac:dyDescent="0.2">
      <c r="A5" s="6" t="s">
        <v>73</v>
      </c>
      <c r="B5">
        <v>78</v>
      </c>
      <c r="C5">
        <v>147</v>
      </c>
      <c r="D5">
        <v>229.15999999999997</v>
      </c>
      <c r="E5">
        <v>377.29999999999995</v>
      </c>
      <c r="F5">
        <v>109.09999999999998</v>
      </c>
      <c r="G5">
        <v>544.10000000000014</v>
      </c>
      <c r="H5">
        <v>1484.66</v>
      </c>
    </row>
    <row r="6" spans="1:8" x14ac:dyDescent="0.2">
      <c r="A6" s="6" t="s">
        <v>74</v>
      </c>
      <c r="B6">
        <v>69</v>
      </c>
      <c r="C6">
        <v>126</v>
      </c>
      <c r="D6">
        <v>290.88000000000005</v>
      </c>
      <c r="E6">
        <v>331.7000000000001</v>
      </c>
      <c r="F6">
        <v>134.9</v>
      </c>
      <c r="G6">
        <v>472.9799999999999</v>
      </c>
      <c r="H6">
        <v>1425.46</v>
      </c>
    </row>
    <row r="7" spans="1:8" x14ac:dyDescent="0.2">
      <c r="A7" s="6" t="s">
        <v>75</v>
      </c>
      <c r="B7">
        <v>115</v>
      </c>
      <c r="C7">
        <v>96</v>
      </c>
      <c r="D7">
        <v>195.16000000000003</v>
      </c>
      <c r="E7">
        <v>285.10000000000002</v>
      </c>
      <c r="F7">
        <v>127.2</v>
      </c>
      <c r="G7">
        <v>574.88</v>
      </c>
      <c r="H7">
        <v>1393.3400000000001</v>
      </c>
    </row>
    <row r="8" spans="1:8" x14ac:dyDescent="0.2">
      <c r="A8" s="6" t="s">
        <v>14</v>
      </c>
      <c r="B8">
        <v>98</v>
      </c>
      <c r="C8">
        <v>99</v>
      </c>
      <c r="D8">
        <v>249.76</v>
      </c>
      <c r="E8">
        <v>259</v>
      </c>
      <c r="F8">
        <v>169.70000000000002</v>
      </c>
      <c r="G8">
        <v>493.29999999999995</v>
      </c>
      <c r="H8">
        <v>1368.76</v>
      </c>
    </row>
    <row r="9" spans="1:8" x14ac:dyDescent="0.2">
      <c r="A9" s="6" t="s">
        <v>18</v>
      </c>
      <c r="B9">
        <v>128</v>
      </c>
      <c r="C9">
        <v>143</v>
      </c>
      <c r="D9">
        <v>248.04000000000002</v>
      </c>
      <c r="E9">
        <v>434.9</v>
      </c>
      <c r="F9">
        <v>89.600000000000009</v>
      </c>
      <c r="G9">
        <v>562.29999999999984</v>
      </c>
      <c r="H9">
        <v>1605.8399999999997</v>
      </c>
    </row>
    <row r="10" spans="1:8" x14ac:dyDescent="0.2">
      <c r="A10" s="6" t="s">
        <v>77</v>
      </c>
      <c r="B10">
        <v>143</v>
      </c>
      <c r="C10">
        <v>122</v>
      </c>
      <c r="D10">
        <v>201.4</v>
      </c>
      <c r="E10">
        <v>433.49999999999994</v>
      </c>
      <c r="F10">
        <v>101.3</v>
      </c>
      <c r="G10">
        <v>464.89999999999992</v>
      </c>
      <c r="H10">
        <v>1466.0999999999997</v>
      </c>
    </row>
    <row r="11" spans="1:8" x14ac:dyDescent="0.2">
      <c r="A11" s="6" t="s">
        <v>35</v>
      </c>
      <c r="B11">
        <v>98</v>
      </c>
      <c r="C11">
        <v>130</v>
      </c>
      <c r="D11">
        <v>161.13999999999999</v>
      </c>
      <c r="E11">
        <v>395.80000000000007</v>
      </c>
      <c r="F11">
        <v>98.62</v>
      </c>
      <c r="G11">
        <v>422.50000000000011</v>
      </c>
      <c r="H11">
        <v>1306.0600000000002</v>
      </c>
    </row>
    <row r="12" spans="1:8" x14ac:dyDescent="0.2">
      <c r="A12" s="6" t="s">
        <v>31</v>
      </c>
      <c r="B12">
        <v>97</v>
      </c>
      <c r="C12">
        <v>153</v>
      </c>
      <c r="D12">
        <v>328.41999999999996</v>
      </c>
      <c r="E12">
        <v>409.19999999999993</v>
      </c>
      <c r="F12">
        <v>102.19999999999999</v>
      </c>
      <c r="G12">
        <v>395.32000000000005</v>
      </c>
      <c r="H12">
        <v>1485.1399999999999</v>
      </c>
    </row>
    <row r="13" spans="1:8" x14ac:dyDescent="0.2">
      <c r="A13" s="6" t="s">
        <v>76</v>
      </c>
      <c r="B13">
        <v>87</v>
      </c>
      <c r="C13">
        <v>115</v>
      </c>
      <c r="D13">
        <v>299.35999999999996</v>
      </c>
      <c r="E13">
        <v>395.7999999999999</v>
      </c>
      <c r="F13">
        <v>168.1</v>
      </c>
      <c r="G13">
        <v>588.9000000000002</v>
      </c>
      <c r="H13">
        <v>1654.1599999999999</v>
      </c>
    </row>
    <row r="14" spans="1:8" x14ac:dyDescent="0.2">
      <c r="A14" s="6" t="s">
        <v>42</v>
      </c>
      <c r="B14">
        <v>111</v>
      </c>
      <c r="C14">
        <v>116</v>
      </c>
      <c r="D14">
        <v>239.73999999999995</v>
      </c>
      <c r="E14">
        <v>444.70000000000005</v>
      </c>
      <c r="F14">
        <v>96.699999999999989</v>
      </c>
      <c r="G14">
        <v>451.90000000000009</v>
      </c>
      <c r="H14">
        <v>1460.0400000000002</v>
      </c>
    </row>
    <row r="15" spans="1:8" x14ac:dyDescent="0.2">
      <c r="A15" s="6" t="s">
        <v>26</v>
      </c>
      <c r="B15">
        <v>121</v>
      </c>
      <c r="C15">
        <v>119</v>
      </c>
      <c r="D15">
        <v>314.38</v>
      </c>
      <c r="E15">
        <v>529.19999999999993</v>
      </c>
      <c r="F15">
        <v>112</v>
      </c>
      <c r="G15">
        <v>438.00000000000006</v>
      </c>
      <c r="H15">
        <v>1633.58</v>
      </c>
    </row>
    <row r="16" spans="1:8" x14ac:dyDescent="0.2">
      <c r="A16" s="6" t="s">
        <v>46</v>
      </c>
      <c r="B16">
        <v>109</v>
      </c>
      <c r="C16">
        <v>135</v>
      </c>
      <c r="D16">
        <v>258.12000000000006</v>
      </c>
      <c r="E16">
        <v>444.42000000000013</v>
      </c>
      <c r="F16">
        <v>164.5</v>
      </c>
      <c r="G16">
        <v>502.30000000000007</v>
      </c>
      <c r="H16">
        <v>1613.3400000000001</v>
      </c>
    </row>
    <row r="17" spans="1:8" x14ac:dyDescent="0.2">
      <c r="A17" s="6" t="s">
        <v>265</v>
      </c>
      <c r="B17">
        <v>1254</v>
      </c>
      <c r="C17">
        <v>1501</v>
      </c>
      <c r="D17">
        <v>3015.56</v>
      </c>
      <c r="E17">
        <v>4740.62</v>
      </c>
      <c r="F17">
        <v>1473.9199999999998</v>
      </c>
      <c r="G17">
        <v>5911.38</v>
      </c>
      <c r="H17">
        <v>17896.48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1:P61"/>
  <sheetViews>
    <sheetView workbookViewId="0">
      <selection activeCell="A52" sqref="A52:A60"/>
    </sheetView>
  </sheetViews>
  <sheetFormatPr baseColWidth="10" defaultRowHeight="16" x14ac:dyDescent="0.2"/>
  <cols>
    <col min="1" max="1" width="29" customWidth="1"/>
  </cols>
  <sheetData>
    <row r="1" spans="1:16" x14ac:dyDescent="0.2">
      <c r="A1" t="s">
        <v>78</v>
      </c>
      <c r="B1" t="s">
        <v>0</v>
      </c>
      <c r="C1" s="4" t="s">
        <v>454</v>
      </c>
      <c r="D1" s="4" t="s">
        <v>455</v>
      </c>
      <c r="E1" s="4" t="s">
        <v>456</v>
      </c>
      <c r="F1" s="4" t="s">
        <v>457</v>
      </c>
      <c r="G1" s="4" t="s">
        <v>458</v>
      </c>
      <c r="H1" s="4" t="s">
        <v>459</v>
      </c>
      <c r="I1" s="4" t="s">
        <v>460</v>
      </c>
      <c r="J1" s="4" t="s">
        <v>461</v>
      </c>
      <c r="K1" s="4" t="s">
        <v>462</v>
      </c>
      <c r="L1" s="4" t="s">
        <v>463</v>
      </c>
      <c r="M1" s="4" t="s">
        <v>464</v>
      </c>
      <c r="N1" s="4" t="s">
        <v>465</v>
      </c>
      <c r="O1" s="4" t="s">
        <v>467</v>
      </c>
      <c r="P1" s="4" t="s">
        <v>479</v>
      </c>
    </row>
    <row r="2" spans="1:16" hidden="1" x14ac:dyDescent="0.2">
      <c r="A2" t="s">
        <v>46</v>
      </c>
      <c r="B2">
        <v>2024</v>
      </c>
      <c r="C2" s="4">
        <v>99.05</v>
      </c>
      <c r="D2" s="4">
        <v>105.28</v>
      </c>
      <c r="E2" s="4">
        <v>104.88999999999999</v>
      </c>
      <c r="F2" s="4">
        <v>109.49000000000001</v>
      </c>
      <c r="G2" s="4">
        <v>127.01499999999999</v>
      </c>
      <c r="H2" s="4">
        <v>118.955</v>
      </c>
      <c r="I2" s="4">
        <v>114.285</v>
      </c>
      <c r="J2" s="4">
        <v>125.55499999999999</v>
      </c>
      <c r="K2" s="4">
        <v>121.28</v>
      </c>
      <c r="L2" s="4">
        <v>130.88999999999999</v>
      </c>
      <c r="M2" s="4">
        <v>147.41</v>
      </c>
      <c r="N2" s="4">
        <v>142.815</v>
      </c>
      <c r="O2" s="4">
        <f>MAX(C2:N2)</f>
        <v>147.41</v>
      </c>
      <c r="P2">
        <f>MIN(C2:N2)</f>
        <v>99.05</v>
      </c>
    </row>
    <row r="3" spans="1:16" hidden="1" x14ac:dyDescent="0.2">
      <c r="A3" t="s">
        <v>466</v>
      </c>
      <c r="B3">
        <v>2021</v>
      </c>
      <c r="C3">
        <v>136.93</v>
      </c>
      <c r="D3">
        <v>132.255</v>
      </c>
      <c r="E3">
        <v>123.16999999999999</v>
      </c>
      <c r="F3">
        <v>127.69499999999999</v>
      </c>
      <c r="G3">
        <v>127.355</v>
      </c>
      <c r="H3">
        <v>114.985</v>
      </c>
      <c r="I3">
        <v>100.065</v>
      </c>
      <c r="J3">
        <v>91.585000000000008</v>
      </c>
      <c r="K3">
        <v>96.97</v>
      </c>
      <c r="L3">
        <v>116.13000000000001</v>
      </c>
      <c r="M3">
        <v>146.04</v>
      </c>
      <c r="N3">
        <v>143.13000000000002</v>
      </c>
      <c r="O3" s="4">
        <f>MAX(C3:N3)</f>
        <v>146.04</v>
      </c>
      <c r="P3">
        <f>MIN(C3:N3)</f>
        <v>91.585000000000008</v>
      </c>
    </row>
    <row r="4" spans="1:16" hidden="1" x14ac:dyDescent="0.2">
      <c r="A4" t="s">
        <v>22</v>
      </c>
      <c r="B4">
        <v>2021</v>
      </c>
      <c r="C4">
        <v>118.12</v>
      </c>
      <c r="D4">
        <v>129.08500000000001</v>
      </c>
      <c r="E4">
        <v>139.26499999999999</v>
      </c>
      <c r="F4">
        <v>130.15</v>
      </c>
      <c r="G4">
        <v>119.17500000000001</v>
      </c>
      <c r="H4">
        <v>99.44</v>
      </c>
      <c r="I4">
        <v>87.534999999999997</v>
      </c>
      <c r="J4">
        <v>99.38</v>
      </c>
      <c r="K4">
        <v>114.79999999999998</v>
      </c>
      <c r="L4">
        <v>130.86000000000001</v>
      </c>
      <c r="M4">
        <v>145.625</v>
      </c>
      <c r="N4">
        <v>141.28</v>
      </c>
      <c r="O4" s="4">
        <f>MAX(C4:N4)</f>
        <v>145.625</v>
      </c>
      <c r="P4">
        <f>MIN(C4:N4)</f>
        <v>87.534999999999997</v>
      </c>
    </row>
    <row r="5" spans="1:16" hidden="1" x14ac:dyDescent="0.2">
      <c r="A5" s="310" t="s">
        <v>44</v>
      </c>
      <c r="B5">
        <v>2023</v>
      </c>
      <c r="C5" s="4">
        <v>107.93</v>
      </c>
      <c r="D5" s="4">
        <v>113.38499999999999</v>
      </c>
      <c r="E5" s="4">
        <v>120.535</v>
      </c>
      <c r="F5" s="4">
        <v>126.88</v>
      </c>
      <c r="G5" s="4">
        <v>133.14499999999998</v>
      </c>
      <c r="H5" s="4">
        <v>130.285</v>
      </c>
      <c r="I5" s="4">
        <v>126.96499999999999</v>
      </c>
      <c r="J5" s="4">
        <v>134.11500000000001</v>
      </c>
      <c r="K5" s="4">
        <v>131.66500000000002</v>
      </c>
      <c r="L5" s="4">
        <v>130.79499999999999</v>
      </c>
      <c r="M5" s="4">
        <v>134.33000000000001</v>
      </c>
      <c r="N5" s="4">
        <v>114.19500000000001</v>
      </c>
      <c r="O5" s="4">
        <f>MAX(C5:N5)</f>
        <v>134.33000000000001</v>
      </c>
      <c r="P5">
        <f>MIN(C5:N5)</f>
        <v>107.93</v>
      </c>
    </row>
    <row r="6" spans="1:16" hidden="1" x14ac:dyDescent="0.2">
      <c r="A6" t="s">
        <v>15</v>
      </c>
      <c r="B6">
        <v>2021</v>
      </c>
      <c r="C6">
        <v>98.784999999999997</v>
      </c>
      <c r="D6">
        <v>105.35</v>
      </c>
      <c r="E6">
        <v>120.505</v>
      </c>
      <c r="F6">
        <v>117.94500000000001</v>
      </c>
      <c r="G6">
        <v>115.16000000000001</v>
      </c>
      <c r="H6">
        <v>115.985</v>
      </c>
      <c r="I6">
        <v>123.645</v>
      </c>
      <c r="J6">
        <v>127.26</v>
      </c>
      <c r="K6">
        <v>131.19</v>
      </c>
      <c r="L6">
        <v>136.72499999999999</v>
      </c>
      <c r="M6">
        <v>132.375</v>
      </c>
      <c r="N6">
        <v>134.31</v>
      </c>
      <c r="O6" s="4">
        <f>MAX(C6:N6)</f>
        <v>136.72499999999999</v>
      </c>
      <c r="P6">
        <f>MIN(C6:N6)</f>
        <v>98.784999999999997</v>
      </c>
    </row>
    <row r="7" spans="1:16" hidden="1" x14ac:dyDescent="0.2">
      <c r="A7" s="310" t="s">
        <v>453</v>
      </c>
      <c r="B7">
        <v>2024</v>
      </c>
      <c r="C7" s="4">
        <v>130.26499999999999</v>
      </c>
      <c r="D7" s="4">
        <v>126.45499999999998</v>
      </c>
      <c r="E7" s="4">
        <v>130.79</v>
      </c>
      <c r="F7" s="4">
        <v>122.215</v>
      </c>
      <c r="G7" s="4">
        <v>121.895</v>
      </c>
      <c r="H7" s="4">
        <v>119.83500000000001</v>
      </c>
      <c r="I7" s="4">
        <v>113.03500000000001</v>
      </c>
      <c r="J7" s="4">
        <v>107.25</v>
      </c>
      <c r="K7" s="4">
        <v>109.26</v>
      </c>
      <c r="L7" s="4">
        <v>115.265</v>
      </c>
      <c r="M7" s="4">
        <v>131.88499999999999</v>
      </c>
      <c r="N7" s="4">
        <v>138.26</v>
      </c>
      <c r="O7" s="4">
        <f>MAX(C7:N7)</f>
        <v>138.26</v>
      </c>
      <c r="P7">
        <f>MIN(C7:N7)</f>
        <v>107.25</v>
      </c>
    </row>
    <row r="8" spans="1:16" hidden="1" x14ac:dyDescent="0.2">
      <c r="A8" s="93" t="s">
        <v>42</v>
      </c>
      <c r="B8">
        <v>2022</v>
      </c>
      <c r="C8" s="4">
        <v>113.55000000000001</v>
      </c>
      <c r="D8" s="4">
        <v>96.210000000000008</v>
      </c>
      <c r="E8" s="4">
        <v>86.165000000000006</v>
      </c>
      <c r="F8" s="4">
        <v>85.765000000000001</v>
      </c>
      <c r="G8" s="4">
        <v>101.52</v>
      </c>
      <c r="H8" s="4">
        <v>105.19000000000001</v>
      </c>
      <c r="I8" s="4">
        <v>115.50500000000001</v>
      </c>
      <c r="J8" s="4">
        <v>121.27000000000001</v>
      </c>
      <c r="K8" s="4">
        <v>114.55499999999999</v>
      </c>
      <c r="L8" s="4">
        <v>129.60500000000002</v>
      </c>
      <c r="M8" s="4">
        <v>127.575</v>
      </c>
      <c r="N8" s="4">
        <v>127.36</v>
      </c>
      <c r="O8" s="4">
        <f>MAX(C8:N8)</f>
        <v>129.60500000000002</v>
      </c>
      <c r="P8">
        <f>MIN(C8:N8)</f>
        <v>85.765000000000001</v>
      </c>
    </row>
    <row r="9" spans="1:16" hidden="1" x14ac:dyDescent="0.2">
      <c r="A9" s="93" t="s">
        <v>38</v>
      </c>
      <c r="B9">
        <v>2022</v>
      </c>
      <c r="C9" s="4">
        <v>128.80500000000001</v>
      </c>
      <c r="D9" s="4">
        <v>123.565</v>
      </c>
      <c r="E9" s="4">
        <v>109.50999999999999</v>
      </c>
      <c r="F9" s="4">
        <v>105.83000000000001</v>
      </c>
      <c r="G9" s="4">
        <v>97.194999999999993</v>
      </c>
      <c r="H9" s="4">
        <v>111.83500000000001</v>
      </c>
      <c r="I9" s="4">
        <v>116.95500000000001</v>
      </c>
      <c r="J9" s="4">
        <v>117.17</v>
      </c>
      <c r="K9" s="4">
        <v>126.955</v>
      </c>
      <c r="L9" s="4">
        <v>119.83499999999999</v>
      </c>
      <c r="M9" s="4">
        <v>126.92999999999999</v>
      </c>
      <c r="N9" s="4">
        <v>118.19</v>
      </c>
      <c r="O9" s="4">
        <f>MAX(C9:N9)</f>
        <v>128.80500000000001</v>
      </c>
      <c r="P9">
        <f>MIN(C9:N9)</f>
        <v>97.194999999999993</v>
      </c>
    </row>
    <row r="10" spans="1:16" x14ac:dyDescent="0.2">
      <c r="A10" s="310" t="s">
        <v>524</v>
      </c>
      <c r="B10">
        <v>2025</v>
      </c>
      <c r="C10">
        <v>108.11499999999999</v>
      </c>
      <c r="D10">
        <v>102.91</v>
      </c>
      <c r="E10">
        <v>102.63</v>
      </c>
      <c r="F10">
        <v>102.59</v>
      </c>
      <c r="G10">
        <v>108.38</v>
      </c>
      <c r="H10">
        <v>110.77500000000001</v>
      </c>
      <c r="I10">
        <v>124.16</v>
      </c>
      <c r="J10">
        <v>133.59</v>
      </c>
      <c r="K10">
        <v>123.265</v>
      </c>
      <c r="L10">
        <v>120.265</v>
      </c>
      <c r="M10">
        <v>126.465</v>
      </c>
      <c r="O10" s="4">
        <f>MAX(C10:N10)</f>
        <v>133.59</v>
      </c>
      <c r="P10">
        <f>MIN(C10:N10)</f>
        <v>102.59</v>
      </c>
    </row>
    <row r="11" spans="1:16" hidden="1" x14ac:dyDescent="0.2">
      <c r="A11" s="93" t="s">
        <v>18</v>
      </c>
      <c r="B11">
        <v>2022</v>
      </c>
      <c r="C11" s="4">
        <v>117.31</v>
      </c>
      <c r="D11" s="4">
        <v>121.28</v>
      </c>
      <c r="E11" s="4">
        <v>117.80500000000001</v>
      </c>
      <c r="F11" s="4">
        <v>128.88</v>
      </c>
      <c r="G11" s="4">
        <v>121.54500000000002</v>
      </c>
      <c r="H11" s="4">
        <v>118.32</v>
      </c>
      <c r="I11" s="4">
        <v>113.85</v>
      </c>
      <c r="J11" s="4">
        <v>103.23500000000001</v>
      </c>
      <c r="K11" s="4">
        <v>123.83500000000001</v>
      </c>
      <c r="L11" s="4">
        <v>123.505</v>
      </c>
      <c r="M11" s="4">
        <v>124.295</v>
      </c>
      <c r="N11" s="4">
        <v>124.845</v>
      </c>
      <c r="O11" s="4">
        <f>MAX(C11:N11)</f>
        <v>128.88</v>
      </c>
      <c r="P11">
        <f>MIN(C11:N11)</f>
        <v>103.23500000000001</v>
      </c>
    </row>
    <row r="12" spans="1:16" hidden="1" x14ac:dyDescent="0.2">
      <c r="A12" s="310" t="s">
        <v>76</v>
      </c>
      <c r="B12">
        <v>2024</v>
      </c>
      <c r="C12" s="4">
        <v>119.86</v>
      </c>
      <c r="D12" s="4">
        <v>140.59</v>
      </c>
      <c r="E12" s="4">
        <v>136.41</v>
      </c>
      <c r="F12" s="4">
        <v>128.32999999999998</v>
      </c>
      <c r="G12" s="4">
        <v>128.97499999999999</v>
      </c>
      <c r="H12" s="4">
        <v>112.99000000000001</v>
      </c>
      <c r="I12" s="4">
        <v>114.59</v>
      </c>
      <c r="J12" s="4">
        <v>121.99000000000001</v>
      </c>
      <c r="K12" s="4">
        <v>119.52500000000001</v>
      </c>
      <c r="L12" s="4">
        <v>119.63</v>
      </c>
      <c r="M12" s="4">
        <v>124.16499999999999</v>
      </c>
      <c r="N12" s="4">
        <v>122.36499999999999</v>
      </c>
      <c r="O12" s="4">
        <f>MAX(C12:N12)</f>
        <v>140.59</v>
      </c>
      <c r="P12">
        <f>MIN(C12:N12)</f>
        <v>112.99000000000001</v>
      </c>
    </row>
    <row r="13" spans="1:16" hidden="1" x14ac:dyDescent="0.2">
      <c r="A13" s="93" t="s">
        <v>39</v>
      </c>
      <c r="B13">
        <v>2022</v>
      </c>
      <c r="C13" s="4">
        <v>99.885000000000005</v>
      </c>
      <c r="D13" s="4">
        <v>117.93</v>
      </c>
      <c r="E13" s="4">
        <v>117.47500000000001</v>
      </c>
      <c r="F13" s="4">
        <v>113.005</v>
      </c>
      <c r="G13" s="4">
        <v>127.54499999999999</v>
      </c>
      <c r="H13" s="4">
        <v>115.58500000000001</v>
      </c>
      <c r="I13" s="4">
        <v>113.685</v>
      </c>
      <c r="J13" s="4">
        <v>121.94499999999999</v>
      </c>
      <c r="K13" s="4">
        <v>108.44499999999999</v>
      </c>
      <c r="L13" s="4">
        <v>109.72999999999999</v>
      </c>
      <c r="M13" s="4">
        <v>123.72</v>
      </c>
      <c r="N13" s="4">
        <v>115.74</v>
      </c>
      <c r="O13" s="4">
        <f>MAX(C13:N13)</f>
        <v>127.54499999999999</v>
      </c>
      <c r="P13">
        <f>MIN(C13:N13)</f>
        <v>99.885000000000005</v>
      </c>
    </row>
    <row r="14" spans="1:16" x14ac:dyDescent="0.2">
      <c r="A14" s="310" t="s">
        <v>525</v>
      </c>
      <c r="B14">
        <v>2025</v>
      </c>
      <c r="C14">
        <v>111.435</v>
      </c>
      <c r="D14">
        <v>113.54</v>
      </c>
      <c r="E14">
        <v>111.77500000000001</v>
      </c>
      <c r="F14">
        <v>116.85999999999999</v>
      </c>
      <c r="G14">
        <v>117.25</v>
      </c>
      <c r="H14">
        <v>118.94</v>
      </c>
      <c r="I14">
        <v>127.83</v>
      </c>
      <c r="J14">
        <v>111.08</v>
      </c>
      <c r="K14">
        <v>119.565</v>
      </c>
      <c r="L14">
        <v>127.82000000000001</v>
      </c>
      <c r="M14">
        <v>122.97999999999999</v>
      </c>
      <c r="O14" s="4">
        <f>MAX(C14:N14)</f>
        <v>127.83</v>
      </c>
      <c r="P14">
        <f>MIN(C14:N14)</f>
        <v>111.08</v>
      </c>
    </row>
    <row r="15" spans="1:16" hidden="1" x14ac:dyDescent="0.2">
      <c r="A15" t="s">
        <v>35</v>
      </c>
      <c r="B15">
        <v>2023</v>
      </c>
      <c r="C15" s="4">
        <v>89.140000000000015</v>
      </c>
      <c r="D15" s="4">
        <v>94.559999999999988</v>
      </c>
      <c r="E15" s="4">
        <v>93.16</v>
      </c>
      <c r="F15" s="4">
        <v>91.355000000000004</v>
      </c>
      <c r="G15" s="4">
        <v>100.03</v>
      </c>
      <c r="H15" s="4">
        <v>89.19</v>
      </c>
      <c r="I15" s="4">
        <v>100.37</v>
      </c>
      <c r="J15" s="4">
        <v>111.155</v>
      </c>
      <c r="K15" s="4">
        <v>117.27</v>
      </c>
      <c r="L15" s="4">
        <v>127.76</v>
      </c>
      <c r="M15" s="4">
        <v>122.80000000000001</v>
      </c>
      <c r="N15" s="4">
        <v>117.245</v>
      </c>
      <c r="O15" s="4">
        <f>MAX(C15:N15)</f>
        <v>127.76</v>
      </c>
      <c r="P15">
        <f>MIN(C15:N15)</f>
        <v>89.140000000000015</v>
      </c>
    </row>
    <row r="16" spans="1:16" hidden="1" x14ac:dyDescent="0.2">
      <c r="A16" s="310" t="s">
        <v>14</v>
      </c>
      <c r="B16">
        <v>2023</v>
      </c>
      <c r="C16" s="4">
        <v>120.485</v>
      </c>
      <c r="D16" s="4">
        <v>112.80499999999999</v>
      </c>
      <c r="E16" s="4">
        <v>103.83499999999999</v>
      </c>
      <c r="F16" s="4">
        <v>105.97999999999999</v>
      </c>
      <c r="G16" s="4">
        <v>112.5</v>
      </c>
      <c r="H16" s="4">
        <v>119.55000000000001</v>
      </c>
      <c r="I16" s="4">
        <v>128.9</v>
      </c>
      <c r="J16" s="4">
        <v>130.44</v>
      </c>
      <c r="K16" s="4">
        <v>123.4</v>
      </c>
      <c r="L16" s="4">
        <v>133.12</v>
      </c>
      <c r="M16" s="4">
        <v>122.47499999999999</v>
      </c>
      <c r="N16" s="4">
        <v>128.02000000000001</v>
      </c>
      <c r="O16" s="4">
        <f>MAX(C16:N16)</f>
        <v>133.12</v>
      </c>
      <c r="P16">
        <f>MIN(C16:N16)</f>
        <v>103.83499999999999</v>
      </c>
    </row>
    <row r="17" spans="1:16" x14ac:dyDescent="0.2">
      <c r="A17" s="310" t="s">
        <v>35</v>
      </c>
      <c r="B17">
        <v>2025</v>
      </c>
      <c r="C17">
        <v>101.94</v>
      </c>
      <c r="D17">
        <v>107.19499999999999</v>
      </c>
      <c r="E17">
        <v>127.29</v>
      </c>
      <c r="F17">
        <v>136.29</v>
      </c>
      <c r="G17">
        <v>133.65499999999997</v>
      </c>
      <c r="H17">
        <v>142.01499999999999</v>
      </c>
      <c r="I17">
        <v>135.215</v>
      </c>
      <c r="J17">
        <v>128.83000000000001</v>
      </c>
      <c r="K17">
        <v>135.07999999999998</v>
      </c>
      <c r="L17">
        <v>130.345</v>
      </c>
      <c r="M17">
        <v>121.265</v>
      </c>
      <c r="O17" s="4">
        <f>MAX(C17:N17)</f>
        <v>142.01499999999999</v>
      </c>
      <c r="P17">
        <f>MIN(C17:N17)</f>
        <v>101.94</v>
      </c>
    </row>
    <row r="18" spans="1:16" hidden="1" x14ac:dyDescent="0.2">
      <c r="A18" s="310" t="s">
        <v>48</v>
      </c>
      <c r="B18">
        <v>2023</v>
      </c>
      <c r="C18" s="4">
        <v>118.72499999999999</v>
      </c>
      <c r="D18" s="4">
        <v>125.43</v>
      </c>
      <c r="E18" s="4">
        <v>123.73000000000002</v>
      </c>
      <c r="F18" s="4">
        <v>117.88</v>
      </c>
      <c r="G18" s="4">
        <v>125.09</v>
      </c>
      <c r="H18" s="4">
        <v>126.07</v>
      </c>
      <c r="I18" s="4">
        <v>136.31</v>
      </c>
      <c r="J18" s="4">
        <v>134.31</v>
      </c>
      <c r="K18" s="4">
        <v>122.35499999999999</v>
      </c>
      <c r="L18" s="4">
        <v>132.68</v>
      </c>
      <c r="M18" s="4">
        <v>121.125</v>
      </c>
      <c r="N18" s="4">
        <v>122.47500000000001</v>
      </c>
      <c r="O18" s="4">
        <f>MAX(C18:N18)</f>
        <v>136.31</v>
      </c>
      <c r="P18">
        <f>MIN(C18:N18)</f>
        <v>117.88</v>
      </c>
    </row>
    <row r="19" spans="1:16" x14ac:dyDescent="0.2">
      <c r="A19" s="310" t="s">
        <v>18</v>
      </c>
      <c r="B19">
        <v>2025</v>
      </c>
      <c r="C19">
        <v>116.73999999999998</v>
      </c>
      <c r="D19">
        <v>105.09</v>
      </c>
      <c r="E19">
        <v>110.845</v>
      </c>
      <c r="F19">
        <v>120.435</v>
      </c>
      <c r="G19">
        <v>137.44</v>
      </c>
      <c r="H19">
        <v>146.61000000000001</v>
      </c>
      <c r="I19">
        <v>131.19</v>
      </c>
      <c r="J19">
        <v>125.675</v>
      </c>
      <c r="K19">
        <v>115.435</v>
      </c>
      <c r="L19">
        <v>107.095</v>
      </c>
      <c r="M19">
        <v>121.08</v>
      </c>
      <c r="O19" s="4">
        <f>MAX(C19:N19)</f>
        <v>146.61000000000001</v>
      </c>
      <c r="P19">
        <f>MIN(C19:N19)</f>
        <v>105.09</v>
      </c>
    </row>
    <row r="20" spans="1:16" hidden="1" x14ac:dyDescent="0.2">
      <c r="A20" t="s">
        <v>18</v>
      </c>
      <c r="B20">
        <v>2023</v>
      </c>
      <c r="C20" s="4">
        <v>109.35</v>
      </c>
      <c r="D20" s="4">
        <v>106.78999999999999</v>
      </c>
      <c r="E20" s="4">
        <v>102.14</v>
      </c>
      <c r="F20" s="4">
        <v>101.64</v>
      </c>
      <c r="G20" s="4">
        <v>102.52000000000001</v>
      </c>
      <c r="H20" s="4">
        <v>108.38000000000001</v>
      </c>
      <c r="I20" s="4">
        <v>100.92000000000002</v>
      </c>
      <c r="J20" s="4">
        <v>115.045</v>
      </c>
      <c r="K20" s="4">
        <v>116.815</v>
      </c>
      <c r="L20" s="4">
        <v>112.61000000000001</v>
      </c>
      <c r="M20" s="4">
        <v>120.38500000000001</v>
      </c>
      <c r="N20" s="4">
        <v>103.26</v>
      </c>
      <c r="O20" s="4">
        <f>MAX(C20:N20)</f>
        <v>120.38500000000001</v>
      </c>
      <c r="P20">
        <f>MIN(C20:N20)</f>
        <v>100.92000000000002</v>
      </c>
    </row>
    <row r="21" spans="1:16" hidden="1" x14ac:dyDescent="0.2">
      <c r="A21" s="310" t="s">
        <v>18</v>
      </c>
      <c r="B21">
        <v>2024</v>
      </c>
      <c r="C21" s="4">
        <v>129.07999999999998</v>
      </c>
      <c r="D21" s="4">
        <v>119.51</v>
      </c>
      <c r="E21" s="4">
        <v>118.815</v>
      </c>
      <c r="F21" s="4">
        <v>113.685</v>
      </c>
      <c r="G21" s="4">
        <v>114.69</v>
      </c>
      <c r="H21" s="4">
        <v>120.95</v>
      </c>
      <c r="I21" s="4">
        <v>114.905</v>
      </c>
      <c r="J21" s="4">
        <v>115.33</v>
      </c>
      <c r="K21" s="4">
        <v>121.145</v>
      </c>
      <c r="L21" s="4">
        <v>117.28999999999999</v>
      </c>
      <c r="M21" s="4">
        <v>119.85499999999999</v>
      </c>
      <c r="N21" s="4">
        <v>135.48000000000002</v>
      </c>
      <c r="O21" s="4">
        <f>MAX(C21:N21)</f>
        <v>135.48000000000002</v>
      </c>
      <c r="P21">
        <f>MIN(C21:N21)</f>
        <v>113.685</v>
      </c>
    </row>
    <row r="22" spans="1:16" hidden="1" x14ac:dyDescent="0.2">
      <c r="A22" t="s">
        <v>18</v>
      </c>
      <c r="B22">
        <v>2021</v>
      </c>
      <c r="C22">
        <v>135.69499999999999</v>
      </c>
      <c r="D22">
        <v>148.05500000000001</v>
      </c>
      <c r="E22">
        <v>135.655</v>
      </c>
      <c r="F22">
        <v>135.285</v>
      </c>
      <c r="G22">
        <v>126.52000000000001</v>
      </c>
      <c r="H22">
        <v>112.875</v>
      </c>
      <c r="I22">
        <v>109.345</v>
      </c>
      <c r="J22">
        <v>101.80500000000001</v>
      </c>
      <c r="K22">
        <v>94.759999999999991</v>
      </c>
      <c r="L22">
        <v>107.565</v>
      </c>
      <c r="M22">
        <v>117.67999999999998</v>
      </c>
      <c r="N22">
        <v>121.185</v>
      </c>
      <c r="O22" s="4">
        <f>MAX(C22:N22)</f>
        <v>148.05500000000001</v>
      </c>
      <c r="P22">
        <f>MIN(C22:N22)</f>
        <v>94.759999999999991</v>
      </c>
    </row>
    <row r="23" spans="1:16" hidden="1" x14ac:dyDescent="0.2">
      <c r="A23" t="s">
        <v>26</v>
      </c>
      <c r="B23">
        <v>2021</v>
      </c>
      <c r="C23">
        <v>109.605</v>
      </c>
      <c r="D23">
        <v>106.00999999999999</v>
      </c>
      <c r="E23">
        <v>106.045</v>
      </c>
      <c r="F23">
        <v>99.72</v>
      </c>
      <c r="G23">
        <v>96.935000000000002</v>
      </c>
      <c r="H23">
        <v>96.425000000000011</v>
      </c>
      <c r="I23">
        <v>98.534999999999997</v>
      </c>
      <c r="J23">
        <v>116.46</v>
      </c>
      <c r="K23">
        <v>122.63499999999999</v>
      </c>
      <c r="L23">
        <v>113.55499999999999</v>
      </c>
      <c r="M23">
        <v>116.52</v>
      </c>
      <c r="N23">
        <v>103.21499999999999</v>
      </c>
      <c r="O23" s="4">
        <f>MAX(C23:N23)</f>
        <v>122.63499999999999</v>
      </c>
      <c r="P23">
        <f>MIN(C23:N23)</f>
        <v>96.425000000000011</v>
      </c>
    </row>
    <row r="24" spans="1:16" hidden="1" x14ac:dyDescent="0.2">
      <c r="A24" t="s">
        <v>75</v>
      </c>
      <c r="B24">
        <v>2024</v>
      </c>
      <c r="C24" s="4">
        <v>101.785</v>
      </c>
      <c r="D24" s="4">
        <v>114.97</v>
      </c>
      <c r="E24" s="4">
        <v>104.295</v>
      </c>
      <c r="F24" s="4">
        <v>101.35</v>
      </c>
      <c r="G24" s="4">
        <v>100.78999999999999</v>
      </c>
      <c r="H24" s="4">
        <v>93.694999999999993</v>
      </c>
      <c r="I24" s="4">
        <v>100.47500000000001</v>
      </c>
      <c r="J24" s="4">
        <v>107.43</v>
      </c>
      <c r="K24" s="4">
        <v>109.46000000000001</v>
      </c>
      <c r="L24" s="4">
        <v>112.575</v>
      </c>
      <c r="M24" s="4">
        <v>116.39000000000001</v>
      </c>
      <c r="N24" s="4">
        <v>114.60000000000001</v>
      </c>
      <c r="O24" s="4">
        <f>MAX(C24:N24)</f>
        <v>116.39000000000001</v>
      </c>
      <c r="P24">
        <f>MIN(C24:N24)</f>
        <v>93.694999999999993</v>
      </c>
    </row>
    <row r="25" spans="1:16" hidden="1" x14ac:dyDescent="0.2">
      <c r="A25" t="s">
        <v>52</v>
      </c>
      <c r="B25">
        <v>2023</v>
      </c>
      <c r="C25" s="4">
        <v>101.625</v>
      </c>
      <c r="D25" s="4">
        <v>110.595</v>
      </c>
      <c r="E25" s="4">
        <v>118.205</v>
      </c>
      <c r="F25" s="4">
        <v>114.01</v>
      </c>
      <c r="G25" s="4">
        <v>99.69</v>
      </c>
      <c r="H25" s="4">
        <v>92.18</v>
      </c>
      <c r="I25" s="4">
        <v>83.745000000000005</v>
      </c>
      <c r="J25" s="4">
        <v>81.69</v>
      </c>
      <c r="K25" s="4">
        <v>93.88</v>
      </c>
      <c r="L25" s="4">
        <v>102.965</v>
      </c>
      <c r="M25" s="4">
        <v>114.57499999999999</v>
      </c>
      <c r="N25" s="4">
        <v>119.02</v>
      </c>
      <c r="O25" s="4">
        <f>MAX(C25:N25)</f>
        <v>119.02</v>
      </c>
      <c r="P25">
        <f>MIN(C25:N25)</f>
        <v>81.69</v>
      </c>
    </row>
    <row r="26" spans="1:16" hidden="1" x14ac:dyDescent="0.2">
      <c r="A26" t="s">
        <v>14</v>
      </c>
      <c r="B26">
        <v>2024</v>
      </c>
      <c r="C26" s="4">
        <v>92.66</v>
      </c>
      <c r="D26" s="4">
        <v>89.490000000000009</v>
      </c>
      <c r="E26" s="4">
        <v>89.815000000000012</v>
      </c>
      <c r="F26" s="4">
        <v>96.47</v>
      </c>
      <c r="G26" s="4">
        <v>99.605000000000004</v>
      </c>
      <c r="H26" s="4">
        <v>104.49999999999999</v>
      </c>
      <c r="I26" s="4">
        <v>105.41</v>
      </c>
      <c r="J26" s="4">
        <v>114.76499999999999</v>
      </c>
      <c r="K26" s="4">
        <v>114.05</v>
      </c>
      <c r="L26" s="4">
        <v>113.13</v>
      </c>
      <c r="M26" s="4">
        <v>114.54500000000002</v>
      </c>
      <c r="N26" s="4">
        <v>102.35000000000001</v>
      </c>
      <c r="O26" s="4">
        <f>MAX(C26:N26)</f>
        <v>114.76499999999999</v>
      </c>
      <c r="P26">
        <f>MIN(C26:N26)</f>
        <v>89.490000000000009</v>
      </c>
    </row>
    <row r="27" spans="1:16" hidden="1" x14ac:dyDescent="0.2">
      <c r="A27" s="310" t="s">
        <v>14</v>
      </c>
      <c r="B27">
        <v>2021</v>
      </c>
      <c r="C27">
        <v>124.54</v>
      </c>
      <c r="D27">
        <v>115.07</v>
      </c>
      <c r="E27">
        <v>118.13499999999999</v>
      </c>
      <c r="F27">
        <v>118.19</v>
      </c>
      <c r="G27">
        <v>119.745</v>
      </c>
      <c r="H27">
        <v>112.60000000000001</v>
      </c>
      <c r="I27">
        <v>106.515</v>
      </c>
      <c r="J27">
        <v>109.80000000000001</v>
      </c>
      <c r="K27">
        <v>113.17500000000001</v>
      </c>
      <c r="L27">
        <v>120.56</v>
      </c>
      <c r="M27">
        <v>114.15</v>
      </c>
      <c r="N27">
        <v>104.465</v>
      </c>
      <c r="O27" s="4">
        <f>MAX(C27:N27)</f>
        <v>124.54</v>
      </c>
      <c r="P27">
        <f>MIN(C27:N27)</f>
        <v>104.465</v>
      </c>
    </row>
    <row r="28" spans="1:16" x14ac:dyDescent="0.2">
      <c r="A28" s="310" t="s">
        <v>14</v>
      </c>
      <c r="B28">
        <v>2025</v>
      </c>
      <c r="C28">
        <v>116.765</v>
      </c>
      <c r="D28">
        <v>119.14</v>
      </c>
      <c r="E28">
        <v>109.325</v>
      </c>
      <c r="F28">
        <v>103.44</v>
      </c>
      <c r="G28">
        <v>102.4</v>
      </c>
      <c r="H28">
        <v>100.45</v>
      </c>
      <c r="I28">
        <v>102.55000000000001</v>
      </c>
      <c r="J28">
        <v>102.38499999999999</v>
      </c>
      <c r="K28">
        <v>103.46</v>
      </c>
      <c r="L28">
        <v>97.679999999999993</v>
      </c>
      <c r="M28">
        <v>113.38</v>
      </c>
      <c r="O28" s="4">
        <f>MAX(C28:N28)</f>
        <v>119.14</v>
      </c>
      <c r="P28">
        <f>MIN(C28:N28)</f>
        <v>97.679999999999993</v>
      </c>
    </row>
    <row r="29" spans="1:16" hidden="1" x14ac:dyDescent="0.2">
      <c r="A29" t="s">
        <v>50</v>
      </c>
      <c r="B29">
        <v>2023</v>
      </c>
      <c r="C29" s="4">
        <v>106.11500000000001</v>
      </c>
      <c r="D29" s="4">
        <v>117.565</v>
      </c>
      <c r="E29" s="4">
        <v>117.55000000000001</v>
      </c>
      <c r="F29" s="4">
        <v>96.57</v>
      </c>
      <c r="G29" s="4">
        <v>94.059999999999988</v>
      </c>
      <c r="H29" s="4">
        <v>80.424999999999997</v>
      </c>
      <c r="I29" s="4">
        <v>91.474999999999994</v>
      </c>
      <c r="J29" s="4">
        <v>105.58</v>
      </c>
      <c r="K29" s="4">
        <v>111.36</v>
      </c>
      <c r="L29" s="4">
        <v>121.36499999999999</v>
      </c>
      <c r="M29" s="4">
        <v>113.23499999999999</v>
      </c>
      <c r="N29" s="4">
        <v>111.60999999999999</v>
      </c>
      <c r="O29" s="4">
        <f>MAX(C29:N29)</f>
        <v>121.36499999999999</v>
      </c>
      <c r="P29">
        <f>MIN(C29:N29)</f>
        <v>80.424999999999997</v>
      </c>
    </row>
    <row r="30" spans="1:16" hidden="1" x14ac:dyDescent="0.2">
      <c r="A30" t="s">
        <v>42</v>
      </c>
      <c r="B30">
        <v>2024</v>
      </c>
      <c r="C30" s="4">
        <v>103.39000000000001</v>
      </c>
      <c r="D30" s="4">
        <v>110.28999999999999</v>
      </c>
      <c r="E30" s="4">
        <v>115.905</v>
      </c>
      <c r="F30" s="4">
        <v>112.2</v>
      </c>
      <c r="G30" s="4">
        <v>111.16499999999999</v>
      </c>
      <c r="H30" s="4">
        <v>110.14</v>
      </c>
      <c r="I30" s="4">
        <v>110.47499999999999</v>
      </c>
      <c r="J30" s="4">
        <v>109.77000000000001</v>
      </c>
      <c r="K30" s="4">
        <v>114.12</v>
      </c>
      <c r="L30" s="4">
        <v>113.22</v>
      </c>
      <c r="M30" s="4">
        <v>112.85999999999999</v>
      </c>
      <c r="N30" s="4">
        <v>132.04000000000002</v>
      </c>
      <c r="O30" s="4">
        <f>MAX(C30:N30)</f>
        <v>132.04000000000002</v>
      </c>
      <c r="P30">
        <f>MIN(C30:N30)</f>
        <v>103.39000000000001</v>
      </c>
    </row>
    <row r="31" spans="1:16" hidden="1" x14ac:dyDescent="0.2">
      <c r="A31" t="s">
        <v>77</v>
      </c>
      <c r="B31">
        <v>2024</v>
      </c>
      <c r="C31" s="4">
        <v>109.59</v>
      </c>
      <c r="D31" s="4">
        <v>101.00999999999999</v>
      </c>
      <c r="E31" s="4">
        <v>96.83</v>
      </c>
      <c r="F31" s="4">
        <v>111.86499999999999</v>
      </c>
      <c r="G31" s="4">
        <v>105.28999999999999</v>
      </c>
      <c r="H31" s="4">
        <v>115.715</v>
      </c>
      <c r="I31" s="4">
        <v>117.51499999999999</v>
      </c>
      <c r="J31" s="4">
        <v>115.60000000000001</v>
      </c>
      <c r="K31" s="4">
        <v>112.17</v>
      </c>
      <c r="L31" s="4">
        <v>106.95500000000001</v>
      </c>
      <c r="M31" s="4">
        <v>112.74000000000001</v>
      </c>
      <c r="N31" s="4">
        <v>98.745000000000005</v>
      </c>
      <c r="O31" s="4">
        <f>MAX(C31:N31)</f>
        <v>117.51499999999999</v>
      </c>
      <c r="P31">
        <f>MIN(C31:N31)</f>
        <v>96.83</v>
      </c>
    </row>
    <row r="32" spans="1:16" hidden="1" x14ac:dyDescent="0.2">
      <c r="A32" s="93" t="s">
        <v>44</v>
      </c>
      <c r="B32">
        <v>2022</v>
      </c>
      <c r="C32" s="4">
        <v>112.35999999999999</v>
      </c>
      <c r="D32" s="4">
        <v>103.22999999999999</v>
      </c>
      <c r="E32" s="4">
        <v>97.634999999999991</v>
      </c>
      <c r="F32" s="4">
        <v>110.74499999999999</v>
      </c>
      <c r="G32" s="4">
        <v>104.24</v>
      </c>
      <c r="H32" s="4">
        <v>104.88</v>
      </c>
      <c r="I32" s="4">
        <v>106.58499999999999</v>
      </c>
      <c r="J32" s="4">
        <v>110.245</v>
      </c>
      <c r="K32" s="4">
        <v>111.71000000000001</v>
      </c>
      <c r="L32" s="4">
        <v>118.605</v>
      </c>
      <c r="M32" s="4">
        <v>112.66500000000002</v>
      </c>
      <c r="N32" s="4">
        <v>110.73500000000001</v>
      </c>
      <c r="O32" s="4">
        <f>MAX(C32:N32)</f>
        <v>118.605</v>
      </c>
      <c r="P32">
        <f>MIN(C32:N32)</f>
        <v>97.634999999999991</v>
      </c>
    </row>
    <row r="33" spans="1:16" hidden="1" x14ac:dyDescent="0.2">
      <c r="A33" s="312" t="s">
        <v>14</v>
      </c>
      <c r="B33">
        <v>2022</v>
      </c>
      <c r="C33" s="4">
        <v>112.14000000000001</v>
      </c>
      <c r="D33" s="4">
        <v>118.905</v>
      </c>
      <c r="E33" s="4">
        <v>129.215</v>
      </c>
      <c r="F33" s="4">
        <v>127.675</v>
      </c>
      <c r="G33" s="4">
        <v>124.315</v>
      </c>
      <c r="H33" s="4">
        <v>121.63</v>
      </c>
      <c r="I33" s="4">
        <v>113.4</v>
      </c>
      <c r="J33" s="4">
        <v>119.64500000000001</v>
      </c>
      <c r="K33" s="4">
        <v>120.33499999999999</v>
      </c>
      <c r="L33" s="4">
        <v>119.06</v>
      </c>
      <c r="M33" s="4">
        <v>112.65499999999999</v>
      </c>
      <c r="N33" s="4">
        <v>109.22499999999999</v>
      </c>
      <c r="O33" s="4">
        <f>MAX(C33:N33)</f>
        <v>129.215</v>
      </c>
      <c r="P33">
        <f>MIN(C33:N33)</f>
        <v>109.22499999999999</v>
      </c>
    </row>
    <row r="34" spans="1:16" x14ac:dyDescent="0.2">
      <c r="A34" s="310" t="s">
        <v>46</v>
      </c>
      <c r="B34">
        <v>2025</v>
      </c>
      <c r="C34">
        <v>106.675</v>
      </c>
      <c r="D34">
        <v>106.33</v>
      </c>
      <c r="E34">
        <v>108.655</v>
      </c>
      <c r="F34">
        <v>116.095</v>
      </c>
      <c r="G34">
        <v>114.54</v>
      </c>
      <c r="H34">
        <v>128.57499999999999</v>
      </c>
      <c r="I34">
        <v>120.595</v>
      </c>
      <c r="J34">
        <v>116.215</v>
      </c>
      <c r="K34">
        <v>116.065</v>
      </c>
      <c r="L34">
        <v>108.06</v>
      </c>
      <c r="M34">
        <v>111.745</v>
      </c>
      <c r="O34" s="4">
        <f>MAX(C34:N34)</f>
        <v>128.57499999999999</v>
      </c>
      <c r="P34">
        <f>MIN(C34:N34)</f>
        <v>106.33</v>
      </c>
    </row>
    <row r="35" spans="1:16" hidden="1" x14ac:dyDescent="0.2">
      <c r="A35" s="93" t="s">
        <v>43</v>
      </c>
      <c r="B35">
        <v>2022</v>
      </c>
      <c r="C35" s="4">
        <v>101.53999999999999</v>
      </c>
      <c r="D35" s="4">
        <v>103.41</v>
      </c>
      <c r="E35" s="4">
        <v>103.85000000000001</v>
      </c>
      <c r="F35" s="4">
        <v>109.95</v>
      </c>
      <c r="G35" s="4">
        <v>112.06</v>
      </c>
      <c r="H35" s="4">
        <v>109.72</v>
      </c>
      <c r="I35" s="4">
        <v>118.11</v>
      </c>
      <c r="J35" s="4">
        <v>113.47999999999999</v>
      </c>
      <c r="K35" s="4">
        <v>114.2</v>
      </c>
      <c r="L35" s="4">
        <v>110.205</v>
      </c>
      <c r="M35" s="4">
        <v>111.58499999999999</v>
      </c>
      <c r="N35" s="4">
        <v>113.93</v>
      </c>
      <c r="O35" s="4">
        <f>MAX(C35:N35)</f>
        <v>118.11</v>
      </c>
      <c r="P35">
        <f>MIN(C35:N35)</f>
        <v>101.53999999999999</v>
      </c>
    </row>
    <row r="36" spans="1:16" hidden="1" x14ac:dyDescent="0.2">
      <c r="A36" t="s">
        <v>42</v>
      </c>
      <c r="B36">
        <v>2023</v>
      </c>
      <c r="C36" s="4">
        <v>112.83500000000001</v>
      </c>
      <c r="D36" s="4">
        <v>120.255</v>
      </c>
      <c r="E36" s="4">
        <v>116.52499999999999</v>
      </c>
      <c r="F36" s="4">
        <v>107.53999999999999</v>
      </c>
      <c r="G36" s="4">
        <v>102.75</v>
      </c>
      <c r="H36" s="4">
        <v>96.199999999999989</v>
      </c>
      <c r="I36" s="4">
        <v>96.534999999999997</v>
      </c>
      <c r="J36" s="4">
        <v>107.39500000000001</v>
      </c>
      <c r="K36" s="4">
        <v>106.73500000000001</v>
      </c>
      <c r="L36" s="4">
        <v>105.67</v>
      </c>
      <c r="M36" s="4">
        <v>111.35</v>
      </c>
      <c r="N36" s="4">
        <v>99.44</v>
      </c>
      <c r="O36" s="4">
        <f>MAX(C36:N36)</f>
        <v>120.255</v>
      </c>
      <c r="P36">
        <f>MIN(C36:N36)</f>
        <v>96.199999999999989</v>
      </c>
    </row>
    <row r="37" spans="1:16" hidden="1" x14ac:dyDescent="0.2">
      <c r="A37" t="s">
        <v>73</v>
      </c>
      <c r="B37">
        <v>2024</v>
      </c>
      <c r="C37" s="4">
        <v>113.54499999999999</v>
      </c>
      <c r="D37" s="4">
        <v>111.17</v>
      </c>
      <c r="E37" s="4">
        <v>98.17</v>
      </c>
      <c r="F37" s="4">
        <v>103.645</v>
      </c>
      <c r="G37" s="4">
        <v>114.235</v>
      </c>
      <c r="H37" s="4">
        <v>111.07</v>
      </c>
      <c r="I37" s="4">
        <v>109.64999999999999</v>
      </c>
      <c r="J37" s="4">
        <v>106.545</v>
      </c>
      <c r="K37" s="4">
        <v>92.465000000000003</v>
      </c>
      <c r="L37" s="4">
        <v>97.24</v>
      </c>
      <c r="M37" s="4">
        <v>110.5</v>
      </c>
      <c r="N37" s="4">
        <v>116.35000000000001</v>
      </c>
      <c r="O37" s="4">
        <f>MAX(C37:N37)</f>
        <v>116.35000000000001</v>
      </c>
      <c r="P37">
        <f>MIN(C37:N37)</f>
        <v>92.465000000000003</v>
      </c>
    </row>
    <row r="38" spans="1:16" hidden="1" x14ac:dyDescent="0.2">
      <c r="A38" t="s">
        <v>51</v>
      </c>
      <c r="B38">
        <v>2023</v>
      </c>
      <c r="C38" s="4">
        <v>123.16500000000002</v>
      </c>
      <c r="D38" s="4">
        <v>110.51</v>
      </c>
      <c r="E38" s="4">
        <v>104.47</v>
      </c>
      <c r="F38" s="4">
        <v>107.74499999999999</v>
      </c>
      <c r="G38" s="4">
        <v>107.33</v>
      </c>
      <c r="H38" s="4">
        <v>115.57</v>
      </c>
      <c r="I38" s="4">
        <v>115.77</v>
      </c>
      <c r="J38" s="4">
        <v>106.515</v>
      </c>
      <c r="K38" s="4">
        <v>100.765</v>
      </c>
      <c r="L38" s="4">
        <v>102.27500000000001</v>
      </c>
      <c r="M38" s="4">
        <v>108.63000000000001</v>
      </c>
      <c r="N38" s="4">
        <v>111.825</v>
      </c>
      <c r="O38" s="4">
        <f>MAX(C38:N38)</f>
        <v>123.16500000000002</v>
      </c>
      <c r="P38">
        <f>MIN(C38:N38)</f>
        <v>100.765</v>
      </c>
    </row>
    <row r="39" spans="1:16" x14ac:dyDescent="0.2">
      <c r="A39" s="310" t="s">
        <v>42</v>
      </c>
      <c r="B39">
        <v>2025</v>
      </c>
      <c r="C39">
        <v>109.09</v>
      </c>
      <c r="D39">
        <v>118.00500000000001</v>
      </c>
      <c r="E39">
        <v>113.53</v>
      </c>
      <c r="F39">
        <v>115.235</v>
      </c>
      <c r="G39">
        <v>106.22500000000001</v>
      </c>
      <c r="H39">
        <v>101.58000000000001</v>
      </c>
      <c r="I39">
        <v>104.19</v>
      </c>
      <c r="J39">
        <v>111.955</v>
      </c>
      <c r="K39">
        <v>113.14</v>
      </c>
      <c r="L39">
        <v>113.34</v>
      </c>
      <c r="M39">
        <v>108.63</v>
      </c>
      <c r="O39" s="4">
        <f>MAX(C39:N39)</f>
        <v>118.00500000000001</v>
      </c>
      <c r="P39">
        <f>MIN(C39:N39)</f>
        <v>101.58000000000001</v>
      </c>
    </row>
    <row r="40" spans="1:16" hidden="1" x14ac:dyDescent="0.2">
      <c r="A40" s="310" t="s">
        <v>19</v>
      </c>
      <c r="B40">
        <v>2021</v>
      </c>
      <c r="C40">
        <v>108.35</v>
      </c>
      <c r="D40">
        <v>121.94999999999999</v>
      </c>
      <c r="E40">
        <v>126.08999999999999</v>
      </c>
      <c r="F40">
        <v>129.02000000000001</v>
      </c>
      <c r="G40">
        <v>127.005</v>
      </c>
      <c r="H40">
        <v>119.595</v>
      </c>
      <c r="I40">
        <v>115.35</v>
      </c>
      <c r="J40">
        <v>108.08</v>
      </c>
      <c r="K40">
        <v>111.24</v>
      </c>
      <c r="L40">
        <v>107.9</v>
      </c>
      <c r="M40">
        <v>107.245</v>
      </c>
      <c r="N40">
        <v>106.205</v>
      </c>
      <c r="O40" s="4">
        <f>MAX(C40:N40)</f>
        <v>129.02000000000001</v>
      </c>
      <c r="P40">
        <f>MIN(C40:N40)</f>
        <v>106.205</v>
      </c>
    </row>
    <row r="41" spans="1:16" hidden="1" x14ac:dyDescent="0.2">
      <c r="A41" t="s">
        <v>74</v>
      </c>
      <c r="B41">
        <v>2024</v>
      </c>
      <c r="C41" s="4">
        <v>106.25</v>
      </c>
      <c r="D41" s="4">
        <v>106.795</v>
      </c>
      <c r="E41" s="4">
        <v>100.88</v>
      </c>
      <c r="F41" s="4">
        <v>100.285</v>
      </c>
      <c r="G41" s="4">
        <v>106.19</v>
      </c>
      <c r="H41" s="4">
        <v>113.31</v>
      </c>
      <c r="I41" s="4">
        <v>115.66500000000001</v>
      </c>
      <c r="J41" s="4">
        <v>112.38500000000001</v>
      </c>
      <c r="K41" s="4">
        <v>96.09</v>
      </c>
      <c r="L41" s="4">
        <v>98.9</v>
      </c>
      <c r="M41" s="4">
        <v>106.66</v>
      </c>
      <c r="N41" s="4">
        <v>108.85000000000001</v>
      </c>
      <c r="O41" s="4">
        <f>MAX(C41:N41)</f>
        <v>115.66500000000001</v>
      </c>
      <c r="P41">
        <f>MIN(C41:N41)</f>
        <v>96.09</v>
      </c>
    </row>
    <row r="42" spans="1:16" hidden="1" x14ac:dyDescent="0.2">
      <c r="A42" t="s">
        <v>23</v>
      </c>
      <c r="B42">
        <v>2021</v>
      </c>
      <c r="C42">
        <v>121.67500000000001</v>
      </c>
      <c r="D42">
        <v>130.465</v>
      </c>
      <c r="E42">
        <v>126.80500000000001</v>
      </c>
      <c r="F42">
        <v>120.31</v>
      </c>
      <c r="G42">
        <v>109.205</v>
      </c>
      <c r="H42">
        <v>99.865000000000009</v>
      </c>
      <c r="I42">
        <v>93.11</v>
      </c>
      <c r="J42">
        <v>94.614999999999995</v>
      </c>
      <c r="K42">
        <v>94.935000000000002</v>
      </c>
      <c r="L42">
        <v>104.595</v>
      </c>
      <c r="M42">
        <v>105.99000000000001</v>
      </c>
      <c r="N42">
        <v>100.325</v>
      </c>
      <c r="O42" s="4">
        <f>MAX(C42:N42)</f>
        <v>130.465</v>
      </c>
      <c r="P42">
        <f>MIN(C42:N42)</f>
        <v>93.11</v>
      </c>
    </row>
    <row r="43" spans="1:16" hidden="1" x14ac:dyDescent="0.2">
      <c r="A43" s="93" t="s">
        <v>22</v>
      </c>
      <c r="B43">
        <v>2022</v>
      </c>
      <c r="C43" s="4">
        <v>124.53999999999999</v>
      </c>
      <c r="D43" s="4">
        <v>123.05500000000001</v>
      </c>
      <c r="E43" s="4">
        <v>110.27000000000001</v>
      </c>
      <c r="F43" s="4">
        <v>101.33999999999999</v>
      </c>
      <c r="G43" s="4">
        <v>88.724999999999994</v>
      </c>
      <c r="H43" s="4">
        <v>82.17</v>
      </c>
      <c r="I43" s="4">
        <v>86.774999999999991</v>
      </c>
      <c r="J43" s="4">
        <v>97.169999999999987</v>
      </c>
      <c r="K43" s="4">
        <v>105.44999999999999</v>
      </c>
      <c r="L43" s="4">
        <v>110.30000000000001</v>
      </c>
      <c r="M43" s="4">
        <v>105.86000000000001</v>
      </c>
      <c r="N43" s="4">
        <v>102.59</v>
      </c>
      <c r="O43" s="4">
        <f>MAX(C43:N43)</f>
        <v>124.53999999999999</v>
      </c>
      <c r="P43">
        <f>MIN(C43:N43)</f>
        <v>82.17</v>
      </c>
    </row>
    <row r="44" spans="1:16" hidden="1" x14ac:dyDescent="0.2">
      <c r="A44" t="s">
        <v>46</v>
      </c>
      <c r="B44">
        <v>2023</v>
      </c>
      <c r="C44" s="4">
        <v>115.63</v>
      </c>
      <c r="D44" s="4">
        <v>117.55500000000001</v>
      </c>
      <c r="E44" s="4">
        <v>109.72500000000001</v>
      </c>
      <c r="F44" s="4">
        <v>97.444999999999993</v>
      </c>
      <c r="G44" s="4">
        <v>107.30499999999999</v>
      </c>
      <c r="H44" s="4">
        <v>118.28999999999999</v>
      </c>
      <c r="I44" s="4">
        <v>119.51500000000001</v>
      </c>
      <c r="J44" s="4">
        <v>114.37</v>
      </c>
      <c r="K44" s="4">
        <v>120.935</v>
      </c>
      <c r="L44" s="4">
        <v>111.425</v>
      </c>
      <c r="M44" s="4">
        <v>105.325</v>
      </c>
      <c r="N44" s="4">
        <v>114.655</v>
      </c>
      <c r="O44" s="4">
        <f>MAX(C44:N44)</f>
        <v>120.935</v>
      </c>
      <c r="P44">
        <f>MIN(C44:N44)</f>
        <v>97.444999999999993</v>
      </c>
    </row>
    <row r="45" spans="1:16" hidden="1" x14ac:dyDescent="0.2">
      <c r="A45" t="s">
        <v>34</v>
      </c>
      <c r="B45">
        <v>2021</v>
      </c>
      <c r="C45">
        <v>120.88</v>
      </c>
      <c r="D45">
        <v>126.465</v>
      </c>
      <c r="E45">
        <v>131.31</v>
      </c>
      <c r="F45">
        <v>140.97499999999999</v>
      </c>
      <c r="G45">
        <v>135.96</v>
      </c>
      <c r="H45">
        <v>126.515</v>
      </c>
      <c r="I45">
        <v>126.63</v>
      </c>
      <c r="J45">
        <v>119.85</v>
      </c>
      <c r="K45">
        <v>120.22499999999999</v>
      </c>
      <c r="L45">
        <v>112.935</v>
      </c>
      <c r="M45">
        <v>104.72</v>
      </c>
      <c r="N45">
        <v>96.584999999999994</v>
      </c>
      <c r="O45" s="4">
        <f>MAX(C45:N45)</f>
        <v>140.97499999999999</v>
      </c>
      <c r="P45">
        <f>MIN(C45:N45)</f>
        <v>96.584999999999994</v>
      </c>
    </row>
    <row r="46" spans="1:16" hidden="1" x14ac:dyDescent="0.2">
      <c r="A46" s="93" t="s">
        <v>26</v>
      </c>
      <c r="B46">
        <v>2022</v>
      </c>
      <c r="C46" s="4">
        <v>123.29500000000002</v>
      </c>
      <c r="D46" s="4">
        <v>130.04000000000002</v>
      </c>
      <c r="E46" s="4">
        <v>131.66</v>
      </c>
      <c r="F46" s="4">
        <v>125.11500000000001</v>
      </c>
      <c r="G46" s="4">
        <v>101.515</v>
      </c>
      <c r="H46" s="4">
        <v>95.25</v>
      </c>
      <c r="I46" s="4">
        <v>91.834999999999994</v>
      </c>
      <c r="J46" s="4">
        <v>97.48</v>
      </c>
      <c r="K46" s="4">
        <v>107.015</v>
      </c>
      <c r="L46" s="4">
        <v>99.375</v>
      </c>
      <c r="M46" s="4">
        <v>104.325</v>
      </c>
      <c r="N46" s="4">
        <v>101.80000000000001</v>
      </c>
      <c r="O46" s="4">
        <f>MAX(C46:N46)</f>
        <v>131.66</v>
      </c>
      <c r="P46">
        <f>MIN(C46:N46)</f>
        <v>91.834999999999994</v>
      </c>
    </row>
    <row r="47" spans="1:16" hidden="1" x14ac:dyDescent="0.2">
      <c r="A47" s="93" t="s">
        <v>31</v>
      </c>
      <c r="B47">
        <v>2022</v>
      </c>
      <c r="C47" s="4">
        <v>102.97499999999999</v>
      </c>
      <c r="D47" s="4">
        <v>99.91</v>
      </c>
      <c r="E47" s="4">
        <v>104.895</v>
      </c>
      <c r="F47" s="4">
        <v>102.50999999999999</v>
      </c>
      <c r="G47" s="4">
        <v>113.24</v>
      </c>
      <c r="H47" s="4">
        <v>105.93</v>
      </c>
      <c r="I47" s="4">
        <v>96.805000000000007</v>
      </c>
      <c r="J47" s="4">
        <v>92.465000000000003</v>
      </c>
      <c r="K47" s="4">
        <v>85.88</v>
      </c>
      <c r="L47" s="4">
        <v>95.29</v>
      </c>
      <c r="M47" s="4">
        <v>103.69</v>
      </c>
      <c r="N47" s="4">
        <v>104.905</v>
      </c>
      <c r="O47" s="4">
        <f>MAX(C47:N47)</f>
        <v>113.24</v>
      </c>
      <c r="P47">
        <f>MIN(C47:N47)</f>
        <v>85.88</v>
      </c>
    </row>
    <row r="48" spans="1:16" x14ac:dyDescent="0.2">
      <c r="A48" s="310" t="s">
        <v>521</v>
      </c>
      <c r="B48">
        <v>2025</v>
      </c>
      <c r="C48">
        <v>123.64500000000001</v>
      </c>
      <c r="D48">
        <v>141.99</v>
      </c>
      <c r="E48">
        <v>128.54000000000002</v>
      </c>
      <c r="F48">
        <v>132.73500000000001</v>
      </c>
      <c r="G48">
        <v>128.85</v>
      </c>
      <c r="H48">
        <v>123.995</v>
      </c>
      <c r="I48">
        <v>138.82499999999999</v>
      </c>
      <c r="J48">
        <v>122.7</v>
      </c>
      <c r="K48">
        <v>123.83</v>
      </c>
      <c r="L48">
        <v>116.965</v>
      </c>
      <c r="M48">
        <v>101.74000000000001</v>
      </c>
      <c r="O48" s="4">
        <f>MAX(C48:N48)</f>
        <v>141.99</v>
      </c>
      <c r="P48">
        <f>MIN(C48:N48)</f>
        <v>101.74000000000001</v>
      </c>
    </row>
    <row r="49" spans="1:16" hidden="1" x14ac:dyDescent="0.2">
      <c r="A49" t="s">
        <v>31</v>
      </c>
      <c r="B49">
        <v>2023</v>
      </c>
      <c r="C49" s="4">
        <v>126.94000000000001</v>
      </c>
      <c r="D49" s="4">
        <v>128.28</v>
      </c>
      <c r="E49" s="4">
        <v>129.72999999999999</v>
      </c>
      <c r="F49" s="4">
        <v>128.24</v>
      </c>
      <c r="G49" s="4">
        <v>126.63499999999999</v>
      </c>
      <c r="H49" s="4">
        <v>130.005</v>
      </c>
      <c r="I49" s="4">
        <v>131.75</v>
      </c>
      <c r="J49" s="4">
        <v>117.41</v>
      </c>
      <c r="K49" s="4">
        <v>113.41499999999999</v>
      </c>
      <c r="L49" s="4">
        <v>100.25999999999999</v>
      </c>
      <c r="M49" s="4">
        <v>100.97</v>
      </c>
      <c r="N49" s="4">
        <v>107.62</v>
      </c>
      <c r="O49" s="4">
        <f>MAX(C49:N49)</f>
        <v>131.75</v>
      </c>
      <c r="P49">
        <f>MIN(C49:N49)</f>
        <v>100.25999999999999</v>
      </c>
    </row>
    <row r="50" spans="1:16" hidden="1" x14ac:dyDescent="0.2">
      <c r="A50" s="32" t="s">
        <v>26</v>
      </c>
      <c r="B50">
        <v>2023</v>
      </c>
      <c r="C50" s="4">
        <v>127.42999999999998</v>
      </c>
      <c r="D50" s="4">
        <v>133.60999999999999</v>
      </c>
      <c r="E50" s="4">
        <v>129.16499999999999</v>
      </c>
      <c r="F50" s="4">
        <v>120.41</v>
      </c>
      <c r="G50" s="4">
        <v>126.88499999999999</v>
      </c>
      <c r="H50" s="4">
        <v>123.925</v>
      </c>
      <c r="I50" s="4">
        <v>128.45499999999998</v>
      </c>
      <c r="J50" s="4">
        <v>118.97499999999999</v>
      </c>
      <c r="K50" s="4">
        <v>116.21000000000001</v>
      </c>
      <c r="L50" s="4">
        <v>116.66999999999999</v>
      </c>
      <c r="M50" s="4">
        <v>100.81</v>
      </c>
      <c r="N50" s="4">
        <v>122.72999999999999</v>
      </c>
      <c r="O50" s="4">
        <f>MAX(C50:N50)</f>
        <v>133.60999999999999</v>
      </c>
      <c r="P50">
        <f>MIN(C50:N50)</f>
        <v>100.81</v>
      </c>
    </row>
    <row r="51" spans="1:16" hidden="1" x14ac:dyDescent="0.2">
      <c r="A51" s="32" t="s">
        <v>31</v>
      </c>
      <c r="B51">
        <v>2021</v>
      </c>
      <c r="C51">
        <v>99.02</v>
      </c>
      <c r="D51">
        <v>87.784999999999997</v>
      </c>
      <c r="E51">
        <v>84.284999999999997</v>
      </c>
      <c r="F51">
        <v>84.37</v>
      </c>
      <c r="G51">
        <v>82.9</v>
      </c>
      <c r="H51">
        <v>87.814999999999998</v>
      </c>
      <c r="I51">
        <v>87.929999999999993</v>
      </c>
      <c r="J51">
        <v>85.56</v>
      </c>
      <c r="K51">
        <v>88.424999999999997</v>
      </c>
      <c r="L51">
        <v>91.13</v>
      </c>
      <c r="M51">
        <v>100</v>
      </c>
      <c r="N51">
        <v>101.50999999999999</v>
      </c>
      <c r="O51" s="4">
        <f>MAX(C51:N51)</f>
        <v>101.50999999999999</v>
      </c>
      <c r="P51">
        <f>MIN(C51:N51)</f>
        <v>82.9</v>
      </c>
    </row>
    <row r="52" spans="1:16" x14ac:dyDescent="0.2">
      <c r="A52" s="32" t="s">
        <v>26</v>
      </c>
      <c r="B52">
        <v>2025</v>
      </c>
      <c r="C52">
        <v>104.44</v>
      </c>
      <c r="D52">
        <v>109.42999999999999</v>
      </c>
      <c r="E52">
        <v>119.19499999999999</v>
      </c>
      <c r="F52">
        <v>127.88500000000001</v>
      </c>
      <c r="G52">
        <v>110.44</v>
      </c>
      <c r="H52">
        <v>108.33</v>
      </c>
      <c r="I52">
        <v>108.82499999999999</v>
      </c>
      <c r="J52">
        <v>91.68</v>
      </c>
      <c r="K52">
        <v>96.48</v>
      </c>
      <c r="L52">
        <v>95.184999999999988</v>
      </c>
      <c r="M52">
        <v>99.72999999999999</v>
      </c>
      <c r="O52" s="4">
        <f>MAX(C52:N52)</f>
        <v>127.88500000000001</v>
      </c>
      <c r="P52">
        <f>MIN(C52:N52)</f>
        <v>91.68</v>
      </c>
    </row>
    <row r="53" spans="1:16" hidden="1" x14ac:dyDescent="0.2">
      <c r="A53" s="32" t="s">
        <v>35</v>
      </c>
      <c r="B53">
        <v>2021</v>
      </c>
      <c r="C53">
        <v>122.705</v>
      </c>
      <c r="D53">
        <v>124.28</v>
      </c>
      <c r="E53">
        <v>135.845</v>
      </c>
      <c r="F53">
        <v>130.22999999999999</v>
      </c>
      <c r="G53">
        <v>130</v>
      </c>
      <c r="H53">
        <v>120.74</v>
      </c>
      <c r="I53">
        <v>111.78</v>
      </c>
      <c r="J53">
        <v>105.795</v>
      </c>
      <c r="K53">
        <v>98.515000000000015</v>
      </c>
      <c r="L53">
        <v>92.444999999999993</v>
      </c>
      <c r="M53">
        <v>99.289999999999992</v>
      </c>
      <c r="N53">
        <v>96.314999999999998</v>
      </c>
      <c r="O53" s="4">
        <f>MAX(C53:N53)</f>
        <v>135.845</v>
      </c>
      <c r="P53">
        <f>MIN(C53:N53)</f>
        <v>92.444999999999993</v>
      </c>
    </row>
    <row r="54" spans="1:16" x14ac:dyDescent="0.2">
      <c r="A54" s="32" t="s">
        <v>31</v>
      </c>
      <c r="B54">
        <v>2025</v>
      </c>
      <c r="C54">
        <v>105.75</v>
      </c>
      <c r="D54">
        <v>109.265</v>
      </c>
      <c r="E54">
        <v>112.38500000000001</v>
      </c>
      <c r="F54">
        <v>118.785</v>
      </c>
      <c r="G54">
        <v>122.51</v>
      </c>
      <c r="H54">
        <v>111.21000000000001</v>
      </c>
      <c r="I54">
        <v>106.12</v>
      </c>
      <c r="J54">
        <v>106.44499999999999</v>
      </c>
      <c r="K54">
        <v>100.96</v>
      </c>
      <c r="L54">
        <v>107.075</v>
      </c>
      <c r="M54">
        <v>97.724999999999994</v>
      </c>
      <c r="O54" s="4">
        <f>MAX(C54:N54)</f>
        <v>122.51</v>
      </c>
      <c r="P54">
        <f>MIN(C54:N54)</f>
        <v>97.724999999999994</v>
      </c>
    </row>
    <row r="55" spans="1:16" hidden="1" x14ac:dyDescent="0.2">
      <c r="A55" s="32" t="s">
        <v>31</v>
      </c>
      <c r="B55">
        <v>2024</v>
      </c>
      <c r="C55" s="4">
        <v>125.235</v>
      </c>
      <c r="D55" s="4">
        <v>126.96</v>
      </c>
      <c r="E55" s="4">
        <v>120.095</v>
      </c>
      <c r="F55" s="4">
        <v>119.47999999999999</v>
      </c>
      <c r="G55" s="4">
        <v>114.10999999999999</v>
      </c>
      <c r="H55" s="4">
        <v>112.455</v>
      </c>
      <c r="I55" s="4">
        <v>116.125</v>
      </c>
      <c r="J55" s="4">
        <v>115.33499999999999</v>
      </c>
      <c r="K55" s="4">
        <v>106.29</v>
      </c>
      <c r="L55" s="4">
        <v>107.46000000000001</v>
      </c>
      <c r="M55" s="4">
        <v>95.365000000000009</v>
      </c>
      <c r="N55" s="4">
        <v>98.27000000000001</v>
      </c>
      <c r="O55" s="4">
        <f>MAX(C55:N55)</f>
        <v>126.96</v>
      </c>
      <c r="P55">
        <f>MIN(C55:N55)</f>
        <v>95.365000000000009</v>
      </c>
    </row>
    <row r="56" spans="1:16" hidden="1" x14ac:dyDescent="0.2">
      <c r="A56" s="210" t="s">
        <v>23</v>
      </c>
      <c r="B56">
        <v>2022</v>
      </c>
      <c r="C56" s="4">
        <v>75.03</v>
      </c>
      <c r="D56" s="4">
        <v>80.394999999999996</v>
      </c>
      <c r="E56" s="4">
        <v>90.899999999999991</v>
      </c>
      <c r="F56" s="4">
        <v>92.575000000000003</v>
      </c>
      <c r="G56" s="4">
        <v>117.52</v>
      </c>
      <c r="H56" s="4">
        <v>118.205</v>
      </c>
      <c r="I56" s="4">
        <v>132.22499999999999</v>
      </c>
      <c r="J56" s="4">
        <v>131.07499999999999</v>
      </c>
      <c r="K56" s="4">
        <v>114.46999999999998</v>
      </c>
      <c r="L56" s="4">
        <v>118.25</v>
      </c>
      <c r="M56" s="4">
        <v>94.65</v>
      </c>
      <c r="N56" s="4">
        <v>100.84</v>
      </c>
      <c r="O56" s="4">
        <f>MAX(C56:N56)</f>
        <v>132.22499999999999</v>
      </c>
      <c r="P56">
        <f>MIN(C56:N56)</f>
        <v>75.03</v>
      </c>
    </row>
    <row r="57" spans="1:16" hidden="1" x14ac:dyDescent="0.2">
      <c r="A57" s="210" t="s">
        <v>40</v>
      </c>
      <c r="B57">
        <v>2022</v>
      </c>
      <c r="C57" s="4">
        <v>126.82499999999999</v>
      </c>
      <c r="D57" s="4">
        <v>117.96499999999999</v>
      </c>
      <c r="E57" s="4">
        <v>106.355</v>
      </c>
      <c r="F57" s="4">
        <v>122.27000000000001</v>
      </c>
      <c r="G57" s="4">
        <v>124.34</v>
      </c>
      <c r="H57" s="4">
        <v>135.44999999999999</v>
      </c>
      <c r="I57" s="4">
        <v>129.655</v>
      </c>
      <c r="J57" s="4">
        <v>120.03</v>
      </c>
      <c r="K57" s="4">
        <v>110.71</v>
      </c>
      <c r="L57" s="4">
        <v>97.49499999999999</v>
      </c>
      <c r="M57" s="4">
        <v>93.109999999999985</v>
      </c>
      <c r="N57" s="4">
        <v>97.4</v>
      </c>
      <c r="O57" s="4">
        <f>MAX(C57:N57)</f>
        <v>135.44999999999999</v>
      </c>
      <c r="P57">
        <f>MIN(C57:N57)</f>
        <v>93.109999999999985</v>
      </c>
    </row>
    <row r="58" spans="1:16" x14ac:dyDescent="0.2">
      <c r="A58" s="32" t="s">
        <v>77</v>
      </c>
      <c r="B58">
        <v>2025</v>
      </c>
      <c r="C58">
        <v>124.94499999999999</v>
      </c>
      <c r="D58">
        <v>135.09</v>
      </c>
      <c r="E58">
        <v>110.30000000000001</v>
      </c>
      <c r="F58">
        <v>113.55</v>
      </c>
      <c r="G58">
        <v>102.39999999999999</v>
      </c>
      <c r="H58">
        <v>93.614999999999995</v>
      </c>
      <c r="I58">
        <v>82.21</v>
      </c>
      <c r="J58">
        <v>75.429999999999993</v>
      </c>
      <c r="K58">
        <v>86.745000000000005</v>
      </c>
      <c r="L58">
        <v>84.605000000000004</v>
      </c>
      <c r="M58">
        <v>92.570000000000007</v>
      </c>
      <c r="O58" s="4">
        <f>MAX(C58:N58)</f>
        <v>135.09</v>
      </c>
      <c r="P58">
        <f>MIN(C58:N58)</f>
        <v>75.429999999999993</v>
      </c>
    </row>
    <row r="59" spans="1:16" hidden="1" x14ac:dyDescent="0.2">
      <c r="A59" s="32" t="s">
        <v>35</v>
      </c>
      <c r="B59">
        <v>2024</v>
      </c>
      <c r="C59" s="4">
        <v>102.715</v>
      </c>
      <c r="D59" s="4">
        <v>90.31</v>
      </c>
      <c r="E59" s="4">
        <v>101.47</v>
      </c>
      <c r="F59" s="4">
        <v>109.49</v>
      </c>
      <c r="G59" s="4">
        <v>103.66</v>
      </c>
      <c r="H59" s="4">
        <v>108.99</v>
      </c>
      <c r="I59" s="4">
        <v>101.5</v>
      </c>
      <c r="J59" s="4">
        <v>96.564999999999998</v>
      </c>
      <c r="K59" s="4">
        <v>106.6</v>
      </c>
      <c r="L59" s="4">
        <v>99.08</v>
      </c>
      <c r="M59" s="4">
        <v>88.134999999999991</v>
      </c>
      <c r="N59" s="4">
        <v>86.775000000000006</v>
      </c>
      <c r="O59" s="4">
        <f>MAX(C59:N59)</f>
        <v>109.49</v>
      </c>
      <c r="P59">
        <f>MIN(C59:N59)</f>
        <v>86.775000000000006</v>
      </c>
    </row>
    <row r="60" spans="1:16" x14ac:dyDescent="0.2">
      <c r="A60" s="32" t="s">
        <v>526</v>
      </c>
      <c r="B60">
        <v>2025</v>
      </c>
      <c r="C60">
        <v>120.99</v>
      </c>
      <c r="D60">
        <v>120.545</v>
      </c>
      <c r="E60">
        <v>117.575</v>
      </c>
      <c r="F60">
        <v>100.065</v>
      </c>
      <c r="G60">
        <v>95.734999999999999</v>
      </c>
      <c r="H60">
        <v>96.954999999999998</v>
      </c>
      <c r="I60">
        <v>105.48500000000001</v>
      </c>
      <c r="J60">
        <v>109.74</v>
      </c>
      <c r="K60">
        <v>103.63</v>
      </c>
      <c r="L60">
        <v>98.664999999999992</v>
      </c>
      <c r="M60">
        <v>86.605000000000004</v>
      </c>
      <c r="O60" s="4">
        <f>MAX(C60:N60)</f>
        <v>120.99</v>
      </c>
      <c r="P60">
        <f>MIN(C60:N60)</f>
        <v>86.605000000000004</v>
      </c>
    </row>
    <row r="61" spans="1:16" hidden="1" x14ac:dyDescent="0.2">
      <c r="A61" s="74" t="s">
        <v>27</v>
      </c>
      <c r="B61">
        <v>2021</v>
      </c>
      <c r="C61">
        <v>96.144999999999996</v>
      </c>
      <c r="D61">
        <v>100.76</v>
      </c>
      <c r="E61">
        <v>97.435000000000002</v>
      </c>
      <c r="F61">
        <v>101.06</v>
      </c>
      <c r="G61">
        <v>101.17</v>
      </c>
      <c r="H61">
        <v>99.664999999999992</v>
      </c>
      <c r="I61">
        <v>105.66999999999999</v>
      </c>
      <c r="J61">
        <v>104.755</v>
      </c>
      <c r="K61">
        <v>96.94</v>
      </c>
      <c r="L61">
        <v>96.22</v>
      </c>
      <c r="M61">
        <v>82.86</v>
      </c>
      <c r="N61">
        <v>90.050000000000011</v>
      </c>
      <c r="O61" s="4">
        <f>MAX(C61:N61)</f>
        <v>105.66999999999999</v>
      </c>
      <c r="P61">
        <f>MIN(C61:N61)</f>
        <v>82.86</v>
      </c>
    </row>
  </sheetData>
  <autoFilter ref="A1:P61" xr:uid="{00000000-0009-0000-0000-000018000000}">
    <filterColumn colId="1">
      <filters>
        <filter val="2025"/>
      </filters>
    </filterColumn>
    <sortState xmlns:xlrd2="http://schemas.microsoft.com/office/spreadsheetml/2017/richdata2" ref="A2:P61">
      <sortCondition descending="1" ref="M1:M61"/>
    </sortState>
  </autoFilter>
  <conditionalFormatting sqref="C2:N6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3:P51"/>
  <sheetViews>
    <sheetView topLeftCell="A17" workbookViewId="0">
      <selection activeCell="B19" sqref="B19:J33"/>
    </sheetView>
  </sheetViews>
  <sheetFormatPr baseColWidth="10" defaultRowHeight="16" x14ac:dyDescent="0.2"/>
  <cols>
    <col min="2" max="2" width="22.5" customWidth="1"/>
    <col min="7" max="7" width="25" customWidth="1"/>
    <col min="10" max="10" width="10.83203125" customWidth="1"/>
    <col min="12" max="12" width="27.5" customWidth="1"/>
  </cols>
  <sheetData>
    <row r="3" spans="1:10" x14ac:dyDescent="0.2">
      <c r="A3" s="27"/>
      <c r="B3" s="27"/>
      <c r="C3" s="27"/>
      <c r="D3" s="27"/>
      <c r="E3" s="27"/>
      <c r="F3" s="27"/>
    </row>
    <row r="4" spans="1:10" ht="32" customHeight="1" x14ac:dyDescent="0.2">
      <c r="A4" s="27"/>
      <c r="B4" s="304" t="s">
        <v>472</v>
      </c>
      <c r="C4" s="305"/>
      <c r="D4" s="305"/>
      <c r="E4" s="306"/>
      <c r="F4" s="27"/>
      <c r="G4" s="307"/>
      <c r="H4" s="307"/>
      <c r="I4" s="307"/>
      <c r="J4" s="307"/>
    </row>
    <row r="5" spans="1:10" x14ac:dyDescent="0.2">
      <c r="A5" s="27"/>
      <c r="B5" s="69" t="s">
        <v>468</v>
      </c>
      <c r="C5" s="70" t="s">
        <v>0</v>
      </c>
      <c r="D5" s="70" t="s">
        <v>412</v>
      </c>
      <c r="E5" s="86" t="s">
        <v>469</v>
      </c>
      <c r="F5" s="27"/>
      <c r="G5" s="29"/>
      <c r="H5" s="29"/>
      <c r="I5" s="29"/>
      <c r="J5" s="29"/>
    </row>
    <row r="6" spans="1:10" x14ac:dyDescent="0.2">
      <c r="A6" s="27"/>
      <c r="B6" s="32" t="s">
        <v>18</v>
      </c>
      <c r="C6">
        <v>2021</v>
      </c>
      <c r="D6">
        <v>148.06</v>
      </c>
      <c r="E6" s="43" t="s">
        <v>470</v>
      </c>
      <c r="F6" s="27"/>
    </row>
    <row r="7" spans="1:10" x14ac:dyDescent="0.2">
      <c r="A7" s="27"/>
      <c r="B7" s="36" t="s">
        <v>46</v>
      </c>
      <c r="C7" s="90">
        <v>2024</v>
      </c>
      <c r="D7" s="90">
        <v>147.41</v>
      </c>
      <c r="E7" s="94" t="s">
        <v>471</v>
      </c>
      <c r="F7" s="27"/>
    </row>
    <row r="8" spans="1:10" x14ac:dyDescent="0.2">
      <c r="A8" s="27"/>
      <c r="B8" s="32" t="s">
        <v>466</v>
      </c>
      <c r="C8">
        <v>2021</v>
      </c>
      <c r="D8">
        <v>146.04</v>
      </c>
      <c r="E8" s="43" t="s">
        <v>471</v>
      </c>
      <c r="F8" s="27"/>
    </row>
    <row r="9" spans="1:10" x14ac:dyDescent="0.2">
      <c r="A9" s="27"/>
      <c r="B9" s="32" t="s">
        <v>22</v>
      </c>
      <c r="C9">
        <v>2021</v>
      </c>
      <c r="D9">
        <v>145.63</v>
      </c>
      <c r="E9" s="43" t="s">
        <v>471</v>
      </c>
      <c r="F9" s="27"/>
    </row>
    <row r="10" spans="1:10" x14ac:dyDescent="0.2">
      <c r="A10" s="27"/>
      <c r="B10" s="32" t="s">
        <v>34</v>
      </c>
      <c r="C10">
        <v>2021</v>
      </c>
      <c r="D10">
        <v>140.97999999999999</v>
      </c>
      <c r="E10" s="43" t="s">
        <v>473</v>
      </c>
      <c r="F10" s="27"/>
    </row>
    <row r="11" spans="1:10" x14ac:dyDescent="0.2">
      <c r="A11" s="27"/>
      <c r="B11" s="36" t="s">
        <v>474</v>
      </c>
      <c r="C11" s="90">
        <v>2024</v>
      </c>
      <c r="D11" s="90">
        <v>140.59</v>
      </c>
      <c r="E11" s="94" t="s">
        <v>470</v>
      </c>
      <c r="F11" s="27"/>
    </row>
    <row r="12" spans="1:10" x14ac:dyDescent="0.2">
      <c r="A12" s="27"/>
      <c r="B12" s="32" t="s">
        <v>22</v>
      </c>
      <c r="C12">
        <v>2021</v>
      </c>
      <c r="D12">
        <v>139.27000000000001</v>
      </c>
      <c r="E12" s="43" t="s">
        <v>476</v>
      </c>
      <c r="F12" s="27"/>
    </row>
    <row r="13" spans="1:10" x14ac:dyDescent="0.2">
      <c r="A13" s="27"/>
      <c r="B13" s="36" t="s">
        <v>26</v>
      </c>
      <c r="C13" s="90">
        <v>2024</v>
      </c>
      <c r="D13" s="90">
        <v>138.26</v>
      </c>
      <c r="E13" s="94" t="s">
        <v>477</v>
      </c>
      <c r="F13" s="27"/>
    </row>
    <row r="14" spans="1:10" x14ac:dyDescent="0.2">
      <c r="A14" s="27"/>
      <c r="B14" s="32" t="s">
        <v>466</v>
      </c>
      <c r="C14">
        <v>2021</v>
      </c>
      <c r="D14">
        <v>136.93</v>
      </c>
      <c r="E14" s="43" t="s">
        <v>478</v>
      </c>
      <c r="F14" s="27"/>
    </row>
    <row r="15" spans="1:10" x14ac:dyDescent="0.2">
      <c r="A15" s="27"/>
      <c r="B15" s="74" t="s">
        <v>15</v>
      </c>
      <c r="C15" s="75">
        <v>2021</v>
      </c>
      <c r="D15" s="75">
        <v>136.72999999999999</v>
      </c>
      <c r="E15" s="95" t="s">
        <v>475</v>
      </c>
      <c r="F15" s="27"/>
    </row>
    <row r="16" spans="1:10" x14ac:dyDescent="0.2">
      <c r="A16" s="27"/>
      <c r="B16" s="97" t="s">
        <v>480</v>
      </c>
      <c r="C16" s="27"/>
      <c r="D16" s="27"/>
      <c r="E16" s="96"/>
      <c r="F16" s="27"/>
    </row>
    <row r="18" spans="1:10" x14ac:dyDescent="0.2">
      <c r="A18" s="27"/>
      <c r="B18" s="27"/>
      <c r="C18" s="27"/>
      <c r="D18" s="27"/>
      <c r="E18" s="27"/>
      <c r="F18" s="27"/>
    </row>
    <row r="19" spans="1:10" ht="32" customHeight="1" x14ac:dyDescent="0.2">
      <c r="A19" s="27"/>
      <c r="B19" s="304" t="s">
        <v>621</v>
      </c>
      <c r="C19" s="305"/>
      <c r="D19" s="305"/>
      <c r="E19" s="306"/>
      <c r="F19" s="27"/>
      <c r="G19" s="304" t="s">
        <v>624</v>
      </c>
      <c r="H19" s="305"/>
      <c r="I19" s="305"/>
      <c r="J19" s="306"/>
    </row>
    <row r="20" spans="1:10" x14ac:dyDescent="0.2">
      <c r="A20" s="27"/>
      <c r="B20" s="69" t="s">
        <v>468</v>
      </c>
      <c r="C20" s="70" t="s">
        <v>0</v>
      </c>
      <c r="D20" s="70" t="s">
        <v>412</v>
      </c>
      <c r="E20" s="86" t="s">
        <v>469</v>
      </c>
      <c r="F20" s="213"/>
      <c r="G20" s="69" t="s">
        <v>468</v>
      </c>
      <c r="H20" s="70" t="s">
        <v>0</v>
      </c>
      <c r="I20" s="70" t="s">
        <v>412</v>
      </c>
      <c r="J20" s="86" t="s">
        <v>469</v>
      </c>
    </row>
    <row r="21" spans="1:10" x14ac:dyDescent="0.2">
      <c r="A21" s="27"/>
      <c r="B21" s="46" t="s">
        <v>18</v>
      </c>
      <c r="C21" s="124">
        <v>2021</v>
      </c>
      <c r="D21" s="124">
        <v>148.06</v>
      </c>
      <c r="E21" s="179" t="s">
        <v>470</v>
      </c>
      <c r="F21" s="27"/>
      <c r="G21" s="216" t="s">
        <v>23</v>
      </c>
      <c r="H21" s="124">
        <v>2022</v>
      </c>
      <c r="I21" s="65">
        <v>75.03</v>
      </c>
      <c r="J21" s="179" t="s">
        <v>478</v>
      </c>
    </row>
    <row r="22" spans="1:10" x14ac:dyDescent="0.2">
      <c r="A22" s="27"/>
      <c r="B22" s="32" t="s">
        <v>46</v>
      </c>
      <c r="C22">
        <v>2024</v>
      </c>
      <c r="D22">
        <v>147.41</v>
      </c>
      <c r="E22" s="43" t="s">
        <v>471</v>
      </c>
      <c r="F22" s="27"/>
      <c r="G22" s="36" t="s">
        <v>77</v>
      </c>
      <c r="H22" s="90">
        <v>2025</v>
      </c>
      <c r="I22" s="214">
        <v>75.429999999999993</v>
      </c>
      <c r="J22" s="94" t="s">
        <v>625</v>
      </c>
    </row>
    <row r="23" spans="1:10" x14ac:dyDescent="0.2">
      <c r="A23" s="27"/>
      <c r="B23" s="36" t="s">
        <v>18</v>
      </c>
      <c r="C23" s="90">
        <v>2025</v>
      </c>
      <c r="D23" s="90">
        <v>146.61000000000001</v>
      </c>
      <c r="E23" s="94" t="s">
        <v>622</v>
      </c>
      <c r="F23" s="27"/>
      <c r="G23" s="32" t="s">
        <v>50</v>
      </c>
      <c r="H23">
        <v>2023</v>
      </c>
      <c r="I23" s="42">
        <v>80.424999999999997</v>
      </c>
      <c r="J23" s="43" t="s">
        <v>622</v>
      </c>
    </row>
    <row r="24" spans="1:10" x14ac:dyDescent="0.2">
      <c r="A24" s="27"/>
      <c r="B24" s="32" t="s">
        <v>466</v>
      </c>
      <c r="C24">
        <v>2021</v>
      </c>
      <c r="D24">
        <v>146.04</v>
      </c>
      <c r="E24" s="43" t="s">
        <v>471</v>
      </c>
      <c r="F24" s="27"/>
      <c r="G24" s="32" t="s">
        <v>52</v>
      </c>
      <c r="H24">
        <v>2023</v>
      </c>
      <c r="I24" s="42">
        <v>81.69</v>
      </c>
      <c r="J24" s="43" t="s">
        <v>625</v>
      </c>
    </row>
    <row r="25" spans="1:10" x14ac:dyDescent="0.2">
      <c r="A25" s="27"/>
      <c r="B25" s="32" t="s">
        <v>22</v>
      </c>
      <c r="C25">
        <v>2021</v>
      </c>
      <c r="D25">
        <v>145.63</v>
      </c>
      <c r="E25" s="43" t="s">
        <v>471</v>
      </c>
      <c r="F25" s="27"/>
      <c r="G25" s="210" t="s">
        <v>22</v>
      </c>
      <c r="H25">
        <v>2022</v>
      </c>
      <c r="I25" s="42">
        <v>82.17</v>
      </c>
      <c r="J25" s="43" t="s">
        <v>622</v>
      </c>
    </row>
    <row r="26" spans="1:10" x14ac:dyDescent="0.2">
      <c r="A26" s="27"/>
      <c r="B26" s="36" t="s">
        <v>35</v>
      </c>
      <c r="C26" s="90">
        <v>2025</v>
      </c>
      <c r="D26" s="90">
        <v>142.02000000000001</v>
      </c>
      <c r="E26" s="94" t="s">
        <v>622</v>
      </c>
      <c r="F26" s="27"/>
      <c r="G26" s="32" t="s">
        <v>27</v>
      </c>
      <c r="H26">
        <v>2021</v>
      </c>
      <c r="I26" s="42">
        <v>82.86</v>
      </c>
      <c r="J26" s="43" t="s">
        <v>471</v>
      </c>
    </row>
    <row r="27" spans="1:10" x14ac:dyDescent="0.2">
      <c r="A27" s="27"/>
      <c r="B27" s="36" t="s">
        <v>521</v>
      </c>
      <c r="C27" s="90">
        <v>2025</v>
      </c>
      <c r="D27" s="90">
        <v>141.99</v>
      </c>
      <c r="E27" s="94" t="s">
        <v>470</v>
      </c>
      <c r="F27" s="27"/>
      <c r="G27" s="32" t="s">
        <v>31</v>
      </c>
      <c r="H27">
        <v>2021</v>
      </c>
      <c r="I27" s="42">
        <v>82.9</v>
      </c>
      <c r="J27" s="43" t="s">
        <v>626</v>
      </c>
    </row>
    <row r="28" spans="1:10" x14ac:dyDescent="0.2">
      <c r="A28" s="27"/>
      <c r="B28" s="32" t="s">
        <v>34</v>
      </c>
      <c r="C28">
        <v>2021</v>
      </c>
      <c r="D28">
        <v>140.97999999999999</v>
      </c>
      <c r="E28" s="43" t="s">
        <v>473</v>
      </c>
      <c r="F28" s="27"/>
      <c r="G28" s="210" t="s">
        <v>42</v>
      </c>
      <c r="H28">
        <v>2022</v>
      </c>
      <c r="I28" s="42">
        <v>85.765000000000001</v>
      </c>
      <c r="J28" s="43" t="s">
        <v>473</v>
      </c>
    </row>
    <row r="29" spans="1:10" x14ac:dyDescent="0.2">
      <c r="A29" s="27"/>
      <c r="B29" s="32" t="s">
        <v>474</v>
      </c>
      <c r="C29">
        <v>2024</v>
      </c>
      <c r="D29">
        <v>140.59</v>
      </c>
      <c r="E29" s="43" t="s">
        <v>470</v>
      </c>
      <c r="F29" s="27"/>
      <c r="G29" s="210" t="s">
        <v>31</v>
      </c>
      <c r="H29">
        <v>2022</v>
      </c>
      <c r="I29" s="42">
        <v>85.88</v>
      </c>
      <c r="J29" s="43" t="s">
        <v>627</v>
      </c>
    </row>
    <row r="30" spans="1:10" x14ac:dyDescent="0.2">
      <c r="A30" s="27"/>
      <c r="B30" s="32" t="s">
        <v>22</v>
      </c>
      <c r="C30">
        <v>2021</v>
      </c>
      <c r="D30">
        <v>139.27000000000001</v>
      </c>
      <c r="E30" s="43" t="s">
        <v>476</v>
      </c>
      <c r="F30" s="27"/>
      <c r="G30" s="211" t="s">
        <v>526</v>
      </c>
      <c r="H30" s="118">
        <v>2025</v>
      </c>
      <c r="I30" s="217">
        <v>86.605000000000004</v>
      </c>
      <c r="J30" s="212" t="s">
        <v>471</v>
      </c>
    </row>
    <row r="31" spans="1:10" x14ac:dyDescent="0.2">
      <c r="A31" s="27"/>
      <c r="B31" s="211" t="s">
        <v>521</v>
      </c>
      <c r="C31" s="118">
        <v>2025</v>
      </c>
      <c r="D31" s="118">
        <v>138.83000000000001</v>
      </c>
      <c r="E31" s="212" t="s">
        <v>623</v>
      </c>
      <c r="F31" s="27"/>
      <c r="G31" s="97"/>
      <c r="H31" s="90"/>
      <c r="I31" s="90"/>
      <c r="J31" s="91"/>
    </row>
    <row r="32" spans="1:10" x14ac:dyDescent="0.2">
      <c r="A32" s="27"/>
      <c r="B32" s="97" t="s">
        <v>480</v>
      </c>
      <c r="C32" s="27"/>
      <c r="D32" s="27"/>
      <c r="E32" s="96"/>
      <c r="F32" s="27"/>
      <c r="G32" s="97"/>
      <c r="H32" s="27"/>
      <c r="I32" s="27"/>
      <c r="J32" s="96"/>
    </row>
    <row r="33" spans="1:15" x14ac:dyDescent="0.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5" ht="31" customHeight="1" x14ac:dyDescent="0.2">
      <c r="F34" s="27"/>
      <c r="G34" s="304" t="s">
        <v>657</v>
      </c>
      <c r="H34" s="305"/>
      <c r="I34" s="306"/>
      <c r="J34" s="313"/>
      <c r="K34" s="27"/>
    </row>
    <row r="35" spans="1:15" x14ac:dyDescent="0.2">
      <c r="F35" s="27"/>
      <c r="G35" s="69" t="s">
        <v>468</v>
      </c>
      <c r="H35" s="70" t="s">
        <v>0</v>
      </c>
      <c r="I35" s="86" t="s">
        <v>412</v>
      </c>
      <c r="J35" s="27"/>
    </row>
    <row r="36" spans="1:15" x14ac:dyDescent="0.2">
      <c r="F36" s="27"/>
      <c r="G36" s="36" t="s">
        <v>526</v>
      </c>
      <c r="H36" s="314">
        <v>2025</v>
      </c>
      <c r="I36" s="116">
        <v>86.605000000000004</v>
      </c>
      <c r="J36" s="27"/>
    </row>
    <row r="37" spans="1:15" x14ac:dyDescent="0.2">
      <c r="F37" s="27"/>
      <c r="G37" s="32" t="s">
        <v>35</v>
      </c>
      <c r="H37" s="310">
        <v>2024</v>
      </c>
      <c r="I37" s="71">
        <v>86.775000000000006</v>
      </c>
      <c r="J37" s="27"/>
    </row>
    <row r="38" spans="1:15" x14ac:dyDescent="0.2">
      <c r="F38" s="27"/>
      <c r="G38" s="32" t="s">
        <v>27</v>
      </c>
      <c r="H38" s="310">
        <v>2021</v>
      </c>
      <c r="I38" s="71">
        <v>90.050000000000011</v>
      </c>
      <c r="J38" s="27"/>
    </row>
    <row r="39" spans="1:15" x14ac:dyDescent="0.2">
      <c r="F39" s="27"/>
      <c r="G39" s="36" t="s">
        <v>77</v>
      </c>
      <c r="H39" s="314">
        <v>2025</v>
      </c>
      <c r="I39" s="116">
        <v>92.570000000000007</v>
      </c>
      <c r="J39" s="27"/>
    </row>
    <row r="40" spans="1:15" x14ac:dyDescent="0.2">
      <c r="F40" s="27"/>
      <c r="G40" s="32" t="s">
        <v>35</v>
      </c>
      <c r="H40" s="310">
        <v>2021</v>
      </c>
      <c r="I40" s="71">
        <v>96.314999999999998</v>
      </c>
      <c r="J40" s="27"/>
    </row>
    <row r="41" spans="1:15" x14ac:dyDescent="0.2">
      <c r="F41" s="27"/>
      <c r="G41" s="32" t="s">
        <v>34</v>
      </c>
      <c r="H41" s="310">
        <v>2021</v>
      </c>
      <c r="I41" s="71">
        <v>96.584999999999994</v>
      </c>
      <c r="J41" s="27"/>
    </row>
    <row r="42" spans="1:15" x14ac:dyDescent="0.2">
      <c r="F42" s="27"/>
      <c r="G42" s="210" t="s">
        <v>40</v>
      </c>
      <c r="H42" s="310">
        <v>2022</v>
      </c>
      <c r="I42" s="71">
        <v>97.4</v>
      </c>
      <c r="J42" s="27"/>
      <c r="L42" s="314"/>
      <c r="M42" s="90"/>
      <c r="N42" s="90"/>
      <c r="O42" s="4"/>
    </row>
    <row r="43" spans="1:15" x14ac:dyDescent="0.2">
      <c r="F43" s="27"/>
      <c r="G43" s="36" t="s">
        <v>31</v>
      </c>
      <c r="H43" s="314">
        <v>2025</v>
      </c>
      <c r="I43" s="116">
        <v>97.724999999999994</v>
      </c>
      <c r="J43" s="27"/>
      <c r="N43" s="4"/>
      <c r="O43" s="4"/>
    </row>
    <row r="44" spans="1:15" x14ac:dyDescent="0.2">
      <c r="F44" s="27"/>
      <c r="G44" s="32" t="s">
        <v>31</v>
      </c>
      <c r="H44" s="310">
        <v>2024</v>
      </c>
      <c r="I44" s="71">
        <v>98.27000000000001</v>
      </c>
      <c r="J44" s="27"/>
      <c r="O44" s="4"/>
    </row>
    <row r="45" spans="1:15" x14ac:dyDescent="0.2">
      <c r="F45" s="27"/>
      <c r="G45" s="74" t="s">
        <v>77</v>
      </c>
      <c r="H45" s="75">
        <v>2024</v>
      </c>
      <c r="I45" s="26">
        <v>98.745000000000005</v>
      </c>
      <c r="J45" s="27"/>
      <c r="L45" s="314"/>
      <c r="M45" s="90"/>
      <c r="N45" s="90"/>
      <c r="O45" s="4"/>
    </row>
    <row r="46" spans="1:15" x14ac:dyDescent="0.2">
      <c r="F46" s="27"/>
      <c r="G46" s="27"/>
      <c r="H46" s="27"/>
      <c r="I46" s="27"/>
      <c r="J46" s="27"/>
      <c r="K46" s="27"/>
    </row>
    <row r="48" spans="1:15" x14ac:dyDescent="0.2">
      <c r="L48" s="93"/>
      <c r="N48" s="4"/>
    </row>
    <row r="49" spans="12:16" x14ac:dyDescent="0.2">
      <c r="L49" s="314"/>
      <c r="M49" s="90"/>
      <c r="N49" s="90"/>
      <c r="O49" s="4"/>
      <c r="P49" s="4"/>
    </row>
    <row r="50" spans="12:16" x14ac:dyDescent="0.2">
      <c r="L50" s="32"/>
      <c r="N50" s="4"/>
    </row>
    <row r="51" spans="12:16" x14ac:dyDescent="0.2">
      <c r="L51" s="32"/>
      <c r="N51" s="4"/>
    </row>
  </sheetData>
  <sortState xmlns:xlrd2="http://schemas.microsoft.com/office/spreadsheetml/2017/richdata2" ref="L42:N51">
    <sortCondition ref="N42:N51"/>
  </sortState>
  <mergeCells count="5">
    <mergeCell ref="B4:E4"/>
    <mergeCell ref="G4:J4"/>
    <mergeCell ref="B19:E19"/>
    <mergeCell ref="G19:J19"/>
    <mergeCell ref="G34:I34"/>
  </mergeCells>
  <conditionalFormatting sqref="C33:F33 F21:F32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1:I30">
    <cfRule type="colorScale" priority="12">
      <colorScale>
        <cfvo type="min"/>
        <cfvo type="num" val="100"/>
        <color rgb="FFF8696B"/>
        <color rgb="FFFCFCFF"/>
      </colorScale>
    </cfRule>
  </conditionalFormatting>
  <conditionalFormatting sqref="P46:P49 O42:O45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6:O49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2:N45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6:N4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50:N51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6:I45">
    <cfRule type="colorScale" priority="1">
      <colorScale>
        <cfvo type="min"/>
        <cfvo type="num" val="100"/>
        <color rgb="FFF8696B"/>
        <color rgb="FFFCFCFF"/>
      </colorScale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85A1-2C39-7648-86F3-9F54A3FAFF90}">
  <dimension ref="A2:N62"/>
  <sheetViews>
    <sheetView workbookViewId="0">
      <selection activeCell="N12" sqref="N3:N12"/>
    </sheetView>
  </sheetViews>
  <sheetFormatPr baseColWidth="10" defaultRowHeight="16" x14ac:dyDescent="0.2"/>
  <cols>
    <col min="1" max="1" width="27.1640625" customWidth="1"/>
    <col min="2" max="2" width="15.33203125" customWidth="1"/>
  </cols>
  <sheetData>
    <row r="2" spans="1:14" x14ac:dyDescent="0.2">
      <c r="A2" s="1" t="s">
        <v>78</v>
      </c>
      <c r="B2" s="1" t="s">
        <v>0</v>
      </c>
      <c r="C2" s="1" t="s">
        <v>458</v>
      </c>
      <c r="D2" s="1" t="s">
        <v>459</v>
      </c>
      <c r="E2" s="1" t="s">
        <v>460</v>
      </c>
      <c r="F2" s="1" t="s">
        <v>461</v>
      </c>
      <c r="G2" s="1" t="s">
        <v>462</v>
      </c>
      <c r="H2" s="1" t="s">
        <v>463</v>
      </c>
      <c r="I2" s="1" t="s">
        <v>464</v>
      </c>
      <c r="J2" s="1" t="s">
        <v>465</v>
      </c>
      <c r="K2" s="1" t="s">
        <v>467</v>
      </c>
      <c r="L2" s="1" t="s">
        <v>479</v>
      </c>
    </row>
    <row r="3" spans="1:14" x14ac:dyDescent="0.2">
      <c r="A3" s="32" t="s">
        <v>35</v>
      </c>
      <c r="B3" s="310">
        <v>2025</v>
      </c>
      <c r="C3" s="42">
        <v>117.79750000000001</v>
      </c>
      <c r="D3" s="42">
        <v>124.60499999999999</v>
      </c>
      <c r="E3" s="42">
        <v>131.2525</v>
      </c>
      <c r="F3" s="42">
        <v>132.56</v>
      </c>
      <c r="G3" s="42">
        <v>134.36749999999998</v>
      </c>
      <c r="H3" s="42">
        <v>136.17999999999998</v>
      </c>
      <c r="I3" s="42">
        <v>128.24</v>
      </c>
      <c r="J3" s="42"/>
      <c r="K3" s="42">
        <f>MAX(C3:J3)</f>
        <v>136.17999999999998</v>
      </c>
      <c r="L3" s="42">
        <f>MIN(C3:J3)</f>
        <v>117.79750000000001</v>
      </c>
      <c r="N3">
        <v>13</v>
      </c>
    </row>
    <row r="4" spans="1:14" x14ac:dyDescent="0.2">
      <c r="A4" s="32" t="s">
        <v>46</v>
      </c>
      <c r="B4" s="345">
        <v>2024</v>
      </c>
      <c r="C4" s="42">
        <v>113.0325</v>
      </c>
      <c r="D4" s="42">
        <v>112.11750000000001</v>
      </c>
      <c r="E4" s="42">
        <v>109.58749999999999</v>
      </c>
      <c r="F4" s="42">
        <v>117.52250000000001</v>
      </c>
      <c r="G4" s="42">
        <v>124.14749999999998</v>
      </c>
      <c r="H4" s="42">
        <v>124.92249999999999</v>
      </c>
      <c r="I4" s="42">
        <v>130.8475</v>
      </c>
      <c r="J4" s="42">
        <v>134.185</v>
      </c>
      <c r="K4" s="42">
        <f>MAX(C4:J4)</f>
        <v>134.185</v>
      </c>
      <c r="L4" s="42">
        <f>MIN(C4:J4)</f>
        <v>109.58749999999999</v>
      </c>
      <c r="N4">
        <v>15</v>
      </c>
    </row>
    <row r="5" spans="1:14" x14ac:dyDescent="0.2">
      <c r="A5" s="32" t="s">
        <v>521</v>
      </c>
      <c r="B5" s="310">
        <v>2025</v>
      </c>
      <c r="C5" s="42">
        <v>126.2475</v>
      </c>
      <c r="D5" s="42">
        <v>132.99250000000001</v>
      </c>
      <c r="E5" s="42">
        <v>133.6825</v>
      </c>
      <c r="F5" s="42">
        <v>127.71749999999999</v>
      </c>
      <c r="G5" s="42">
        <v>126.34</v>
      </c>
      <c r="H5" s="42">
        <v>120.48</v>
      </c>
      <c r="I5" s="42">
        <v>120.2825</v>
      </c>
      <c r="J5" s="42"/>
      <c r="K5" s="42">
        <f>MAX(C5:J5)</f>
        <v>133.6825</v>
      </c>
      <c r="L5" s="42">
        <f>MIN(C5:J5)</f>
        <v>120.2825</v>
      </c>
      <c r="N5">
        <v>10</v>
      </c>
    </row>
    <row r="6" spans="1:14" x14ac:dyDescent="0.2">
      <c r="A6" s="210" t="s">
        <v>44</v>
      </c>
      <c r="B6" s="345">
        <v>2023</v>
      </c>
      <c r="C6" s="42">
        <v>120.53749999999999</v>
      </c>
      <c r="D6" s="42">
        <v>121.83499999999999</v>
      </c>
      <c r="E6" s="42">
        <v>123.75</v>
      </c>
      <c r="F6" s="42">
        <v>130.4975</v>
      </c>
      <c r="G6" s="42">
        <v>132.405</v>
      </c>
      <c r="H6" s="42">
        <v>130.54</v>
      </c>
      <c r="I6" s="42">
        <v>130.64749999999998</v>
      </c>
      <c r="J6" s="42">
        <v>124.15500000000002</v>
      </c>
      <c r="K6" s="42">
        <f>MAX(C6:J6)</f>
        <v>132.405</v>
      </c>
      <c r="L6" s="42">
        <f>MIN(C6:J6)</f>
        <v>120.53749999999999</v>
      </c>
      <c r="N6">
        <v>12</v>
      </c>
    </row>
    <row r="7" spans="1:14" x14ac:dyDescent="0.2">
      <c r="A7" s="32" t="s">
        <v>466</v>
      </c>
      <c r="B7" s="345">
        <v>2021</v>
      </c>
      <c r="C7" s="42">
        <v>132.14249999999998</v>
      </c>
      <c r="D7" s="42">
        <v>123.62</v>
      </c>
      <c r="E7" s="42">
        <v>111.61749999999999</v>
      </c>
      <c r="F7" s="42">
        <v>109.64</v>
      </c>
      <c r="G7" s="42">
        <v>112.16250000000001</v>
      </c>
      <c r="H7" s="42">
        <v>115.5575</v>
      </c>
      <c r="I7" s="42">
        <v>123.05250000000001</v>
      </c>
      <c r="J7" s="42">
        <v>117.3575</v>
      </c>
      <c r="K7" s="42">
        <f>MAX(C7:J7)</f>
        <v>132.14249999999998</v>
      </c>
      <c r="L7" s="42">
        <f>MIN(C7:J7)</f>
        <v>109.64</v>
      </c>
      <c r="N7">
        <v>8</v>
      </c>
    </row>
    <row r="8" spans="1:14" x14ac:dyDescent="0.2">
      <c r="A8" s="32" t="s">
        <v>18</v>
      </c>
      <c r="B8" s="345">
        <v>2021</v>
      </c>
      <c r="C8" s="42">
        <v>131.10750000000002</v>
      </c>
      <c r="D8" s="42">
        <v>130.465</v>
      </c>
      <c r="E8" s="42">
        <v>122.5</v>
      </c>
      <c r="F8" s="42">
        <v>118.545</v>
      </c>
      <c r="G8" s="42">
        <v>110.64000000000001</v>
      </c>
      <c r="H8" s="42">
        <v>110.22000000000001</v>
      </c>
      <c r="I8" s="42">
        <v>113.5125</v>
      </c>
      <c r="J8" s="42">
        <v>111.495</v>
      </c>
      <c r="K8" s="42">
        <f>MAX(C8:J8)</f>
        <v>131.10750000000002</v>
      </c>
      <c r="L8" s="42">
        <f>MIN(C8:J8)</f>
        <v>110.22000000000001</v>
      </c>
      <c r="N8">
        <v>8</v>
      </c>
    </row>
    <row r="9" spans="1:14" x14ac:dyDescent="0.2">
      <c r="A9" s="32" t="s">
        <v>15</v>
      </c>
      <c r="B9" s="345">
        <v>2021</v>
      </c>
      <c r="C9" s="42">
        <v>106.97250000000001</v>
      </c>
      <c r="D9" s="42">
        <v>110.6675</v>
      </c>
      <c r="E9" s="42">
        <v>122.075</v>
      </c>
      <c r="F9" s="42">
        <v>122.60249999999999</v>
      </c>
      <c r="G9" s="42">
        <v>123.175</v>
      </c>
      <c r="H9" s="42">
        <v>126.35499999999999</v>
      </c>
      <c r="I9" s="42">
        <v>128.01</v>
      </c>
      <c r="J9" s="42">
        <v>130.785</v>
      </c>
      <c r="K9" s="42">
        <f>MAX(C9:J9)</f>
        <v>130.785</v>
      </c>
      <c r="L9" s="42">
        <f>MIN(C9:J9)</f>
        <v>106.97250000000001</v>
      </c>
      <c r="N9">
        <v>15</v>
      </c>
    </row>
    <row r="10" spans="1:14" x14ac:dyDescent="0.2">
      <c r="A10" s="210" t="s">
        <v>31</v>
      </c>
      <c r="B10" s="345">
        <v>2023</v>
      </c>
      <c r="C10" s="42">
        <v>126.78750000000001</v>
      </c>
      <c r="D10" s="42">
        <v>129.14249999999998</v>
      </c>
      <c r="E10" s="42">
        <v>130.73999999999998</v>
      </c>
      <c r="F10" s="42">
        <v>122.825</v>
      </c>
      <c r="G10" s="42">
        <v>120.02499999999999</v>
      </c>
      <c r="H10" s="42">
        <v>115.13249999999999</v>
      </c>
      <c r="I10" s="42">
        <v>116.36</v>
      </c>
      <c r="J10" s="42">
        <v>112.51499999999999</v>
      </c>
      <c r="K10" s="42">
        <f>MAX(C10:J10)</f>
        <v>130.73999999999998</v>
      </c>
      <c r="L10" s="42">
        <f>MIN(C10:J10)</f>
        <v>112.51499999999999</v>
      </c>
      <c r="N10">
        <v>10</v>
      </c>
    </row>
    <row r="11" spans="1:14" x14ac:dyDescent="0.2">
      <c r="A11" s="32" t="s">
        <v>34</v>
      </c>
      <c r="B11" s="345">
        <v>2021</v>
      </c>
      <c r="C11" s="42">
        <v>128.42000000000002</v>
      </c>
      <c r="D11" s="42">
        <v>126.49000000000001</v>
      </c>
      <c r="E11" s="42">
        <v>128.97</v>
      </c>
      <c r="F11" s="42">
        <v>130.41249999999999</v>
      </c>
      <c r="G11" s="42">
        <v>128.0925</v>
      </c>
      <c r="H11" s="42">
        <v>119.72499999999999</v>
      </c>
      <c r="I11" s="42">
        <v>115.675</v>
      </c>
      <c r="J11" s="42">
        <v>108.2175</v>
      </c>
      <c r="K11" s="42">
        <f>MAX(C11:J11)</f>
        <v>130.41249999999999</v>
      </c>
      <c r="L11" s="42">
        <f>MIN(C11:J11)</f>
        <v>108.2175</v>
      </c>
      <c r="N11">
        <v>11</v>
      </c>
    </row>
    <row r="12" spans="1:14" x14ac:dyDescent="0.2">
      <c r="A12" s="210" t="s">
        <v>48</v>
      </c>
      <c r="B12" s="345">
        <v>2023</v>
      </c>
      <c r="C12" s="42">
        <v>121.9075</v>
      </c>
      <c r="D12" s="42">
        <v>125.75</v>
      </c>
      <c r="E12" s="42">
        <v>130.02000000000001</v>
      </c>
      <c r="F12" s="42">
        <v>126.095</v>
      </c>
      <c r="G12" s="42">
        <v>123.7225</v>
      </c>
      <c r="H12" s="42">
        <v>129.375</v>
      </c>
      <c r="I12" s="42">
        <v>128.7175</v>
      </c>
      <c r="J12" s="42">
        <v>128.39249999999998</v>
      </c>
      <c r="K12" s="42">
        <f>MAX(C12:J12)</f>
        <v>130.02000000000001</v>
      </c>
      <c r="L12" s="42">
        <f>MIN(C12:J12)</f>
        <v>121.9075</v>
      </c>
      <c r="N12">
        <v>10</v>
      </c>
    </row>
    <row r="13" spans="1:14" x14ac:dyDescent="0.2">
      <c r="A13" s="210" t="s">
        <v>14</v>
      </c>
      <c r="B13" s="345">
        <v>2023</v>
      </c>
      <c r="C13" s="42">
        <v>116.49250000000001</v>
      </c>
      <c r="D13" s="42">
        <v>116.17749999999999</v>
      </c>
      <c r="E13" s="42">
        <v>116.36750000000001</v>
      </c>
      <c r="F13" s="42">
        <v>118.21</v>
      </c>
      <c r="G13" s="42">
        <v>117.95</v>
      </c>
      <c r="H13" s="42">
        <v>126.33500000000001</v>
      </c>
      <c r="I13" s="42">
        <v>125.6875</v>
      </c>
      <c r="J13" s="42">
        <v>129.22999999999999</v>
      </c>
      <c r="K13" s="42">
        <f>MAX(C13:J13)</f>
        <v>129.22999999999999</v>
      </c>
      <c r="L13" s="42">
        <f>MIN(C13:J13)</f>
        <v>116.17749999999999</v>
      </c>
    </row>
    <row r="14" spans="1:14" x14ac:dyDescent="0.2">
      <c r="A14" s="230" t="s">
        <v>26</v>
      </c>
      <c r="B14" s="345">
        <v>2023</v>
      </c>
      <c r="C14" s="42">
        <v>127.15749999999997</v>
      </c>
      <c r="D14" s="42">
        <v>128.76749999999998</v>
      </c>
      <c r="E14" s="42">
        <v>128.81</v>
      </c>
      <c r="F14" s="42">
        <v>119.69250000000001</v>
      </c>
      <c r="G14" s="42">
        <v>121.5475</v>
      </c>
      <c r="H14" s="42">
        <v>120.2975</v>
      </c>
      <c r="I14" s="42">
        <v>114.63249999999999</v>
      </c>
      <c r="J14" s="42">
        <v>120.85249999999999</v>
      </c>
      <c r="K14" s="42">
        <f>MAX(C14:J14)</f>
        <v>128.81</v>
      </c>
      <c r="L14" s="42">
        <f>MIN(C14:J14)</f>
        <v>114.63249999999999</v>
      </c>
    </row>
    <row r="15" spans="1:14" x14ac:dyDescent="0.2">
      <c r="A15" s="32" t="s">
        <v>18</v>
      </c>
      <c r="B15" s="310">
        <v>2025</v>
      </c>
      <c r="C15" s="42">
        <v>127.08999999999999</v>
      </c>
      <c r="D15" s="42">
        <v>125.85</v>
      </c>
      <c r="E15" s="42">
        <v>121.0175</v>
      </c>
      <c r="F15" s="42">
        <v>123.05499999999999</v>
      </c>
      <c r="G15" s="42">
        <v>126.43750000000001</v>
      </c>
      <c r="H15" s="42">
        <v>126.85250000000002</v>
      </c>
      <c r="I15" s="42">
        <v>126.13500000000002</v>
      </c>
      <c r="J15" s="42"/>
      <c r="K15" s="42">
        <f>MAX(C15:J15)</f>
        <v>127.08999999999999</v>
      </c>
      <c r="L15" s="42">
        <f>MIN(C15:J15)</f>
        <v>121.0175</v>
      </c>
    </row>
    <row r="16" spans="1:14" x14ac:dyDescent="0.2">
      <c r="A16" s="32" t="s">
        <v>76</v>
      </c>
      <c r="B16" s="345">
        <v>2024</v>
      </c>
      <c r="C16" s="42">
        <v>124.4175</v>
      </c>
      <c r="D16" s="42">
        <v>126.79</v>
      </c>
      <c r="E16" s="42">
        <v>125.5</v>
      </c>
      <c r="F16" s="42">
        <v>125.16</v>
      </c>
      <c r="G16" s="42">
        <v>124.25</v>
      </c>
      <c r="H16" s="42">
        <v>116.31</v>
      </c>
      <c r="I16" s="42">
        <v>119.3775</v>
      </c>
      <c r="J16" s="42">
        <v>122.17750000000001</v>
      </c>
      <c r="K16" s="42">
        <f>MAX(C16:J16)</f>
        <v>126.79</v>
      </c>
      <c r="L16" s="42">
        <f>MIN(C16:J16)</f>
        <v>116.31</v>
      </c>
    </row>
    <row r="17" spans="1:12" x14ac:dyDescent="0.2">
      <c r="A17" s="210" t="s">
        <v>40</v>
      </c>
      <c r="B17" s="345">
        <v>2022</v>
      </c>
      <c r="C17" s="42">
        <v>125.58249999999998</v>
      </c>
      <c r="D17" s="42">
        <v>126.7075</v>
      </c>
      <c r="E17" s="42">
        <v>118.005</v>
      </c>
      <c r="F17" s="42">
        <v>121.15</v>
      </c>
      <c r="G17" s="42">
        <v>117.52500000000001</v>
      </c>
      <c r="H17" s="42">
        <v>116.4725</v>
      </c>
      <c r="I17" s="42">
        <v>111.38250000000001</v>
      </c>
      <c r="J17" s="42">
        <v>108.715</v>
      </c>
      <c r="K17" s="42">
        <f>MAX(C17:J17)</f>
        <v>126.7075</v>
      </c>
      <c r="L17" s="42">
        <f>MIN(C17:J17)</f>
        <v>108.715</v>
      </c>
    </row>
    <row r="18" spans="1:12" x14ac:dyDescent="0.2">
      <c r="A18" s="32" t="s">
        <v>35</v>
      </c>
      <c r="B18" s="345">
        <v>2021</v>
      </c>
      <c r="C18" s="42">
        <v>126.35249999999999</v>
      </c>
      <c r="D18" s="42">
        <v>122.50999999999999</v>
      </c>
      <c r="E18" s="42">
        <v>123.8125</v>
      </c>
      <c r="F18" s="42">
        <v>118.01249999999999</v>
      </c>
      <c r="G18" s="42">
        <v>114.25749999999999</v>
      </c>
      <c r="H18" s="42">
        <v>106.59249999999999</v>
      </c>
      <c r="I18" s="42">
        <v>105.53499999999998</v>
      </c>
      <c r="J18" s="42">
        <v>101.05499999999999</v>
      </c>
      <c r="K18" s="42">
        <f>MAX(C18:J18)</f>
        <v>126.35249999999999</v>
      </c>
      <c r="L18" s="42">
        <f>MIN(C18:J18)</f>
        <v>101.05499999999999</v>
      </c>
    </row>
    <row r="19" spans="1:12" x14ac:dyDescent="0.2">
      <c r="A19" s="32" t="s">
        <v>26</v>
      </c>
      <c r="B19" s="345">
        <v>2024</v>
      </c>
      <c r="C19" s="42">
        <v>126.07999999999998</v>
      </c>
      <c r="D19" s="42">
        <v>123.145</v>
      </c>
      <c r="E19" s="42">
        <v>121.91249999999998</v>
      </c>
      <c r="F19" s="42">
        <v>114.7325</v>
      </c>
      <c r="G19" s="42">
        <v>115.5775</v>
      </c>
      <c r="H19" s="42">
        <v>117.55</v>
      </c>
      <c r="I19" s="42">
        <v>122.46</v>
      </c>
      <c r="J19" s="42">
        <v>122.755</v>
      </c>
      <c r="K19" s="42">
        <f>MAX(C19:J19)</f>
        <v>126.07999999999998</v>
      </c>
      <c r="L19" s="42">
        <f>MIN(C19:J19)</f>
        <v>114.7325</v>
      </c>
    </row>
    <row r="20" spans="1:12" x14ac:dyDescent="0.2">
      <c r="A20" s="32" t="s">
        <v>18</v>
      </c>
      <c r="B20" s="345">
        <v>2024</v>
      </c>
      <c r="C20" s="42">
        <v>121.88499999999999</v>
      </c>
      <c r="D20" s="42">
        <v>120.23</v>
      </c>
      <c r="E20" s="42">
        <v>116.86000000000001</v>
      </c>
      <c r="F20" s="42">
        <v>114.50750000000002</v>
      </c>
      <c r="G20" s="42">
        <v>117.91750000000002</v>
      </c>
      <c r="H20" s="42">
        <v>119.12</v>
      </c>
      <c r="I20" s="42">
        <v>117.38000000000001</v>
      </c>
      <c r="J20" s="42">
        <v>125.405</v>
      </c>
      <c r="K20" s="42">
        <f>MAX(C20:J20)</f>
        <v>125.405</v>
      </c>
      <c r="L20" s="42">
        <f>MIN(C20:J20)</f>
        <v>114.50750000000002</v>
      </c>
    </row>
    <row r="21" spans="1:12" x14ac:dyDescent="0.2">
      <c r="A21" s="32" t="s">
        <v>525</v>
      </c>
      <c r="B21" s="310">
        <v>2025</v>
      </c>
      <c r="C21" s="42">
        <v>114.3425</v>
      </c>
      <c r="D21" s="42">
        <v>116.24</v>
      </c>
      <c r="E21" s="42">
        <v>119.80249999999999</v>
      </c>
      <c r="F21" s="42">
        <v>113.96999999999998</v>
      </c>
      <c r="G21" s="42">
        <v>118.40749999999998</v>
      </c>
      <c r="H21" s="42">
        <v>123.38</v>
      </c>
      <c r="I21" s="42">
        <v>125.40499999999999</v>
      </c>
      <c r="J21" s="42"/>
      <c r="K21" s="42">
        <f>MAX(C21:J21)</f>
        <v>125.40499999999999</v>
      </c>
      <c r="L21" s="42">
        <f>MIN(C21:J21)</f>
        <v>113.96999999999998</v>
      </c>
    </row>
    <row r="22" spans="1:12" x14ac:dyDescent="0.2">
      <c r="A22" s="32" t="s">
        <v>524</v>
      </c>
      <c r="B22" s="310">
        <v>2025</v>
      </c>
      <c r="C22" s="42">
        <v>108.24749999999999</v>
      </c>
      <c r="D22" s="42">
        <v>106.8425</v>
      </c>
      <c r="E22" s="42">
        <v>113.39499999999998</v>
      </c>
      <c r="F22" s="42">
        <v>118.08999999999999</v>
      </c>
      <c r="G22" s="42">
        <v>115.82249999999999</v>
      </c>
      <c r="H22" s="42">
        <v>115.52</v>
      </c>
      <c r="I22" s="42">
        <v>125.3125</v>
      </c>
      <c r="J22" s="42"/>
      <c r="K22" s="42">
        <f>MAX(C22:J22)</f>
        <v>125.3125</v>
      </c>
      <c r="L22" s="42">
        <f>MIN(C22:J22)</f>
        <v>106.8425</v>
      </c>
    </row>
    <row r="23" spans="1:12" x14ac:dyDescent="0.2">
      <c r="A23" s="210" t="s">
        <v>42</v>
      </c>
      <c r="B23" s="345">
        <v>2022</v>
      </c>
      <c r="C23" s="42">
        <v>107.535</v>
      </c>
      <c r="D23" s="42">
        <v>100.7</v>
      </c>
      <c r="E23" s="42">
        <v>100.83499999999999</v>
      </c>
      <c r="F23" s="42">
        <v>103.5175</v>
      </c>
      <c r="G23" s="42">
        <v>108.03749999999999</v>
      </c>
      <c r="H23" s="42">
        <v>117.39750000000001</v>
      </c>
      <c r="I23" s="42">
        <v>121.53999999999999</v>
      </c>
      <c r="J23" s="42">
        <v>124.315</v>
      </c>
      <c r="K23" s="42">
        <f>MAX(C23:J23)</f>
        <v>124.315</v>
      </c>
      <c r="L23" s="42">
        <f>MIN(C23:J23)</f>
        <v>100.7</v>
      </c>
    </row>
    <row r="24" spans="1:12" x14ac:dyDescent="0.2">
      <c r="A24" s="210" t="s">
        <v>14</v>
      </c>
      <c r="B24" s="345">
        <v>2022</v>
      </c>
      <c r="C24" s="42">
        <v>118.22749999999999</v>
      </c>
      <c r="D24" s="42">
        <v>120.26750000000001</v>
      </c>
      <c r="E24" s="42">
        <v>121.3075</v>
      </c>
      <c r="F24" s="42">
        <v>123.66000000000001</v>
      </c>
      <c r="G24" s="42">
        <v>122.325</v>
      </c>
      <c r="H24" s="42">
        <v>120.345</v>
      </c>
      <c r="I24" s="42">
        <v>113.0275</v>
      </c>
      <c r="J24" s="42">
        <v>114.435</v>
      </c>
      <c r="K24" s="42">
        <f>MAX(C24:J24)</f>
        <v>123.66000000000001</v>
      </c>
      <c r="L24" s="42">
        <f>MIN(C24:J24)</f>
        <v>113.0275</v>
      </c>
    </row>
    <row r="25" spans="1:12" x14ac:dyDescent="0.2">
      <c r="A25" s="210" t="s">
        <v>18</v>
      </c>
      <c r="B25" s="345">
        <v>2022</v>
      </c>
      <c r="C25" s="42">
        <v>119.42749999999999</v>
      </c>
      <c r="D25" s="42">
        <v>119.80000000000001</v>
      </c>
      <c r="E25" s="42">
        <v>115.8275</v>
      </c>
      <c r="F25" s="42">
        <v>116.0575</v>
      </c>
      <c r="G25" s="42">
        <v>122.69000000000001</v>
      </c>
      <c r="H25" s="42">
        <v>120.91250000000001</v>
      </c>
      <c r="I25" s="42">
        <v>119.07250000000001</v>
      </c>
      <c r="J25" s="42">
        <v>114.04</v>
      </c>
      <c r="K25" s="42">
        <f>MAX(C25:J25)</f>
        <v>122.69000000000001</v>
      </c>
      <c r="L25" s="42">
        <f>MIN(C25:J25)</f>
        <v>114.04</v>
      </c>
    </row>
    <row r="26" spans="1:12" x14ac:dyDescent="0.2">
      <c r="A26" s="74" t="s">
        <v>14</v>
      </c>
      <c r="B26" s="345">
        <v>2021</v>
      </c>
      <c r="C26" s="42">
        <v>122.1425</v>
      </c>
      <c r="D26" s="42">
        <v>113.83499999999999</v>
      </c>
      <c r="E26" s="42">
        <v>112.32499999999999</v>
      </c>
      <c r="F26" s="42">
        <v>113.995</v>
      </c>
      <c r="G26" s="42">
        <v>116.46000000000001</v>
      </c>
      <c r="H26" s="42">
        <v>116.58</v>
      </c>
      <c r="I26" s="42">
        <v>110.3325</v>
      </c>
      <c r="J26" s="42">
        <v>107.13249999999999</v>
      </c>
      <c r="K26" s="42">
        <f>MAX(C26:J26)</f>
        <v>122.1425</v>
      </c>
      <c r="L26" s="42">
        <f>MIN(C26:J26)</f>
        <v>107.13249999999999</v>
      </c>
    </row>
    <row r="27" spans="1:12" x14ac:dyDescent="0.2">
      <c r="A27" s="312" t="s">
        <v>38</v>
      </c>
      <c r="B27" s="345">
        <v>2022</v>
      </c>
      <c r="C27" s="42">
        <v>113</v>
      </c>
      <c r="D27" s="42">
        <v>117.7</v>
      </c>
      <c r="E27" s="42">
        <v>113.2325</v>
      </c>
      <c r="F27" s="42">
        <v>111.50000000000001</v>
      </c>
      <c r="G27" s="42">
        <v>112.075</v>
      </c>
      <c r="H27" s="42">
        <v>115.83500000000001</v>
      </c>
      <c r="I27" s="42">
        <v>121.94250000000001</v>
      </c>
      <c r="J27" s="42">
        <v>117.68</v>
      </c>
      <c r="K27" s="42">
        <f>MAX(C27:J27)</f>
        <v>121.94250000000001</v>
      </c>
      <c r="L27" s="42">
        <f>MIN(C27:J27)</f>
        <v>111.50000000000001</v>
      </c>
    </row>
    <row r="28" spans="1:12" x14ac:dyDescent="0.2">
      <c r="A28" s="310" t="s">
        <v>42</v>
      </c>
      <c r="B28" s="345">
        <v>2024</v>
      </c>
      <c r="C28" s="42">
        <v>107.2775</v>
      </c>
      <c r="D28" s="42">
        <v>110.215</v>
      </c>
      <c r="E28" s="42">
        <v>113.19000000000001</v>
      </c>
      <c r="F28" s="42">
        <v>110.985</v>
      </c>
      <c r="G28" s="42">
        <v>112.6425</v>
      </c>
      <c r="H28" s="42">
        <v>111.68</v>
      </c>
      <c r="I28" s="42">
        <v>111.6675</v>
      </c>
      <c r="J28" s="42">
        <v>120.90500000000002</v>
      </c>
      <c r="K28" s="42">
        <f>MAX(C28:J28)</f>
        <v>120.90500000000002</v>
      </c>
      <c r="L28" s="42">
        <f>MIN(C28:J28)</f>
        <v>107.2775</v>
      </c>
    </row>
    <row r="29" spans="1:12" x14ac:dyDescent="0.2">
      <c r="A29" s="310" t="s">
        <v>19</v>
      </c>
      <c r="B29" s="345">
        <v>2021</v>
      </c>
      <c r="C29" s="42">
        <v>117.67749999999999</v>
      </c>
      <c r="D29" s="42">
        <v>120.77249999999998</v>
      </c>
      <c r="E29" s="42">
        <v>120.72</v>
      </c>
      <c r="F29" s="42">
        <v>118.55000000000001</v>
      </c>
      <c r="G29" s="42">
        <v>119.1225</v>
      </c>
      <c r="H29" s="42">
        <v>113.7475</v>
      </c>
      <c r="I29" s="42">
        <v>111.29750000000001</v>
      </c>
      <c r="J29" s="42">
        <v>107.1425</v>
      </c>
      <c r="K29" s="42">
        <f>MAX(C29:J29)</f>
        <v>120.77249999999998</v>
      </c>
      <c r="L29" s="42">
        <f>MIN(C29:J29)</f>
        <v>107.1425</v>
      </c>
    </row>
    <row r="30" spans="1:12" x14ac:dyDescent="0.2">
      <c r="A30" s="310" t="s">
        <v>22</v>
      </c>
      <c r="B30" s="345">
        <v>2021</v>
      </c>
      <c r="C30" s="42">
        <v>118.64750000000001</v>
      </c>
      <c r="D30" s="42">
        <v>114.26249999999999</v>
      </c>
      <c r="E30" s="42">
        <v>113.39999999999998</v>
      </c>
      <c r="F30" s="42">
        <v>114.76499999999999</v>
      </c>
      <c r="G30" s="42">
        <v>116.98749999999998</v>
      </c>
      <c r="H30" s="42">
        <v>115.15</v>
      </c>
      <c r="I30" s="42">
        <v>116.58</v>
      </c>
      <c r="J30" s="42">
        <v>120.32999999999998</v>
      </c>
      <c r="K30" s="42">
        <f>MAX(C30:J30)</f>
        <v>120.32999999999998</v>
      </c>
      <c r="L30" s="42">
        <f>MIN(C30:J30)</f>
        <v>113.39999999999998</v>
      </c>
    </row>
    <row r="31" spans="1:12" x14ac:dyDescent="0.2">
      <c r="A31" s="310" t="s">
        <v>31</v>
      </c>
      <c r="B31" s="345">
        <v>2024</v>
      </c>
      <c r="C31" s="42">
        <v>119.67249999999999</v>
      </c>
      <c r="D31" s="42">
        <v>119.7075</v>
      </c>
      <c r="E31" s="42">
        <v>118.11</v>
      </c>
      <c r="F31" s="42">
        <v>117.4075</v>
      </c>
      <c r="G31" s="42">
        <v>110.19999999999999</v>
      </c>
      <c r="H31" s="42">
        <v>109.95750000000001</v>
      </c>
      <c r="I31" s="42">
        <v>105.74500000000002</v>
      </c>
      <c r="J31" s="42">
        <v>106.80249999999999</v>
      </c>
      <c r="K31" s="42">
        <f>MAX(C31:J31)</f>
        <v>119.7075</v>
      </c>
      <c r="L31" s="42">
        <f>MIN(C31:J31)</f>
        <v>105.74500000000002</v>
      </c>
    </row>
    <row r="32" spans="1:12" x14ac:dyDescent="0.2">
      <c r="A32" s="312" t="s">
        <v>39</v>
      </c>
      <c r="B32" s="345">
        <v>2022</v>
      </c>
      <c r="C32" s="42">
        <v>113.71499999999999</v>
      </c>
      <c r="D32" s="42">
        <v>116.75749999999999</v>
      </c>
      <c r="E32" s="42">
        <v>115.58000000000001</v>
      </c>
      <c r="F32" s="42">
        <v>117.47500000000001</v>
      </c>
      <c r="G32" s="42">
        <v>117.995</v>
      </c>
      <c r="H32" s="42">
        <v>112.6575</v>
      </c>
      <c r="I32" s="42">
        <v>118.7025</v>
      </c>
      <c r="J32" s="42">
        <v>118.8425</v>
      </c>
      <c r="K32" s="42">
        <f>MAX(C32:J32)</f>
        <v>118.8425</v>
      </c>
      <c r="L32" s="42">
        <f>MIN(C32:J32)</f>
        <v>112.6575</v>
      </c>
    </row>
    <row r="33" spans="1:12" x14ac:dyDescent="0.2">
      <c r="A33" s="310" t="s">
        <v>46</v>
      </c>
      <c r="B33" s="310">
        <v>2025</v>
      </c>
      <c r="C33" s="42">
        <v>110.60749999999999</v>
      </c>
      <c r="D33" s="42">
        <v>117.4525</v>
      </c>
      <c r="E33" s="42">
        <v>114.625</v>
      </c>
      <c r="F33" s="42">
        <v>116.155</v>
      </c>
      <c r="G33" s="42">
        <v>115.30249999999999</v>
      </c>
      <c r="H33" s="42">
        <v>118.3175</v>
      </c>
      <c r="I33" s="42">
        <v>116.17</v>
      </c>
      <c r="J33" s="42"/>
      <c r="K33" s="42">
        <f>MAX(C33:J33)</f>
        <v>118.3175</v>
      </c>
      <c r="L33" s="42">
        <f>MIN(C33:J33)</f>
        <v>110.60749999999999</v>
      </c>
    </row>
    <row r="34" spans="1:12" x14ac:dyDescent="0.2">
      <c r="A34" s="93" t="s">
        <v>23</v>
      </c>
      <c r="B34" s="345">
        <v>2022</v>
      </c>
      <c r="C34" s="42">
        <v>96.274999999999991</v>
      </c>
      <c r="D34" s="42">
        <v>99.3</v>
      </c>
      <c r="E34" s="42">
        <v>111.5625</v>
      </c>
      <c r="F34" s="42">
        <v>111.825</v>
      </c>
      <c r="G34" s="42">
        <v>115.99500000000002</v>
      </c>
      <c r="H34" s="42">
        <v>118.22750000000001</v>
      </c>
      <c r="I34" s="42">
        <v>113.4375</v>
      </c>
      <c r="J34" s="42">
        <v>115.9575</v>
      </c>
      <c r="K34" s="42">
        <f>MAX(C34:J34)</f>
        <v>118.22750000000001</v>
      </c>
      <c r="L34" s="42">
        <f>MIN(C34:J34)</f>
        <v>96.274999999999991</v>
      </c>
    </row>
    <row r="35" spans="1:12" x14ac:dyDescent="0.2">
      <c r="A35" s="93" t="s">
        <v>46</v>
      </c>
      <c r="B35" s="345">
        <v>2023</v>
      </c>
      <c r="C35" s="42">
        <v>111.46749999999997</v>
      </c>
      <c r="D35" s="42">
        <v>117.9225</v>
      </c>
      <c r="E35" s="42">
        <v>114.62</v>
      </c>
      <c r="F35" s="42">
        <v>105.9075</v>
      </c>
      <c r="G35" s="42">
        <v>114.12</v>
      </c>
      <c r="H35" s="42">
        <v>114.85749999999999</v>
      </c>
      <c r="I35" s="42">
        <v>112.42000000000002</v>
      </c>
      <c r="J35" s="42">
        <v>114.51249999999999</v>
      </c>
      <c r="K35" s="42">
        <f>MAX(C35:J35)</f>
        <v>117.9225</v>
      </c>
      <c r="L35" s="42">
        <f>MIN(C35:J35)</f>
        <v>105.9075</v>
      </c>
    </row>
    <row r="36" spans="1:12" x14ac:dyDescent="0.2">
      <c r="A36" s="310" t="s">
        <v>23</v>
      </c>
      <c r="B36" s="345">
        <v>2021</v>
      </c>
      <c r="C36" s="42">
        <v>115.44</v>
      </c>
      <c r="D36" s="42">
        <v>115.16499999999999</v>
      </c>
      <c r="E36" s="42">
        <v>109.9575</v>
      </c>
      <c r="F36" s="42">
        <v>107.46249999999999</v>
      </c>
      <c r="G36" s="42">
        <v>102.07</v>
      </c>
      <c r="H36" s="42">
        <v>102.22999999999999</v>
      </c>
      <c r="I36" s="42">
        <v>99.55</v>
      </c>
      <c r="J36" s="42">
        <v>97.47</v>
      </c>
      <c r="K36" s="42">
        <f>MAX(C36:J36)</f>
        <v>115.44</v>
      </c>
      <c r="L36" s="42">
        <f>MIN(C36:J36)</f>
        <v>97.47</v>
      </c>
    </row>
    <row r="37" spans="1:12" x14ac:dyDescent="0.2">
      <c r="A37" s="93" t="s">
        <v>51</v>
      </c>
      <c r="B37" s="345">
        <v>2023</v>
      </c>
      <c r="C37" s="42">
        <v>115.2475</v>
      </c>
      <c r="D37" s="42">
        <v>113.04000000000002</v>
      </c>
      <c r="E37" s="42">
        <v>110.12</v>
      </c>
      <c r="F37" s="42">
        <v>107.13000000000001</v>
      </c>
      <c r="G37" s="42">
        <v>104.04749999999999</v>
      </c>
      <c r="H37" s="42">
        <v>108.92249999999999</v>
      </c>
      <c r="I37" s="42">
        <v>112.19999999999999</v>
      </c>
      <c r="J37" s="42">
        <v>109.17</v>
      </c>
      <c r="K37" s="42">
        <f>MAX(C37:J37)</f>
        <v>115.2475</v>
      </c>
      <c r="L37" s="42">
        <f>MIN(C37:J37)</f>
        <v>104.04749999999999</v>
      </c>
    </row>
    <row r="38" spans="1:12" x14ac:dyDescent="0.2">
      <c r="A38" s="310" t="s">
        <v>77</v>
      </c>
      <c r="B38" s="345">
        <v>2024</v>
      </c>
      <c r="C38" s="42">
        <v>107.44000000000001</v>
      </c>
      <c r="D38" s="42">
        <v>108.3625</v>
      </c>
      <c r="E38" s="42">
        <v>107.17250000000001</v>
      </c>
      <c r="F38" s="42">
        <v>113.7325</v>
      </c>
      <c r="G38" s="42">
        <v>108.73</v>
      </c>
      <c r="H38" s="42">
        <v>111.33500000000001</v>
      </c>
      <c r="I38" s="42">
        <v>115.1275</v>
      </c>
      <c r="J38" s="42">
        <v>107.1725</v>
      </c>
      <c r="K38" s="42">
        <f>MAX(C38:J38)</f>
        <v>115.1275</v>
      </c>
      <c r="L38" s="42">
        <f>MIN(C38:J38)</f>
        <v>107.1725</v>
      </c>
    </row>
    <row r="39" spans="1:12" x14ac:dyDescent="0.2">
      <c r="A39" s="312" t="s">
        <v>43</v>
      </c>
      <c r="B39" s="345">
        <v>2022</v>
      </c>
      <c r="C39" s="42">
        <v>106.8</v>
      </c>
      <c r="D39" s="42">
        <v>106.56500000000001</v>
      </c>
      <c r="E39" s="42">
        <v>110.98000000000002</v>
      </c>
      <c r="F39" s="42">
        <v>111.715</v>
      </c>
      <c r="G39" s="42">
        <v>113.13</v>
      </c>
      <c r="H39" s="42">
        <v>109.96250000000001</v>
      </c>
      <c r="I39" s="42">
        <v>114.84750000000001</v>
      </c>
      <c r="J39" s="42">
        <v>113.705</v>
      </c>
      <c r="K39" s="42">
        <f>MAX(C39:J39)</f>
        <v>114.84750000000001</v>
      </c>
      <c r="L39" s="42">
        <f>MIN(C39:J39)</f>
        <v>106.56500000000001</v>
      </c>
    </row>
    <row r="40" spans="1:12" x14ac:dyDescent="0.2">
      <c r="A40" s="310" t="s">
        <v>77</v>
      </c>
      <c r="B40" s="310">
        <v>2025</v>
      </c>
      <c r="C40" s="42">
        <v>113.6725</v>
      </c>
      <c r="D40" s="42">
        <v>114.35250000000002</v>
      </c>
      <c r="E40" s="42">
        <v>96.25500000000001</v>
      </c>
      <c r="F40" s="42">
        <v>94.49</v>
      </c>
      <c r="G40" s="42">
        <v>94.572500000000005</v>
      </c>
      <c r="H40" s="42">
        <v>89.11</v>
      </c>
      <c r="I40" s="42">
        <v>87.39</v>
      </c>
      <c r="J40" s="42"/>
      <c r="K40" s="42">
        <f>MAX(C40:J40)</f>
        <v>114.35250000000002</v>
      </c>
      <c r="L40" s="42">
        <f>MIN(C40:J40)</f>
        <v>87.39</v>
      </c>
    </row>
    <row r="41" spans="1:12" x14ac:dyDescent="0.2">
      <c r="A41" s="93" t="s">
        <v>35</v>
      </c>
      <c r="B41" s="345">
        <v>2023</v>
      </c>
      <c r="C41" s="42">
        <v>94.585000000000008</v>
      </c>
      <c r="D41" s="42">
        <v>91.875</v>
      </c>
      <c r="E41" s="42">
        <v>96.765000000000001</v>
      </c>
      <c r="F41" s="42">
        <v>101.255</v>
      </c>
      <c r="G41" s="42">
        <v>108.65</v>
      </c>
      <c r="H41" s="42">
        <v>108.47499999999999</v>
      </c>
      <c r="I41" s="42">
        <v>111.58499999999999</v>
      </c>
      <c r="J41" s="42">
        <v>114.20000000000002</v>
      </c>
      <c r="K41" s="42">
        <f>MAX(C41:J41)</f>
        <v>114.20000000000002</v>
      </c>
      <c r="L41" s="42">
        <f>MIN(C41:J41)</f>
        <v>91.875</v>
      </c>
    </row>
    <row r="42" spans="1:12" x14ac:dyDescent="0.2">
      <c r="A42" s="310" t="s">
        <v>31</v>
      </c>
      <c r="B42" s="310">
        <v>2025</v>
      </c>
      <c r="C42" s="42">
        <v>114.13000000000002</v>
      </c>
      <c r="D42" s="42">
        <v>110.23750000000001</v>
      </c>
      <c r="E42" s="42">
        <v>109.25250000000001</v>
      </c>
      <c r="F42" s="42">
        <v>112.61499999999999</v>
      </c>
      <c r="G42" s="42">
        <v>111.735</v>
      </c>
      <c r="H42" s="42">
        <v>109.14250000000001</v>
      </c>
      <c r="I42" s="42">
        <v>101.92250000000001</v>
      </c>
      <c r="J42" s="42"/>
      <c r="K42" s="42">
        <f>MAX(C42:J42)</f>
        <v>114.13000000000002</v>
      </c>
      <c r="L42" s="42">
        <f>MIN(C42:J42)</f>
        <v>101.92250000000001</v>
      </c>
    </row>
    <row r="43" spans="1:12" x14ac:dyDescent="0.2">
      <c r="A43" s="310" t="s">
        <v>26</v>
      </c>
      <c r="B43" s="310">
        <v>2025</v>
      </c>
      <c r="C43" s="42">
        <v>107.44</v>
      </c>
      <c r="D43" s="42">
        <v>108.87999999999998</v>
      </c>
      <c r="E43" s="42">
        <v>114.00999999999998</v>
      </c>
      <c r="F43" s="42">
        <v>109.7825</v>
      </c>
      <c r="G43" s="42">
        <v>103.46</v>
      </c>
      <c r="H43" s="42">
        <v>101.75750000000001</v>
      </c>
      <c r="I43" s="42">
        <v>104.2775</v>
      </c>
      <c r="J43" s="42"/>
      <c r="K43" s="42">
        <f>MAX(C43:J43)</f>
        <v>114.00999999999998</v>
      </c>
      <c r="L43" s="42">
        <f>MIN(C43:J43)</f>
        <v>101.75750000000001</v>
      </c>
    </row>
    <row r="44" spans="1:12" x14ac:dyDescent="0.2">
      <c r="A44" s="310" t="s">
        <v>73</v>
      </c>
      <c r="B44" s="345">
        <v>2024</v>
      </c>
      <c r="C44" s="42">
        <v>113.88999999999999</v>
      </c>
      <c r="D44" s="42">
        <v>111.12</v>
      </c>
      <c r="E44" s="42">
        <v>103.91</v>
      </c>
      <c r="F44" s="42">
        <v>105.095</v>
      </c>
      <c r="G44" s="42">
        <v>103.35</v>
      </c>
      <c r="H44" s="42">
        <v>104.15499999999999</v>
      </c>
      <c r="I44" s="42">
        <v>110.07499999999999</v>
      </c>
      <c r="J44" s="42">
        <v>111.44749999999999</v>
      </c>
      <c r="K44" s="42">
        <f>MAX(C44:J44)</f>
        <v>113.88999999999999</v>
      </c>
      <c r="L44" s="42">
        <f>MIN(C44:J44)</f>
        <v>103.35</v>
      </c>
    </row>
    <row r="45" spans="1:12" x14ac:dyDescent="0.2">
      <c r="A45" s="310" t="s">
        <v>42</v>
      </c>
      <c r="B45" s="310">
        <v>2025</v>
      </c>
      <c r="C45" s="42">
        <v>107.65749999999998</v>
      </c>
      <c r="D45" s="42">
        <v>109.79250000000002</v>
      </c>
      <c r="E45" s="42">
        <v>108.86000000000001</v>
      </c>
      <c r="F45" s="42">
        <v>113.595</v>
      </c>
      <c r="G45" s="42">
        <v>109.6825</v>
      </c>
      <c r="H45" s="42">
        <v>107.46000000000001</v>
      </c>
      <c r="I45" s="42">
        <v>106.41</v>
      </c>
      <c r="J45" s="42"/>
      <c r="K45" s="42">
        <f>MAX(C45:J45)</f>
        <v>113.595</v>
      </c>
      <c r="L45" s="42">
        <f>MIN(C45:J45)</f>
        <v>106.41</v>
      </c>
    </row>
    <row r="46" spans="1:12" x14ac:dyDescent="0.2">
      <c r="A46" s="312" t="s">
        <v>26</v>
      </c>
      <c r="B46" s="345">
        <v>2022</v>
      </c>
      <c r="C46" s="42">
        <v>112.40500000000002</v>
      </c>
      <c r="D46" s="42">
        <v>112.64500000000001</v>
      </c>
      <c r="E46" s="42">
        <v>111.7475</v>
      </c>
      <c r="F46" s="42">
        <v>111.29750000000001</v>
      </c>
      <c r="G46" s="42">
        <v>104.26500000000001</v>
      </c>
      <c r="H46" s="42">
        <v>97.3125</v>
      </c>
      <c r="I46" s="42">
        <v>98.08</v>
      </c>
      <c r="J46" s="42">
        <v>99.64</v>
      </c>
      <c r="K46" s="42">
        <f>MAX(C46:J46)</f>
        <v>112.64500000000001</v>
      </c>
      <c r="L46" s="42">
        <f>MIN(C46:J46)</f>
        <v>97.3125</v>
      </c>
    </row>
    <row r="47" spans="1:12" x14ac:dyDescent="0.2">
      <c r="A47" s="93" t="s">
        <v>44</v>
      </c>
      <c r="B47" s="345">
        <v>2022</v>
      </c>
      <c r="C47" s="42">
        <v>108.3</v>
      </c>
      <c r="D47" s="42">
        <v>104.05500000000001</v>
      </c>
      <c r="E47" s="42">
        <v>102.10999999999999</v>
      </c>
      <c r="F47" s="42">
        <v>110.495</v>
      </c>
      <c r="G47" s="42">
        <v>107.97499999999999</v>
      </c>
      <c r="H47" s="42">
        <v>111.74249999999999</v>
      </c>
      <c r="I47" s="42">
        <v>109.62499999999999</v>
      </c>
      <c r="J47" s="42">
        <v>110.49</v>
      </c>
      <c r="K47" s="42">
        <f>MAX(C47:J47)</f>
        <v>111.74249999999999</v>
      </c>
      <c r="L47" s="42">
        <f>MIN(C47:J47)</f>
        <v>102.10999999999999</v>
      </c>
    </row>
    <row r="48" spans="1:12" x14ac:dyDescent="0.2">
      <c r="A48" s="310" t="s">
        <v>526</v>
      </c>
      <c r="B48" s="310">
        <v>2025</v>
      </c>
      <c r="C48" s="42">
        <v>108.3625</v>
      </c>
      <c r="D48" s="42">
        <v>108.74999999999999</v>
      </c>
      <c r="E48" s="42">
        <v>111.53</v>
      </c>
      <c r="F48" s="42">
        <v>104.90249999999999</v>
      </c>
      <c r="G48" s="42">
        <v>99.682500000000005</v>
      </c>
      <c r="H48" s="42">
        <v>97.81</v>
      </c>
      <c r="I48" s="42">
        <v>96.045000000000002</v>
      </c>
      <c r="J48" s="42"/>
      <c r="K48" s="42">
        <f>MAX(C48:J48)</f>
        <v>111.53</v>
      </c>
      <c r="L48" s="42">
        <f>MIN(C48:J48)</f>
        <v>96.045000000000002</v>
      </c>
    </row>
    <row r="49" spans="1:12" x14ac:dyDescent="0.2">
      <c r="A49" s="310" t="s">
        <v>74</v>
      </c>
      <c r="B49" s="345">
        <v>2024</v>
      </c>
      <c r="C49" s="42">
        <v>106.21999999999998</v>
      </c>
      <c r="D49" s="42">
        <v>110.05249999999999</v>
      </c>
      <c r="E49" s="42">
        <v>108.27249999999999</v>
      </c>
      <c r="F49" s="42">
        <v>106.33500000000001</v>
      </c>
      <c r="G49" s="42">
        <v>101.14</v>
      </c>
      <c r="H49" s="42">
        <v>106.105</v>
      </c>
      <c r="I49" s="42">
        <v>111.16249999999999</v>
      </c>
      <c r="J49" s="42">
        <v>110.61750000000001</v>
      </c>
      <c r="K49" s="42">
        <f>MAX(C49:J49)</f>
        <v>111.16249999999999</v>
      </c>
      <c r="L49" s="42">
        <f>MIN(C49:J49)</f>
        <v>101.14</v>
      </c>
    </row>
    <row r="50" spans="1:12" x14ac:dyDescent="0.2">
      <c r="A50" s="310" t="s">
        <v>75</v>
      </c>
      <c r="B50" s="345">
        <v>2024</v>
      </c>
      <c r="C50" s="42">
        <v>101.28749999999999</v>
      </c>
      <c r="D50" s="42">
        <v>104.3325</v>
      </c>
      <c r="E50" s="42">
        <v>102.38500000000001</v>
      </c>
      <c r="F50" s="42">
        <v>104.39</v>
      </c>
      <c r="G50" s="42">
        <v>105.125</v>
      </c>
      <c r="H50" s="42">
        <v>103.13499999999999</v>
      </c>
      <c r="I50" s="42">
        <v>108.4325</v>
      </c>
      <c r="J50" s="42">
        <v>111.01500000000001</v>
      </c>
      <c r="K50" s="42">
        <f>MAX(C50:J50)</f>
        <v>111.01500000000001</v>
      </c>
      <c r="L50" s="42">
        <f>MIN(C50:J50)</f>
        <v>101.28749999999999</v>
      </c>
    </row>
    <row r="51" spans="1:12" x14ac:dyDescent="0.2">
      <c r="A51" s="210" t="s">
        <v>18</v>
      </c>
      <c r="B51" s="345">
        <v>2023</v>
      </c>
      <c r="C51" s="42">
        <v>105.935</v>
      </c>
      <c r="D51" s="42">
        <v>107.58499999999998</v>
      </c>
      <c r="E51" s="42">
        <v>101.53</v>
      </c>
      <c r="F51" s="42">
        <v>108.3425</v>
      </c>
      <c r="G51" s="42">
        <v>109.66749999999999</v>
      </c>
      <c r="H51" s="42">
        <v>110.495</v>
      </c>
      <c r="I51" s="42">
        <v>110.6525</v>
      </c>
      <c r="J51" s="42">
        <v>109.1525</v>
      </c>
      <c r="K51" s="42">
        <f>MAX(C51:J51)</f>
        <v>110.6525</v>
      </c>
      <c r="L51" s="42">
        <f>MIN(C51:J51)</f>
        <v>101.53</v>
      </c>
    </row>
    <row r="52" spans="1:12" x14ac:dyDescent="0.2">
      <c r="A52" s="32" t="s">
        <v>14</v>
      </c>
      <c r="B52" s="345">
        <v>2024</v>
      </c>
      <c r="C52" s="42">
        <v>96.132499999999993</v>
      </c>
      <c r="D52" s="42">
        <v>96.995000000000019</v>
      </c>
      <c r="E52" s="42">
        <v>97.612500000000011</v>
      </c>
      <c r="F52" s="42">
        <v>105.61750000000001</v>
      </c>
      <c r="G52" s="42">
        <v>106.82750000000001</v>
      </c>
      <c r="H52" s="42">
        <v>108.815</v>
      </c>
      <c r="I52" s="42">
        <v>109.97750000000001</v>
      </c>
      <c r="J52" s="42">
        <v>108.5575</v>
      </c>
      <c r="K52" s="42">
        <f>MAX(C52:J52)</f>
        <v>109.97750000000001</v>
      </c>
      <c r="L52" s="42">
        <f>MIN(C52:J52)</f>
        <v>96.132499999999993</v>
      </c>
    </row>
    <row r="53" spans="1:12" x14ac:dyDescent="0.2">
      <c r="A53" s="32" t="s">
        <v>26</v>
      </c>
      <c r="B53" s="345">
        <v>2021</v>
      </c>
      <c r="C53" s="42">
        <v>103.27000000000001</v>
      </c>
      <c r="D53" s="42">
        <v>101.2175</v>
      </c>
      <c r="E53" s="42">
        <v>102.29</v>
      </c>
      <c r="F53" s="42">
        <v>108.09</v>
      </c>
      <c r="G53" s="42">
        <v>109.78500000000001</v>
      </c>
      <c r="H53" s="42">
        <v>104.99000000000001</v>
      </c>
      <c r="I53" s="42">
        <v>107.52749999999999</v>
      </c>
      <c r="J53" s="42">
        <v>109.83749999999999</v>
      </c>
      <c r="K53" s="42">
        <f>MAX(C53:J53)</f>
        <v>109.83749999999999</v>
      </c>
      <c r="L53" s="42">
        <f>MIN(C53:J53)</f>
        <v>101.2175</v>
      </c>
    </row>
    <row r="54" spans="1:12" x14ac:dyDescent="0.2">
      <c r="A54" s="32" t="s">
        <v>14</v>
      </c>
      <c r="B54" s="310">
        <v>2025</v>
      </c>
      <c r="C54" s="42">
        <v>109.58249999999998</v>
      </c>
      <c r="D54" s="42">
        <v>109.79499999999999</v>
      </c>
      <c r="E54" s="42">
        <v>105.93750000000001</v>
      </c>
      <c r="F54" s="42">
        <v>102.91249999999999</v>
      </c>
      <c r="G54" s="42">
        <v>102.93</v>
      </c>
      <c r="H54" s="42">
        <v>99.064999999999998</v>
      </c>
      <c r="I54" s="42">
        <v>107.96500000000002</v>
      </c>
      <c r="J54" s="42"/>
      <c r="K54" s="42">
        <f>MAX(C54:J54)</f>
        <v>109.79499999999999</v>
      </c>
      <c r="L54" s="42">
        <f>MIN(C54:J54)</f>
        <v>99.064999999999998</v>
      </c>
    </row>
    <row r="55" spans="1:12" x14ac:dyDescent="0.2">
      <c r="A55" s="210" t="s">
        <v>50</v>
      </c>
      <c r="B55" s="345">
        <v>2023</v>
      </c>
      <c r="C55" s="42">
        <v>100.08750000000001</v>
      </c>
      <c r="D55" s="42">
        <v>98.995000000000005</v>
      </c>
      <c r="E55" s="42">
        <v>104.5125</v>
      </c>
      <c r="F55" s="42">
        <v>101.075</v>
      </c>
      <c r="G55" s="42">
        <v>102.71000000000001</v>
      </c>
      <c r="H55" s="42">
        <v>100.89500000000001</v>
      </c>
      <c r="I55" s="42">
        <v>102.35499999999999</v>
      </c>
      <c r="J55" s="42">
        <v>108.595</v>
      </c>
      <c r="K55" s="42">
        <f>MAX(C55:J55)</f>
        <v>108.595</v>
      </c>
      <c r="L55" s="42">
        <f>MIN(C55:J55)</f>
        <v>98.995000000000005</v>
      </c>
    </row>
    <row r="56" spans="1:12" x14ac:dyDescent="0.2">
      <c r="A56" s="210" t="s">
        <v>42</v>
      </c>
      <c r="B56" s="345">
        <v>2023</v>
      </c>
      <c r="C56" s="42">
        <v>107.79250000000002</v>
      </c>
      <c r="D56" s="42">
        <v>108.22750000000001</v>
      </c>
      <c r="E56" s="42">
        <v>106.52999999999999</v>
      </c>
      <c r="F56" s="42">
        <v>107.46749999999999</v>
      </c>
      <c r="G56" s="42">
        <v>104.74249999999999</v>
      </c>
      <c r="H56" s="42">
        <v>100.935</v>
      </c>
      <c r="I56" s="42">
        <v>103.9425</v>
      </c>
      <c r="J56" s="42">
        <v>103.4175</v>
      </c>
      <c r="K56" s="42">
        <f>MAX(C56:J56)</f>
        <v>108.22750000000001</v>
      </c>
      <c r="L56" s="42">
        <f>MIN(C56:J56)</f>
        <v>100.935</v>
      </c>
    </row>
    <row r="57" spans="1:12" x14ac:dyDescent="0.2">
      <c r="A57" s="210" t="s">
        <v>31</v>
      </c>
      <c r="B57" s="345">
        <v>2022</v>
      </c>
      <c r="C57" s="42">
        <v>108.10749999999999</v>
      </c>
      <c r="D57" s="42">
        <v>102.92</v>
      </c>
      <c r="E57" s="42">
        <v>100.85</v>
      </c>
      <c r="F57" s="42">
        <v>97.487499999999997</v>
      </c>
      <c r="G57" s="42">
        <v>99.56</v>
      </c>
      <c r="H57" s="42">
        <v>100.61</v>
      </c>
      <c r="I57" s="42">
        <v>100.2475</v>
      </c>
      <c r="J57" s="42">
        <v>98.685000000000002</v>
      </c>
      <c r="K57" s="42">
        <f>MAX(C57:J57)</f>
        <v>108.10749999999999</v>
      </c>
      <c r="L57" s="42">
        <f>MIN(C57:J57)</f>
        <v>97.487499999999997</v>
      </c>
    </row>
    <row r="58" spans="1:12" x14ac:dyDescent="0.2">
      <c r="A58" s="210" t="s">
        <v>22</v>
      </c>
      <c r="B58" s="345">
        <v>2022</v>
      </c>
      <c r="C58" s="42">
        <v>106.63250000000001</v>
      </c>
      <c r="D58" s="42">
        <v>102.6125</v>
      </c>
      <c r="E58" s="42">
        <v>98.522500000000008</v>
      </c>
      <c r="F58" s="42">
        <v>99.254999999999995</v>
      </c>
      <c r="G58" s="42">
        <v>97.087499999999991</v>
      </c>
      <c r="H58" s="42">
        <v>96.234999999999999</v>
      </c>
      <c r="I58" s="42">
        <v>96.317499999999995</v>
      </c>
      <c r="J58" s="42">
        <v>99.88</v>
      </c>
      <c r="K58" s="42">
        <f>MAX(C58:J58)</f>
        <v>106.63250000000001</v>
      </c>
      <c r="L58" s="42">
        <f>MIN(C58:J58)</f>
        <v>96.234999999999999</v>
      </c>
    </row>
    <row r="59" spans="1:12" x14ac:dyDescent="0.2">
      <c r="A59" s="32" t="s">
        <v>35</v>
      </c>
      <c r="B59" s="345">
        <v>2024</v>
      </c>
      <c r="C59" s="42">
        <v>103.1875</v>
      </c>
      <c r="D59" s="42">
        <v>99.649999999999991</v>
      </c>
      <c r="E59" s="42">
        <v>101.485</v>
      </c>
      <c r="F59" s="42">
        <v>103.0275</v>
      </c>
      <c r="G59" s="42">
        <v>105.13</v>
      </c>
      <c r="H59" s="42">
        <v>104.035</v>
      </c>
      <c r="I59" s="42">
        <v>94.817499999999995</v>
      </c>
      <c r="J59" s="42">
        <v>91.67</v>
      </c>
      <c r="K59" s="42">
        <f>MAX(C59:J59)</f>
        <v>105.13</v>
      </c>
      <c r="L59" s="42">
        <f>MIN(C59:J59)</f>
        <v>91.67</v>
      </c>
    </row>
    <row r="60" spans="1:12" x14ac:dyDescent="0.2">
      <c r="A60" s="32" t="s">
        <v>27</v>
      </c>
      <c r="B60" s="345">
        <v>2021</v>
      </c>
      <c r="C60" s="42">
        <v>98.657499999999999</v>
      </c>
      <c r="D60" s="42">
        <v>100.21249999999999</v>
      </c>
      <c r="E60" s="42">
        <v>101.55250000000001</v>
      </c>
      <c r="F60" s="42">
        <v>102.9075</v>
      </c>
      <c r="G60" s="42">
        <v>99.055000000000007</v>
      </c>
      <c r="H60" s="42">
        <v>97.942499999999995</v>
      </c>
      <c r="I60" s="42">
        <v>94.265000000000015</v>
      </c>
      <c r="J60" s="42">
        <v>97.402500000000003</v>
      </c>
      <c r="K60" s="42">
        <f>MAX(C60:J60)</f>
        <v>102.9075</v>
      </c>
      <c r="L60" s="42">
        <f>MIN(C60:J60)</f>
        <v>94.265000000000015</v>
      </c>
    </row>
    <row r="61" spans="1:12" x14ac:dyDescent="0.2">
      <c r="A61" s="210" t="s">
        <v>52</v>
      </c>
      <c r="B61" s="345">
        <v>2023</v>
      </c>
      <c r="C61" s="42">
        <v>100.6575</v>
      </c>
      <c r="D61" s="42">
        <v>101.38749999999999</v>
      </c>
      <c r="E61" s="42">
        <v>100.97499999999998</v>
      </c>
      <c r="F61" s="42">
        <v>97.85</v>
      </c>
      <c r="G61" s="42">
        <v>96.784999999999997</v>
      </c>
      <c r="H61" s="42">
        <v>97.572499999999991</v>
      </c>
      <c r="I61" s="42">
        <v>99.16</v>
      </c>
      <c r="J61" s="42">
        <v>100.355</v>
      </c>
      <c r="K61" s="42">
        <f>MAX(C61:J61)</f>
        <v>101.38749999999999</v>
      </c>
      <c r="L61" s="42">
        <f>MIN(C61:J61)</f>
        <v>96.784999999999997</v>
      </c>
    </row>
    <row r="62" spans="1:12" x14ac:dyDescent="0.2">
      <c r="A62" s="32" t="s">
        <v>31</v>
      </c>
      <c r="B62" s="345">
        <v>2021</v>
      </c>
      <c r="C62" s="42">
        <v>90.960000000000008</v>
      </c>
      <c r="D62" s="42">
        <v>87.800000000000011</v>
      </c>
      <c r="E62" s="42">
        <v>86.107500000000016</v>
      </c>
      <c r="F62" s="42">
        <v>84.965000000000003</v>
      </c>
      <c r="G62" s="42">
        <v>85.662499999999994</v>
      </c>
      <c r="H62" s="42">
        <v>89.472499999999997</v>
      </c>
      <c r="I62" s="42">
        <v>93.964999999999989</v>
      </c>
      <c r="J62" s="42">
        <v>93.534999999999997</v>
      </c>
      <c r="K62" s="42">
        <f>MAX(C62:J62)</f>
        <v>93.964999999999989</v>
      </c>
      <c r="L62" s="42">
        <f>MIN(C62:J62)</f>
        <v>84.965000000000003</v>
      </c>
    </row>
  </sheetData>
  <sortState xmlns:xlrd2="http://schemas.microsoft.com/office/spreadsheetml/2017/richdata2" ref="A3:L62">
    <sortCondition descending="1" ref="K3:K62"/>
  </sortState>
  <conditionalFormatting sqref="C3:J6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62">
    <cfRule type="colorScale" priority="1">
      <colorScale>
        <cfvo type="min"/>
        <cfvo type="percentile" val="50"/>
        <cfvo type="max"/>
        <color theme="5" tint="0.59999389629810485"/>
        <color theme="0"/>
        <color theme="4" tint="0.59999389629810485"/>
      </colorScale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A80A-90C7-D24D-A52F-5A8F5056540F}">
  <dimension ref="A3:K17"/>
  <sheetViews>
    <sheetView tabSelected="1" zoomScale="120" zoomScaleNormal="120" workbookViewId="0">
      <selection activeCell="C22" sqref="C22"/>
    </sheetView>
  </sheetViews>
  <sheetFormatPr baseColWidth="10" defaultRowHeight="16" x14ac:dyDescent="0.2"/>
  <cols>
    <col min="2" max="2" width="24.5" customWidth="1"/>
    <col min="3" max="3" width="15" customWidth="1"/>
    <col min="8" max="8" width="26" customWidth="1"/>
  </cols>
  <sheetData>
    <row r="3" spans="1:11" x14ac:dyDescent="0.2">
      <c r="A3" s="27"/>
      <c r="B3" s="27"/>
      <c r="C3" s="27"/>
      <c r="D3" s="27"/>
      <c r="E3" s="27"/>
      <c r="F3" s="27"/>
      <c r="G3" s="27"/>
    </row>
    <row r="4" spans="1:11" ht="32" customHeight="1" x14ac:dyDescent="0.2">
      <c r="A4" s="27"/>
      <c r="B4" s="304" t="s">
        <v>677</v>
      </c>
      <c r="C4" s="305"/>
      <c r="D4" s="305"/>
      <c r="E4" s="305"/>
      <c r="F4" s="306"/>
      <c r="G4" s="27"/>
      <c r="H4" s="304" t="s">
        <v>624</v>
      </c>
      <c r="I4" s="305"/>
      <c r="J4" s="305"/>
      <c r="K4" s="306"/>
    </row>
    <row r="5" spans="1:11" x14ac:dyDescent="0.2">
      <c r="A5" s="27"/>
      <c r="B5" s="69" t="s">
        <v>468</v>
      </c>
      <c r="C5" s="70" t="s">
        <v>684</v>
      </c>
      <c r="D5" s="70" t="s">
        <v>0</v>
      </c>
      <c r="E5" s="70" t="s">
        <v>412</v>
      </c>
      <c r="F5" s="86" t="s">
        <v>469</v>
      </c>
      <c r="G5" s="213"/>
      <c r="H5" s="69" t="s">
        <v>468</v>
      </c>
      <c r="I5" s="70" t="s">
        <v>0</v>
      </c>
      <c r="J5" s="70" t="s">
        <v>412</v>
      </c>
      <c r="K5" s="86" t="s">
        <v>469</v>
      </c>
    </row>
    <row r="6" spans="1:11" x14ac:dyDescent="0.2">
      <c r="A6" s="27"/>
      <c r="B6" s="205" t="s">
        <v>35</v>
      </c>
      <c r="C6" s="224" t="s">
        <v>49</v>
      </c>
      <c r="D6" s="224">
        <v>2025</v>
      </c>
      <c r="E6" s="215">
        <v>136.17999999999998</v>
      </c>
      <c r="F6" s="346" t="s">
        <v>678</v>
      </c>
      <c r="G6" s="27"/>
      <c r="H6" s="216" t="s">
        <v>23</v>
      </c>
      <c r="I6" s="124">
        <v>2022</v>
      </c>
      <c r="J6" s="65">
        <v>75.03</v>
      </c>
      <c r="K6" s="179" t="s">
        <v>478</v>
      </c>
    </row>
    <row r="7" spans="1:11" x14ac:dyDescent="0.2">
      <c r="A7" s="27"/>
      <c r="B7" s="32" t="s">
        <v>46</v>
      </c>
      <c r="C7" s="310" t="s">
        <v>47</v>
      </c>
      <c r="D7" s="310">
        <v>2024</v>
      </c>
      <c r="E7" s="327">
        <v>134.185</v>
      </c>
      <c r="F7" s="43" t="s">
        <v>679</v>
      </c>
      <c r="G7" s="27"/>
      <c r="H7" s="36" t="s">
        <v>77</v>
      </c>
      <c r="I7" s="90">
        <v>2025</v>
      </c>
      <c r="J7" s="214">
        <v>75.429999999999993</v>
      </c>
      <c r="K7" s="94" t="s">
        <v>625</v>
      </c>
    </row>
    <row r="8" spans="1:11" x14ac:dyDescent="0.2">
      <c r="A8" s="27"/>
      <c r="B8" s="36" t="s">
        <v>521</v>
      </c>
      <c r="C8" s="314" t="s">
        <v>29</v>
      </c>
      <c r="D8" s="314">
        <v>2025</v>
      </c>
      <c r="E8" s="328">
        <v>133.6825</v>
      </c>
      <c r="F8" s="94" t="s">
        <v>680</v>
      </c>
      <c r="G8" s="27"/>
      <c r="H8" s="32" t="s">
        <v>50</v>
      </c>
      <c r="I8">
        <v>2023</v>
      </c>
      <c r="J8" s="42">
        <v>80.424999999999997</v>
      </c>
      <c r="K8" s="43" t="s">
        <v>622</v>
      </c>
    </row>
    <row r="9" spans="1:11" x14ac:dyDescent="0.2">
      <c r="A9" s="27"/>
      <c r="B9" s="32" t="s">
        <v>44</v>
      </c>
      <c r="C9" s="310" t="s">
        <v>45</v>
      </c>
      <c r="D9" s="310">
        <v>2023</v>
      </c>
      <c r="E9" s="327">
        <v>132.405</v>
      </c>
      <c r="F9" s="43" t="s">
        <v>681</v>
      </c>
      <c r="G9" s="27"/>
      <c r="H9" s="32" t="s">
        <v>52</v>
      </c>
      <c r="I9">
        <v>2023</v>
      </c>
      <c r="J9" s="42">
        <v>81.69</v>
      </c>
      <c r="K9" s="43" t="s">
        <v>625</v>
      </c>
    </row>
    <row r="10" spans="1:11" x14ac:dyDescent="0.2">
      <c r="A10" s="27"/>
      <c r="B10" s="32" t="s">
        <v>466</v>
      </c>
      <c r="C10" s="310" t="s">
        <v>32</v>
      </c>
      <c r="D10" s="310">
        <v>2021</v>
      </c>
      <c r="E10" s="327">
        <v>132.14249999999998</v>
      </c>
      <c r="F10" s="43" t="s">
        <v>682</v>
      </c>
      <c r="G10" s="27"/>
      <c r="H10" s="210" t="s">
        <v>22</v>
      </c>
      <c r="I10">
        <v>2022</v>
      </c>
      <c r="J10" s="42">
        <v>82.17</v>
      </c>
      <c r="K10" s="43" t="s">
        <v>622</v>
      </c>
    </row>
    <row r="11" spans="1:11" x14ac:dyDescent="0.2">
      <c r="A11" s="27"/>
      <c r="B11" s="32" t="s">
        <v>18</v>
      </c>
      <c r="C11" s="310" t="s">
        <v>20</v>
      </c>
      <c r="D11" s="310">
        <v>2021</v>
      </c>
      <c r="E11" s="327">
        <v>131.10750000000002</v>
      </c>
      <c r="F11" s="347" t="s">
        <v>682</v>
      </c>
      <c r="G11" s="27"/>
      <c r="H11" s="32" t="s">
        <v>27</v>
      </c>
      <c r="I11">
        <v>2021</v>
      </c>
      <c r="J11" s="42">
        <v>82.86</v>
      </c>
      <c r="K11" s="43" t="s">
        <v>471</v>
      </c>
    </row>
    <row r="12" spans="1:11" x14ac:dyDescent="0.2">
      <c r="A12" s="27"/>
      <c r="B12" s="32" t="s">
        <v>15</v>
      </c>
      <c r="C12" s="310" t="s">
        <v>17</v>
      </c>
      <c r="D12" s="310">
        <v>2021</v>
      </c>
      <c r="E12" s="327">
        <v>130.785</v>
      </c>
      <c r="F12" s="347" t="s">
        <v>679</v>
      </c>
      <c r="G12" s="27"/>
      <c r="H12" s="32" t="s">
        <v>31</v>
      </c>
      <c r="I12">
        <v>2021</v>
      </c>
      <c r="J12" s="42">
        <v>82.9</v>
      </c>
      <c r="K12" s="43" t="s">
        <v>626</v>
      </c>
    </row>
    <row r="13" spans="1:11" x14ac:dyDescent="0.2">
      <c r="A13" s="27"/>
      <c r="B13" s="32" t="s">
        <v>31</v>
      </c>
      <c r="C13" s="310" t="s">
        <v>33</v>
      </c>
      <c r="D13" s="310">
        <v>2023</v>
      </c>
      <c r="E13" s="327">
        <v>130.73999999999998</v>
      </c>
      <c r="F13" s="43" t="s">
        <v>680</v>
      </c>
      <c r="G13" s="27"/>
      <c r="H13" s="210" t="s">
        <v>42</v>
      </c>
      <c r="I13">
        <v>2022</v>
      </c>
      <c r="J13" s="42">
        <v>85.765000000000001</v>
      </c>
      <c r="K13" s="43" t="s">
        <v>473</v>
      </c>
    </row>
    <row r="14" spans="1:11" x14ac:dyDescent="0.2">
      <c r="A14" s="27"/>
      <c r="B14" s="32" t="s">
        <v>34</v>
      </c>
      <c r="C14" s="310" t="s">
        <v>36</v>
      </c>
      <c r="D14" s="310">
        <v>2021</v>
      </c>
      <c r="E14" s="327">
        <v>130.41249999999999</v>
      </c>
      <c r="F14" s="43" t="s">
        <v>683</v>
      </c>
      <c r="G14" s="27"/>
      <c r="H14" s="210" t="s">
        <v>31</v>
      </c>
      <c r="I14">
        <v>2022</v>
      </c>
      <c r="J14" s="42">
        <v>85.88</v>
      </c>
      <c r="K14" s="43" t="s">
        <v>627</v>
      </c>
    </row>
    <row r="15" spans="1:11" x14ac:dyDescent="0.2">
      <c r="A15" s="27"/>
      <c r="B15" s="74" t="s">
        <v>48</v>
      </c>
      <c r="C15" s="75" t="s">
        <v>36</v>
      </c>
      <c r="D15" s="75">
        <v>2023</v>
      </c>
      <c r="E15" s="25">
        <v>130.02000000000001</v>
      </c>
      <c r="F15" s="95" t="s">
        <v>680</v>
      </c>
      <c r="G15" s="27"/>
      <c r="H15" s="211" t="s">
        <v>526</v>
      </c>
      <c r="I15" s="118">
        <v>2025</v>
      </c>
      <c r="J15" s="217">
        <v>86.605000000000004</v>
      </c>
      <c r="K15" s="212" t="s">
        <v>471</v>
      </c>
    </row>
    <row r="16" spans="1:11" x14ac:dyDescent="0.2">
      <c r="A16" s="27"/>
      <c r="B16" s="97"/>
      <c r="C16" s="97"/>
      <c r="D16" s="27"/>
      <c r="E16" s="27"/>
      <c r="F16" s="96"/>
      <c r="G16" s="27"/>
      <c r="H16" s="97"/>
      <c r="I16" s="27"/>
      <c r="J16" s="27"/>
      <c r="K16" s="96"/>
    </row>
    <row r="17" spans="2:11" x14ac:dyDescent="0.2">
      <c r="B17" s="27"/>
      <c r="C17" s="27"/>
      <c r="D17" s="27"/>
      <c r="E17" s="27"/>
      <c r="F17" s="27"/>
      <c r="G17" s="27"/>
      <c r="H17" s="27"/>
      <c r="I17" s="27"/>
      <c r="J17" s="27"/>
      <c r="K17" s="27"/>
    </row>
  </sheetData>
  <mergeCells count="2">
    <mergeCell ref="B4:F4"/>
    <mergeCell ref="H4:K4"/>
  </mergeCells>
  <conditionalFormatting sqref="D17:G17 G6:G1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:J15">
    <cfRule type="colorScale" priority="1">
      <colorScale>
        <cfvo type="min"/>
        <cfvo type="num" val="100"/>
        <color rgb="FFF8696B"/>
        <color rgb="FFFCFCFF"/>
      </colorScale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H141"/>
  <sheetViews>
    <sheetView topLeftCell="A102" zoomScale="120" zoomScaleNormal="120" workbookViewId="0">
      <selection activeCell="I129" sqref="I129"/>
    </sheetView>
  </sheetViews>
  <sheetFormatPr baseColWidth="10" defaultRowHeight="16" x14ac:dyDescent="0.2"/>
  <cols>
    <col min="1" max="1" width="10.83203125" style="27"/>
    <col min="3" max="3" width="27.33203125" customWidth="1"/>
    <col min="4" max="4" width="15.33203125" customWidth="1"/>
    <col min="6" max="6" width="11.6640625" bestFit="1" customWidth="1"/>
    <col min="7" max="7" width="13.83203125" customWidth="1"/>
    <col min="8" max="8" width="10.83203125" style="27"/>
  </cols>
  <sheetData>
    <row r="2" spans="2:7" ht="21" x14ac:dyDescent="0.25">
      <c r="B2" s="287" t="s">
        <v>628</v>
      </c>
      <c r="C2" s="288"/>
      <c r="D2" s="288"/>
      <c r="E2" s="288"/>
      <c r="F2" s="288"/>
      <c r="G2" s="289"/>
    </row>
    <row r="3" spans="2:7" ht="33" customHeight="1" x14ac:dyDescent="0.2">
      <c r="B3" s="69" t="s">
        <v>499</v>
      </c>
      <c r="C3" s="120" t="s">
        <v>78</v>
      </c>
      <c r="D3" s="120" t="s">
        <v>79</v>
      </c>
      <c r="E3" s="120" t="s">
        <v>0</v>
      </c>
      <c r="F3" s="120" t="s">
        <v>412</v>
      </c>
      <c r="G3" s="121" t="s">
        <v>497</v>
      </c>
    </row>
    <row r="4" spans="2:7" x14ac:dyDescent="0.2">
      <c r="B4" s="123">
        <v>1</v>
      </c>
      <c r="C4" s="124" t="s">
        <v>18</v>
      </c>
      <c r="D4" s="124" t="s">
        <v>20</v>
      </c>
      <c r="E4" s="124">
        <v>2017</v>
      </c>
      <c r="F4" s="65">
        <v>115.6857142857143</v>
      </c>
      <c r="G4" s="220">
        <v>22.287023809523831</v>
      </c>
    </row>
    <row r="5" spans="2:7" x14ac:dyDescent="0.2">
      <c r="B5" s="113">
        <v>2</v>
      </c>
      <c r="C5" t="s">
        <v>60</v>
      </c>
      <c r="D5" t="s">
        <v>45</v>
      </c>
      <c r="E5">
        <v>2016</v>
      </c>
      <c r="F5" s="42">
        <v>112.8085714285714</v>
      </c>
      <c r="G5" s="159">
        <v>16.806904761904761</v>
      </c>
    </row>
    <row r="6" spans="2:7" x14ac:dyDescent="0.2">
      <c r="B6" s="113">
        <v>3</v>
      </c>
      <c r="C6" t="s">
        <v>26</v>
      </c>
      <c r="D6" t="s">
        <v>28</v>
      </c>
      <c r="E6">
        <v>2019</v>
      </c>
      <c r="F6" s="42">
        <v>115.90428571428571</v>
      </c>
      <c r="G6" s="159">
        <v>15.108095238095251</v>
      </c>
    </row>
    <row r="7" spans="2:7" x14ac:dyDescent="0.2">
      <c r="B7" s="113">
        <v>4</v>
      </c>
      <c r="C7" t="s">
        <v>498</v>
      </c>
      <c r="D7" t="s">
        <v>36</v>
      </c>
      <c r="E7">
        <v>2020</v>
      </c>
      <c r="F7" s="42">
        <v>115.2385714285714</v>
      </c>
      <c r="G7" s="159">
        <v>14.33690476190475</v>
      </c>
    </row>
    <row r="8" spans="2:7" x14ac:dyDescent="0.2">
      <c r="B8" s="113">
        <v>5</v>
      </c>
      <c r="C8" t="s">
        <v>105</v>
      </c>
      <c r="D8" t="s">
        <v>28</v>
      </c>
      <c r="E8">
        <v>2014</v>
      </c>
      <c r="F8" s="42">
        <v>111.56142857142861</v>
      </c>
      <c r="G8" s="159">
        <v>13.9375</v>
      </c>
    </row>
    <row r="9" spans="2:7" x14ac:dyDescent="0.2">
      <c r="B9" s="113">
        <v>6</v>
      </c>
      <c r="C9" t="s">
        <v>466</v>
      </c>
      <c r="D9" t="s">
        <v>32</v>
      </c>
      <c r="E9">
        <v>2021</v>
      </c>
      <c r="F9" s="42">
        <v>126.1093333333333</v>
      </c>
      <c r="G9" s="159">
        <v>13.29566666666666</v>
      </c>
    </row>
    <row r="10" spans="2:7" x14ac:dyDescent="0.2">
      <c r="B10" s="113">
        <v>7</v>
      </c>
      <c r="C10" t="s">
        <v>67</v>
      </c>
      <c r="D10" t="s">
        <v>62</v>
      </c>
      <c r="E10">
        <v>2013</v>
      </c>
      <c r="F10" s="42">
        <v>112.52714285714281</v>
      </c>
      <c r="G10" s="159">
        <v>13.09249999999999</v>
      </c>
    </row>
    <row r="11" spans="2:7" x14ac:dyDescent="0.2">
      <c r="B11" s="113">
        <v>8</v>
      </c>
      <c r="C11" t="s">
        <v>26</v>
      </c>
      <c r="D11" t="s">
        <v>28</v>
      </c>
      <c r="E11">
        <v>2020</v>
      </c>
      <c r="F11" s="42">
        <v>113.53571428571421</v>
      </c>
      <c r="G11" s="159">
        <v>12.634047619047591</v>
      </c>
    </row>
    <row r="12" spans="2:7" x14ac:dyDescent="0.2">
      <c r="B12" s="113">
        <v>9</v>
      </c>
      <c r="C12" t="s">
        <v>23</v>
      </c>
      <c r="D12" t="s">
        <v>25</v>
      </c>
      <c r="E12">
        <v>2020</v>
      </c>
      <c r="F12" s="42">
        <v>113.2871428571428</v>
      </c>
      <c r="G12" s="159">
        <v>12.385476190476179</v>
      </c>
    </row>
    <row r="13" spans="2:7" x14ac:dyDescent="0.2">
      <c r="B13" s="113">
        <v>10</v>
      </c>
      <c r="C13" t="s">
        <v>26</v>
      </c>
      <c r="D13" t="s">
        <v>28</v>
      </c>
      <c r="E13">
        <v>2024</v>
      </c>
      <c r="F13" s="42">
        <v>124.8573333333333</v>
      </c>
      <c r="G13" s="159">
        <v>12.14022222222221</v>
      </c>
    </row>
    <row r="14" spans="2:7" x14ac:dyDescent="0.2">
      <c r="B14" s="113">
        <v>11</v>
      </c>
      <c r="C14" t="s">
        <v>35</v>
      </c>
      <c r="D14" t="s">
        <v>49</v>
      </c>
      <c r="E14">
        <v>2012</v>
      </c>
      <c r="F14" s="42">
        <v>109.3357142857143</v>
      </c>
      <c r="G14" s="159">
        <v>11.562261904761881</v>
      </c>
    </row>
    <row r="15" spans="2:7" x14ac:dyDescent="0.2">
      <c r="B15" s="113">
        <v>12</v>
      </c>
      <c r="C15" t="s">
        <v>61</v>
      </c>
      <c r="D15" t="s">
        <v>62</v>
      </c>
      <c r="E15">
        <v>2015</v>
      </c>
      <c r="F15" s="42">
        <v>108.1014285714286</v>
      </c>
      <c r="G15" s="159">
        <v>11.433333333333341</v>
      </c>
    </row>
    <row r="16" spans="2:7" x14ac:dyDescent="0.2">
      <c r="B16" s="113">
        <v>13</v>
      </c>
      <c r="C16" t="s">
        <v>99</v>
      </c>
      <c r="D16" t="s">
        <v>17</v>
      </c>
      <c r="E16">
        <v>2012</v>
      </c>
      <c r="F16" s="42">
        <v>109.1157142857143</v>
      </c>
      <c r="G16" s="159">
        <v>11.34226190476187</v>
      </c>
    </row>
    <row r="17" spans="2:7" x14ac:dyDescent="0.2">
      <c r="B17" s="113">
        <v>14</v>
      </c>
      <c r="C17" t="s">
        <v>23</v>
      </c>
      <c r="D17" t="s">
        <v>25</v>
      </c>
      <c r="E17">
        <v>2016</v>
      </c>
      <c r="F17" s="42">
        <v>107.02285714285711</v>
      </c>
      <c r="G17" s="159">
        <v>11.02119047619048</v>
      </c>
    </row>
    <row r="18" spans="2:7" x14ac:dyDescent="0.2">
      <c r="B18" s="113">
        <v>15</v>
      </c>
      <c r="C18" t="s">
        <v>18</v>
      </c>
      <c r="D18" t="s">
        <v>20</v>
      </c>
      <c r="E18">
        <v>2024</v>
      </c>
      <c r="F18" s="42">
        <v>123.5586666666667</v>
      </c>
      <c r="G18" s="159">
        <v>10.841555555555541</v>
      </c>
    </row>
    <row r="19" spans="2:7" x14ac:dyDescent="0.2">
      <c r="B19" s="113">
        <v>16</v>
      </c>
      <c r="C19" t="s">
        <v>631</v>
      </c>
      <c r="D19" t="s">
        <v>36</v>
      </c>
      <c r="E19">
        <v>2019</v>
      </c>
      <c r="F19" s="42">
        <v>111.6185714285714</v>
      </c>
      <c r="G19" s="159">
        <v>10.82238095238095</v>
      </c>
    </row>
    <row r="20" spans="2:7" x14ac:dyDescent="0.2">
      <c r="B20" s="113">
        <v>17</v>
      </c>
      <c r="C20" t="s">
        <v>76</v>
      </c>
      <c r="D20" t="s">
        <v>32</v>
      </c>
      <c r="E20">
        <v>2024</v>
      </c>
      <c r="F20" s="42">
        <v>123.2866666666667</v>
      </c>
      <c r="G20" s="159">
        <v>10.569555555555549</v>
      </c>
    </row>
    <row r="21" spans="2:7" x14ac:dyDescent="0.2">
      <c r="B21" s="114">
        <v>18</v>
      </c>
      <c r="C21" s="90" t="s">
        <v>18</v>
      </c>
      <c r="D21" s="90" t="s">
        <v>20</v>
      </c>
      <c r="E21" s="90">
        <v>2025</v>
      </c>
      <c r="F21" s="214">
        <v>122.9542857142857</v>
      </c>
      <c r="G21" s="218">
        <v>10.34630952380952</v>
      </c>
    </row>
    <row r="22" spans="2:7" x14ac:dyDescent="0.2">
      <c r="B22" s="113">
        <v>19</v>
      </c>
      <c r="C22" t="s">
        <v>632</v>
      </c>
      <c r="D22" t="s">
        <v>36</v>
      </c>
      <c r="E22">
        <v>2018</v>
      </c>
      <c r="F22" s="42">
        <v>111.4628571428572</v>
      </c>
      <c r="G22" s="159">
        <v>10.17083333333335</v>
      </c>
    </row>
    <row r="23" spans="2:7" x14ac:dyDescent="0.2">
      <c r="B23" s="117">
        <v>20</v>
      </c>
      <c r="C23" s="118" t="s">
        <v>35</v>
      </c>
      <c r="D23" s="118" t="s">
        <v>49</v>
      </c>
      <c r="E23" s="118">
        <v>2025</v>
      </c>
      <c r="F23" s="217">
        <v>121.9357142857143</v>
      </c>
      <c r="G23" s="219">
        <v>9.3277380952380895</v>
      </c>
    </row>
    <row r="25" spans="2:7" x14ac:dyDescent="0.2">
      <c r="B25" s="27"/>
      <c r="C25" s="27"/>
      <c r="D25" s="27"/>
      <c r="E25" s="27"/>
      <c r="F25" s="27"/>
      <c r="G25" s="27"/>
    </row>
    <row r="26" spans="2:7" ht="21" x14ac:dyDescent="0.25">
      <c r="B26" s="287" t="s">
        <v>630</v>
      </c>
      <c r="C26" s="288"/>
      <c r="D26" s="288"/>
      <c r="E26" s="288"/>
      <c r="F26" s="288"/>
      <c r="G26" s="289"/>
    </row>
    <row r="27" spans="2:7" ht="34" x14ac:dyDescent="0.2">
      <c r="B27" s="69" t="s">
        <v>499</v>
      </c>
      <c r="C27" s="120" t="s">
        <v>78</v>
      </c>
      <c r="D27" s="120" t="s">
        <v>79</v>
      </c>
      <c r="E27" s="120" t="s">
        <v>0</v>
      </c>
      <c r="F27" s="120" t="s">
        <v>412</v>
      </c>
      <c r="G27" s="130" t="s">
        <v>511</v>
      </c>
    </row>
    <row r="28" spans="2:7" x14ac:dyDescent="0.2">
      <c r="B28" s="123">
        <v>1</v>
      </c>
      <c r="C28" s="124" t="s">
        <v>94</v>
      </c>
      <c r="D28" s="124" t="s">
        <v>93</v>
      </c>
      <c r="E28" s="124">
        <v>2013</v>
      </c>
      <c r="F28" s="65">
        <v>72.554285714285712</v>
      </c>
      <c r="G28" s="221">
        <v>-26.88035714285714</v>
      </c>
    </row>
    <row r="29" spans="2:7" x14ac:dyDescent="0.2">
      <c r="B29" s="113">
        <v>2</v>
      </c>
      <c r="C29" t="s">
        <v>19</v>
      </c>
      <c r="D29" t="s">
        <v>21</v>
      </c>
      <c r="E29">
        <v>2017</v>
      </c>
      <c r="F29" s="42">
        <v>71.218571428571437</v>
      </c>
      <c r="G29" s="71">
        <v>-22.180119047619041</v>
      </c>
    </row>
    <row r="30" spans="2:7" x14ac:dyDescent="0.2">
      <c r="B30" s="113">
        <v>3</v>
      </c>
      <c r="C30" t="s">
        <v>31</v>
      </c>
      <c r="D30" t="s">
        <v>33</v>
      </c>
      <c r="E30">
        <v>2021</v>
      </c>
      <c r="F30" s="42">
        <v>92.126666666666679</v>
      </c>
      <c r="G30" s="71">
        <v>-20.68699999999998</v>
      </c>
    </row>
    <row r="31" spans="2:7" x14ac:dyDescent="0.2">
      <c r="B31" s="113">
        <v>4</v>
      </c>
      <c r="C31" t="s">
        <v>96</v>
      </c>
      <c r="D31" t="s">
        <v>97</v>
      </c>
      <c r="E31">
        <v>2012</v>
      </c>
      <c r="F31" s="42">
        <v>78.632857142857134</v>
      </c>
      <c r="G31" s="71">
        <v>-19.140595238095269</v>
      </c>
    </row>
    <row r="32" spans="2:7" x14ac:dyDescent="0.2">
      <c r="B32" s="113">
        <v>5</v>
      </c>
      <c r="C32" t="s">
        <v>60</v>
      </c>
      <c r="D32" t="s">
        <v>45</v>
      </c>
      <c r="E32">
        <v>2018</v>
      </c>
      <c r="F32" s="42">
        <v>82.385714285714286</v>
      </c>
      <c r="G32" s="71">
        <v>-18.906309523809529</v>
      </c>
    </row>
    <row r="33" spans="2:7" x14ac:dyDescent="0.2">
      <c r="B33" s="113">
        <v>6</v>
      </c>
      <c r="C33" t="s">
        <v>18</v>
      </c>
      <c r="D33" t="s">
        <v>20</v>
      </c>
      <c r="E33">
        <v>2020</v>
      </c>
      <c r="F33" s="42">
        <v>82.715714285714284</v>
      </c>
      <c r="G33" s="71">
        <v>-18.185952380952369</v>
      </c>
    </row>
    <row r="34" spans="2:7" x14ac:dyDescent="0.2">
      <c r="B34" s="113">
        <v>7</v>
      </c>
      <c r="C34" t="s">
        <v>22</v>
      </c>
      <c r="D34" t="s">
        <v>24</v>
      </c>
      <c r="E34">
        <v>2016</v>
      </c>
      <c r="F34" s="42">
        <v>80.888571428571439</v>
      </c>
      <c r="G34" s="71">
        <v>-15.11309523809523</v>
      </c>
    </row>
    <row r="35" spans="2:7" x14ac:dyDescent="0.2">
      <c r="B35" s="113">
        <v>8</v>
      </c>
      <c r="C35" t="s">
        <v>35</v>
      </c>
      <c r="D35" t="s">
        <v>49</v>
      </c>
      <c r="E35">
        <v>2024</v>
      </c>
      <c r="F35" s="42">
        <v>98.569333333333333</v>
      </c>
      <c r="G35" s="71">
        <v>-14.14777777777779</v>
      </c>
    </row>
    <row r="36" spans="2:7" x14ac:dyDescent="0.2">
      <c r="B36" s="113">
        <v>9</v>
      </c>
      <c r="C36" t="s">
        <v>27</v>
      </c>
      <c r="D36" t="s">
        <v>29</v>
      </c>
      <c r="E36">
        <v>2021</v>
      </c>
      <c r="F36" s="42">
        <v>98.677333333333337</v>
      </c>
      <c r="G36" s="71">
        <v>-14.136333333333329</v>
      </c>
    </row>
    <row r="37" spans="2:7" x14ac:dyDescent="0.2">
      <c r="B37" s="113">
        <v>10</v>
      </c>
      <c r="C37" t="s">
        <v>437</v>
      </c>
      <c r="D37" t="s">
        <v>28</v>
      </c>
      <c r="E37">
        <v>2015</v>
      </c>
      <c r="F37" s="42">
        <v>83.340000000000018</v>
      </c>
      <c r="G37" s="71">
        <v>-13.328095238095219</v>
      </c>
    </row>
    <row r="38" spans="2:7" x14ac:dyDescent="0.2">
      <c r="B38" s="113">
        <v>11</v>
      </c>
      <c r="C38" t="s">
        <v>22</v>
      </c>
      <c r="D38" t="s">
        <v>24</v>
      </c>
      <c r="E38">
        <v>2017</v>
      </c>
      <c r="F38" s="42">
        <v>80.762857142857129</v>
      </c>
      <c r="G38" s="71">
        <v>-12.63583333333335</v>
      </c>
    </row>
    <row r="39" spans="2:7" x14ac:dyDescent="0.2">
      <c r="B39" s="113">
        <v>12</v>
      </c>
      <c r="C39" t="s">
        <v>19</v>
      </c>
      <c r="D39" t="s">
        <v>21</v>
      </c>
      <c r="E39">
        <v>2014</v>
      </c>
      <c r="F39" s="42">
        <v>85.312857142857112</v>
      </c>
      <c r="G39" s="71">
        <v>-12.31107142857145</v>
      </c>
    </row>
    <row r="40" spans="2:7" x14ac:dyDescent="0.2">
      <c r="B40" s="113">
        <v>13</v>
      </c>
      <c r="C40" t="s">
        <v>14</v>
      </c>
      <c r="D40" t="s">
        <v>16</v>
      </c>
      <c r="E40">
        <v>2024</v>
      </c>
      <c r="F40" s="42">
        <v>101.1133333333333</v>
      </c>
      <c r="G40" s="71">
        <v>-11.60377777777779</v>
      </c>
    </row>
    <row r="41" spans="2:7" x14ac:dyDescent="0.2">
      <c r="B41" s="113">
        <v>14</v>
      </c>
      <c r="C41" t="s">
        <v>60</v>
      </c>
      <c r="D41" t="s">
        <v>45</v>
      </c>
      <c r="E41">
        <v>2017</v>
      </c>
      <c r="F41" s="42">
        <v>81.941428571428574</v>
      </c>
      <c r="G41" s="71">
        <v>-11.457261904761911</v>
      </c>
    </row>
    <row r="42" spans="2:7" x14ac:dyDescent="0.2">
      <c r="B42" s="113">
        <v>15</v>
      </c>
      <c r="C42" t="s">
        <v>22</v>
      </c>
      <c r="D42" t="s">
        <v>24</v>
      </c>
      <c r="E42">
        <v>2018</v>
      </c>
      <c r="F42" s="42">
        <v>90.198571428571427</v>
      </c>
      <c r="G42" s="71">
        <v>-11.093452380952391</v>
      </c>
    </row>
    <row r="43" spans="2:7" x14ac:dyDescent="0.2">
      <c r="B43" s="113">
        <v>16</v>
      </c>
      <c r="C43" t="s">
        <v>22</v>
      </c>
      <c r="D43" t="s">
        <v>24</v>
      </c>
      <c r="E43">
        <v>2020</v>
      </c>
      <c r="F43" s="42">
        <v>89.948571428571427</v>
      </c>
      <c r="G43" s="71">
        <v>-10.95309523809523</v>
      </c>
    </row>
    <row r="44" spans="2:7" x14ac:dyDescent="0.2">
      <c r="B44" s="113">
        <v>17</v>
      </c>
      <c r="C44" t="s">
        <v>52</v>
      </c>
      <c r="D44" t="s">
        <v>32</v>
      </c>
      <c r="E44">
        <v>2023</v>
      </c>
      <c r="F44" s="42">
        <v>102.6453333333333</v>
      </c>
      <c r="G44" s="71">
        <v>-10.398777777777781</v>
      </c>
    </row>
    <row r="45" spans="2:7" x14ac:dyDescent="0.2">
      <c r="B45" s="113">
        <v>18</v>
      </c>
      <c r="C45" t="s">
        <v>101</v>
      </c>
      <c r="D45" t="s">
        <v>29</v>
      </c>
      <c r="E45">
        <v>2012</v>
      </c>
      <c r="F45" s="42">
        <v>87.405714285714311</v>
      </c>
      <c r="G45" s="71">
        <v>-10.367738095238099</v>
      </c>
    </row>
    <row r="46" spans="2:7" x14ac:dyDescent="0.2">
      <c r="B46" s="113">
        <v>19</v>
      </c>
      <c r="C46" t="s">
        <v>88</v>
      </c>
      <c r="D46" t="s">
        <v>32</v>
      </c>
      <c r="E46">
        <v>2019</v>
      </c>
      <c r="F46" s="42">
        <v>90.684285714285707</v>
      </c>
      <c r="G46" s="71">
        <v>-10.11190476190475</v>
      </c>
    </row>
    <row r="47" spans="2:7" x14ac:dyDescent="0.2">
      <c r="B47" s="117">
        <v>20</v>
      </c>
      <c r="C47" s="118" t="s">
        <v>77</v>
      </c>
      <c r="D47" s="118" t="s">
        <v>45</v>
      </c>
      <c r="E47" s="118">
        <v>2025</v>
      </c>
      <c r="F47" s="217">
        <v>102.9714285714286</v>
      </c>
      <c r="G47" s="119">
        <v>-9.6365476190476187</v>
      </c>
    </row>
    <row r="48" spans="2:7" x14ac:dyDescent="0.2">
      <c r="B48" s="126"/>
      <c r="C48" s="27"/>
      <c r="D48" s="27"/>
      <c r="E48" s="27"/>
      <c r="F48" s="127"/>
      <c r="G48" s="128"/>
    </row>
    <row r="49" spans="2:7" ht="21" x14ac:dyDescent="0.25">
      <c r="B49" s="287" t="s">
        <v>633</v>
      </c>
      <c r="C49" s="288"/>
      <c r="D49" s="288"/>
      <c r="E49" s="288"/>
      <c r="F49" s="288"/>
      <c r="G49" s="289"/>
    </row>
    <row r="50" spans="2:7" ht="28" x14ac:dyDescent="0.2">
      <c r="B50" s="69" t="s">
        <v>499</v>
      </c>
      <c r="C50" s="120" t="s">
        <v>78</v>
      </c>
      <c r="D50" s="120" t="s">
        <v>79</v>
      </c>
      <c r="E50" s="120" t="s">
        <v>0</v>
      </c>
      <c r="F50" s="120" t="s">
        <v>412</v>
      </c>
      <c r="G50" s="121" t="s">
        <v>497</v>
      </c>
    </row>
    <row r="51" spans="2:7" x14ac:dyDescent="0.2">
      <c r="B51" s="123">
        <v>1</v>
      </c>
      <c r="C51" s="124" t="s">
        <v>466</v>
      </c>
      <c r="D51" s="124" t="s">
        <v>32</v>
      </c>
      <c r="E51" s="124">
        <v>2021</v>
      </c>
      <c r="F51" s="65">
        <v>126.1093333333333</v>
      </c>
      <c r="G51" s="220">
        <v>13.29566666666666</v>
      </c>
    </row>
    <row r="52" spans="2:7" x14ac:dyDescent="0.2">
      <c r="B52" s="113">
        <v>2</v>
      </c>
      <c r="C52" t="s">
        <v>26</v>
      </c>
      <c r="D52" t="s">
        <v>28</v>
      </c>
      <c r="E52">
        <v>2024</v>
      </c>
      <c r="F52" s="42">
        <v>124.8573333333333</v>
      </c>
      <c r="G52" s="159">
        <v>12.14022222222221</v>
      </c>
    </row>
    <row r="53" spans="2:7" x14ac:dyDescent="0.2">
      <c r="B53" s="113">
        <v>3</v>
      </c>
      <c r="C53" t="s">
        <v>18</v>
      </c>
      <c r="D53" t="s">
        <v>20</v>
      </c>
      <c r="E53">
        <v>2024</v>
      </c>
      <c r="F53" s="42">
        <v>123.5586666666667</v>
      </c>
      <c r="G53" s="159">
        <v>10.841555555555541</v>
      </c>
    </row>
    <row r="54" spans="2:7" x14ac:dyDescent="0.2">
      <c r="B54" s="113">
        <v>4</v>
      </c>
      <c r="C54" t="s">
        <v>76</v>
      </c>
      <c r="D54" t="s">
        <v>32</v>
      </c>
      <c r="E54">
        <v>2024</v>
      </c>
      <c r="F54" s="42">
        <v>123.2866666666667</v>
      </c>
      <c r="G54" s="159">
        <v>10.569555555555549</v>
      </c>
    </row>
    <row r="55" spans="2:7" x14ac:dyDescent="0.2">
      <c r="B55" s="114">
        <v>5</v>
      </c>
      <c r="C55" s="90" t="s">
        <v>18</v>
      </c>
      <c r="D55" s="90" t="s">
        <v>20</v>
      </c>
      <c r="E55" s="90">
        <v>2025</v>
      </c>
      <c r="F55" s="214">
        <v>122.9542857142857</v>
      </c>
      <c r="G55" s="218">
        <v>10.34630952380952</v>
      </c>
    </row>
    <row r="56" spans="2:7" x14ac:dyDescent="0.2">
      <c r="B56" s="114">
        <v>6</v>
      </c>
      <c r="C56" s="90" t="s">
        <v>35</v>
      </c>
      <c r="D56" s="90" t="s">
        <v>49</v>
      </c>
      <c r="E56" s="90">
        <v>2025</v>
      </c>
      <c r="F56" s="214">
        <v>121.9357142857143</v>
      </c>
      <c r="G56" s="218">
        <v>9.3277380952380895</v>
      </c>
    </row>
    <row r="57" spans="2:7" x14ac:dyDescent="0.2">
      <c r="B57" s="113">
        <v>7</v>
      </c>
      <c r="C57" t="s">
        <v>26</v>
      </c>
      <c r="D57" t="s">
        <v>28</v>
      </c>
      <c r="E57">
        <v>2023</v>
      </c>
      <c r="F57" s="42">
        <v>122.2346666666666</v>
      </c>
      <c r="G57" s="159">
        <v>9.1905555555555196</v>
      </c>
    </row>
    <row r="58" spans="2:7" x14ac:dyDescent="0.2">
      <c r="B58" s="113">
        <v>8</v>
      </c>
      <c r="C58" t="s">
        <v>46</v>
      </c>
      <c r="D58" t="s">
        <v>47</v>
      </c>
      <c r="E58">
        <v>2024</v>
      </c>
      <c r="F58" s="42">
        <v>121.488</v>
      </c>
      <c r="G58" s="159">
        <v>8.7708888888888765</v>
      </c>
    </row>
    <row r="59" spans="2:7" x14ac:dyDescent="0.2">
      <c r="B59" s="113">
        <v>9</v>
      </c>
      <c r="C59" t="s">
        <v>22</v>
      </c>
      <c r="D59" t="s">
        <v>24</v>
      </c>
      <c r="E59">
        <v>2021</v>
      </c>
      <c r="F59" s="42">
        <v>121.548</v>
      </c>
      <c r="G59" s="159">
        <v>8.7343333333333391</v>
      </c>
    </row>
    <row r="60" spans="2:7" x14ac:dyDescent="0.2">
      <c r="B60" s="113">
        <v>10</v>
      </c>
      <c r="C60" t="s">
        <v>48</v>
      </c>
      <c r="D60" t="s">
        <v>36</v>
      </c>
      <c r="E60">
        <v>2023</v>
      </c>
      <c r="F60" s="42">
        <v>121.7026666666667</v>
      </c>
      <c r="G60" s="159">
        <v>8.6585555555555374</v>
      </c>
    </row>
    <row r="61" spans="2:7" x14ac:dyDescent="0.2">
      <c r="B61" s="113">
        <v>11</v>
      </c>
      <c r="C61" t="s">
        <v>14</v>
      </c>
      <c r="D61" t="s">
        <v>16</v>
      </c>
      <c r="E61">
        <v>2023</v>
      </c>
      <c r="F61" s="42">
        <v>121.608</v>
      </c>
      <c r="G61" s="159">
        <v>8.5638888888888687</v>
      </c>
    </row>
    <row r="62" spans="2:7" x14ac:dyDescent="0.2">
      <c r="B62" s="114">
        <v>12</v>
      </c>
      <c r="C62" s="90" t="s">
        <v>521</v>
      </c>
      <c r="D62" s="90" t="s">
        <v>29</v>
      </c>
      <c r="E62" s="90">
        <v>2025</v>
      </c>
      <c r="F62" s="214">
        <v>121.14571428571431</v>
      </c>
      <c r="G62" s="218">
        <v>8.5377380952380975</v>
      </c>
    </row>
    <row r="63" spans="2:7" x14ac:dyDescent="0.2">
      <c r="B63" s="113">
        <v>13</v>
      </c>
      <c r="C63" t="s">
        <v>18</v>
      </c>
      <c r="D63" t="s">
        <v>20</v>
      </c>
      <c r="E63">
        <v>2021</v>
      </c>
      <c r="F63" s="42">
        <v>120.9106666666667</v>
      </c>
      <c r="G63" s="159">
        <v>8.0969999999999942</v>
      </c>
    </row>
    <row r="64" spans="2:7" x14ac:dyDescent="0.2">
      <c r="B64" s="113">
        <v>14</v>
      </c>
      <c r="C64" t="s">
        <v>15</v>
      </c>
      <c r="D64" t="s">
        <v>17</v>
      </c>
      <c r="E64">
        <v>2021</v>
      </c>
      <c r="F64" s="42">
        <v>120.5053333333333</v>
      </c>
      <c r="G64" s="159">
        <v>7.6916666666666771</v>
      </c>
    </row>
    <row r="65" spans="2:7" x14ac:dyDescent="0.2">
      <c r="B65" s="122">
        <v>15</v>
      </c>
      <c r="C65" s="75" t="s">
        <v>18</v>
      </c>
      <c r="D65" s="75" t="s">
        <v>20</v>
      </c>
      <c r="E65" s="75">
        <v>2022</v>
      </c>
      <c r="F65" s="25">
        <v>118.16</v>
      </c>
      <c r="G65" s="161">
        <v>7.3391111111110936</v>
      </c>
    </row>
    <row r="66" spans="2:7" x14ac:dyDescent="0.2">
      <c r="B66" s="222"/>
      <c r="F66" s="42"/>
      <c r="G66" s="225"/>
    </row>
    <row r="67" spans="2:7" x14ac:dyDescent="0.2">
      <c r="B67" s="222"/>
      <c r="F67" s="42"/>
      <c r="G67" s="225"/>
    </row>
    <row r="68" spans="2:7" ht="21" x14ac:dyDescent="0.25">
      <c r="B68" s="287" t="s">
        <v>635</v>
      </c>
      <c r="C68" s="288"/>
      <c r="D68" s="288"/>
      <c r="E68" s="288"/>
      <c r="F68" s="288"/>
      <c r="G68" s="289"/>
    </row>
    <row r="69" spans="2:7" ht="30" x14ac:dyDescent="0.2">
      <c r="B69" s="69" t="s">
        <v>499</v>
      </c>
      <c r="C69" s="120" t="s">
        <v>78</v>
      </c>
      <c r="D69" s="120" t="s">
        <v>79</v>
      </c>
      <c r="E69" s="120" t="s">
        <v>0</v>
      </c>
      <c r="F69" s="120" t="s">
        <v>412</v>
      </c>
      <c r="G69" s="121" t="s">
        <v>497</v>
      </c>
    </row>
    <row r="70" spans="2:7" x14ac:dyDescent="0.2">
      <c r="B70" s="123">
        <v>1</v>
      </c>
      <c r="C70" s="124" t="s">
        <v>31</v>
      </c>
      <c r="D70" s="124" t="s">
        <v>33</v>
      </c>
      <c r="E70" s="124">
        <v>2021</v>
      </c>
      <c r="F70" s="65">
        <v>92.126666666666679</v>
      </c>
      <c r="G70" s="221">
        <v>-20.68699999999998</v>
      </c>
    </row>
    <row r="71" spans="2:7" x14ac:dyDescent="0.2">
      <c r="B71" s="113">
        <v>2</v>
      </c>
      <c r="C71" t="s">
        <v>35</v>
      </c>
      <c r="D71" t="s">
        <v>49</v>
      </c>
      <c r="E71">
        <v>2024</v>
      </c>
      <c r="F71" s="42">
        <v>98.569333333333333</v>
      </c>
      <c r="G71" s="71">
        <v>-14.14777777777779</v>
      </c>
    </row>
    <row r="72" spans="2:7" x14ac:dyDescent="0.2">
      <c r="B72" s="113">
        <v>3</v>
      </c>
      <c r="C72" t="s">
        <v>27</v>
      </c>
      <c r="D72" t="s">
        <v>29</v>
      </c>
      <c r="E72">
        <v>2021</v>
      </c>
      <c r="F72" s="42">
        <v>98.677333333333337</v>
      </c>
      <c r="G72" s="71">
        <v>-14.136333333333329</v>
      </c>
    </row>
    <row r="73" spans="2:7" x14ac:dyDescent="0.2">
      <c r="B73" s="113">
        <v>4</v>
      </c>
      <c r="C73" t="s">
        <v>14</v>
      </c>
      <c r="D73" t="s">
        <v>16</v>
      </c>
      <c r="E73">
        <v>2024</v>
      </c>
      <c r="F73" s="42">
        <v>101.1133333333333</v>
      </c>
      <c r="G73" s="71">
        <v>-11.60377777777779</v>
      </c>
    </row>
    <row r="74" spans="2:7" x14ac:dyDescent="0.2">
      <c r="B74" s="113">
        <v>5</v>
      </c>
      <c r="C74" t="s">
        <v>52</v>
      </c>
      <c r="D74" t="s">
        <v>32</v>
      </c>
      <c r="E74">
        <v>2023</v>
      </c>
      <c r="F74" s="42">
        <v>102.6453333333333</v>
      </c>
      <c r="G74" s="71">
        <v>-10.398777777777781</v>
      </c>
    </row>
    <row r="75" spans="2:7" x14ac:dyDescent="0.2">
      <c r="B75" s="114">
        <v>6</v>
      </c>
      <c r="C75" s="90" t="s">
        <v>77</v>
      </c>
      <c r="D75" s="90" t="s">
        <v>45</v>
      </c>
      <c r="E75" s="90">
        <v>2025</v>
      </c>
      <c r="F75" s="214">
        <v>102.9714285714286</v>
      </c>
      <c r="G75" s="116">
        <v>-9.6365476190476187</v>
      </c>
    </row>
    <row r="76" spans="2:7" x14ac:dyDescent="0.2">
      <c r="B76" s="113">
        <v>7</v>
      </c>
      <c r="C76" t="s">
        <v>31</v>
      </c>
      <c r="D76" t="s">
        <v>41</v>
      </c>
      <c r="E76">
        <v>2022</v>
      </c>
      <c r="F76" s="42">
        <v>101.81066666666671</v>
      </c>
      <c r="G76" s="71">
        <v>-9.0102222222222252</v>
      </c>
    </row>
    <row r="77" spans="2:7" x14ac:dyDescent="0.2">
      <c r="B77" s="113">
        <v>8</v>
      </c>
      <c r="C77" t="s">
        <v>35</v>
      </c>
      <c r="D77" t="s">
        <v>49</v>
      </c>
      <c r="E77">
        <v>2023</v>
      </c>
      <c r="F77" s="42">
        <v>104.19466666666671</v>
      </c>
      <c r="G77" s="71">
        <v>-8.849444444444444</v>
      </c>
    </row>
    <row r="78" spans="2:7" x14ac:dyDescent="0.2">
      <c r="B78" s="113">
        <v>9</v>
      </c>
      <c r="C78" t="s">
        <v>23</v>
      </c>
      <c r="D78" t="s">
        <v>25</v>
      </c>
      <c r="E78">
        <v>2022</v>
      </c>
      <c r="F78" s="42">
        <v>102.232</v>
      </c>
      <c r="G78" s="71">
        <v>-8.5888888888889028</v>
      </c>
    </row>
    <row r="79" spans="2:7" x14ac:dyDescent="0.2">
      <c r="B79" s="114">
        <v>10</v>
      </c>
      <c r="C79" s="90" t="s">
        <v>26</v>
      </c>
      <c r="D79" s="90" t="s">
        <v>28</v>
      </c>
      <c r="E79" s="90">
        <v>2025</v>
      </c>
      <c r="F79" s="214">
        <v>104.6685714285714</v>
      </c>
      <c r="G79" s="116">
        <v>-7.9394047619047399</v>
      </c>
    </row>
    <row r="80" spans="2:7" x14ac:dyDescent="0.2">
      <c r="B80" s="114">
        <v>11</v>
      </c>
      <c r="C80" s="90" t="s">
        <v>526</v>
      </c>
      <c r="D80" s="90" t="s">
        <v>32</v>
      </c>
      <c r="E80" s="90">
        <v>2025</v>
      </c>
      <c r="F80" s="214">
        <v>104.7657142857143</v>
      </c>
      <c r="G80" s="116">
        <v>-7.8422619047619122</v>
      </c>
    </row>
    <row r="81" spans="2:7" x14ac:dyDescent="0.2">
      <c r="B81" s="113">
        <v>12</v>
      </c>
      <c r="C81" t="s">
        <v>50</v>
      </c>
      <c r="D81" t="s">
        <v>29</v>
      </c>
      <c r="E81">
        <v>2023</v>
      </c>
      <c r="F81" s="42">
        <v>105.884</v>
      </c>
      <c r="G81" s="71">
        <v>-7.1601111111111351</v>
      </c>
    </row>
    <row r="82" spans="2:7" x14ac:dyDescent="0.2">
      <c r="B82" s="113">
        <v>13</v>
      </c>
      <c r="C82" t="s">
        <v>42</v>
      </c>
      <c r="D82" t="s">
        <v>17</v>
      </c>
      <c r="E82">
        <v>2023</v>
      </c>
      <c r="F82" s="42">
        <v>106.2706666666667</v>
      </c>
      <c r="G82" s="71">
        <v>-6.7734444444444364</v>
      </c>
    </row>
    <row r="83" spans="2:7" x14ac:dyDescent="0.2">
      <c r="B83" s="113">
        <v>14</v>
      </c>
      <c r="C83" t="s">
        <v>18</v>
      </c>
      <c r="D83" t="s">
        <v>20</v>
      </c>
      <c r="E83">
        <v>2023</v>
      </c>
      <c r="F83" s="42">
        <v>106.3813333333333</v>
      </c>
      <c r="G83" s="71">
        <v>-6.662777777777805</v>
      </c>
    </row>
    <row r="84" spans="2:7" x14ac:dyDescent="0.2">
      <c r="B84" s="122">
        <v>15</v>
      </c>
      <c r="C84" s="75" t="s">
        <v>75</v>
      </c>
      <c r="D84" s="75" t="s">
        <v>36</v>
      </c>
      <c r="E84" s="75">
        <v>2024</v>
      </c>
      <c r="F84" s="25">
        <v>106.452</v>
      </c>
      <c r="G84" s="26">
        <v>-6.2651111111111248</v>
      </c>
    </row>
    <row r="85" spans="2:7" x14ac:dyDescent="0.2">
      <c r="B85" s="222"/>
      <c r="F85" s="42"/>
      <c r="G85" s="225"/>
    </row>
    <row r="86" spans="2:7" s="27" customFormat="1" x14ac:dyDescent="0.2"/>
    <row r="87" spans="2:7" ht="21" x14ac:dyDescent="0.25">
      <c r="B87" s="287" t="s">
        <v>636</v>
      </c>
      <c r="C87" s="288"/>
      <c r="D87" s="288"/>
      <c r="E87" s="288"/>
      <c r="F87" s="288"/>
      <c r="G87" s="289"/>
    </row>
    <row r="88" spans="2:7" ht="30" x14ac:dyDescent="0.2">
      <c r="B88" s="69" t="s">
        <v>499</v>
      </c>
      <c r="C88" s="120" t="s">
        <v>78</v>
      </c>
      <c r="D88" s="120" t="s">
        <v>79</v>
      </c>
      <c r="E88" s="120" t="s">
        <v>0</v>
      </c>
      <c r="F88" s="120" t="s">
        <v>412</v>
      </c>
      <c r="G88" s="121" t="s">
        <v>497</v>
      </c>
    </row>
    <row r="89" spans="2:7" x14ac:dyDescent="0.2">
      <c r="B89" s="123">
        <v>1</v>
      </c>
      <c r="C89" s="124" t="s">
        <v>22</v>
      </c>
      <c r="D89" s="124" t="s">
        <v>24</v>
      </c>
      <c r="E89" s="124">
        <v>2016</v>
      </c>
      <c r="F89" s="65">
        <v>80.888571428571439</v>
      </c>
      <c r="G89" s="221">
        <v>-15.11309523809523</v>
      </c>
    </row>
    <row r="90" spans="2:7" x14ac:dyDescent="0.2">
      <c r="B90" s="113">
        <v>2</v>
      </c>
      <c r="C90" t="s">
        <v>19</v>
      </c>
      <c r="D90" t="s">
        <v>21</v>
      </c>
      <c r="E90">
        <v>2015</v>
      </c>
      <c r="F90" s="42">
        <v>88.72</v>
      </c>
      <c r="G90" s="71">
        <v>-7.9480952380952354</v>
      </c>
    </row>
    <row r="91" spans="2:7" x14ac:dyDescent="0.2">
      <c r="B91" s="113">
        <v>3</v>
      </c>
      <c r="C91" t="s">
        <v>31</v>
      </c>
      <c r="D91" t="s">
        <v>33</v>
      </c>
      <c r="E91">
        <v>2020</v>
      </c>
      <c r="F91" s="42">
        <v>95.29</v>
      </c>
      <c r="G91" s="71">
        <v>-5.6116666666666504</v>
      </c>
    </row>
    <row r="92" spans="2:7" x14ac:dyDescent="0.2">
      <c r="B92" s="114">
        <v>4</v>
      </c>
      <c r="C92" s="90" t="s">
        <v>31</v>
      </c>
      <c r="D92" s="90" t="s">
        <v>33</v>
      </c>
      <c r="E92" s="90">
        <v>2025</v>
      </c>
      <c r="F92" s="214">
        <v>107.0371428571429</v>
      </c>
      <c r="G92" s="116">
        <v>-5.5708333333333124</v>
      </c>
    </row>
    <row r="93" spans="2:7" x14ac:dyDescent="0.2">
      <c r="B93" s="113">
        <v>5</v>
      </c>
      <c r="C93" t="s">
        <v>632</v>
      </c>
      <c r="D93" t="s">
        <v>36</v>
      </c>
      <c r="E93">
        <v>2016</v>
      </c>
      <c r="F93" s="42">
        <v>92.53857142857143</v>
      </c>
      <c r="G93" s="71">
        <v>-3.4630952380952351</v>
      </c>
    </row>
    <row r="94" spans="2:7" x14ac:dyDescent="0.2">
      <c r="B94" s="113">
        <v>6</v>
      </c>
      <c r="C94" t="s">
        <v>632</v>
      </c>
      <c r="D94" t="s">
        <v>36</v>
      </c>
      <c r="E94">
        <v>2017</v>
      </c>
      <c r="F94" s="42">
        <v>90.122857142857143</v>
      </c>
      <c r="G94" s="71">
        <v>-3.2758333333333378</v>
      </c>
    </row>
    <row r="95" spans="2:7" x14ac:dyDescent="0.2">
      <c r="B95" s="113">
        <v>7</v>
      </c>
      <c r="C95" t="s">
        <v>72</v>
      </c>
      <c r="D95" t="s">
        <v>28</v>
      </c>
      <c r="E95">
        <v>2012</v>
      </c>
      <c r="F95" s="42">
        <v>95.295714285714283</v>
      </c>
      <c r="G95" s="71">
        <v>-2.477738095238124</v>
      </c>
    </row>
    <row r="96" spans="2:7" x14ac:dyDescent="0.2">
      <c r="B96" s="113">
        <v>8</v>
      </c>
      <c r="C96" t="s">
        <v>63</v>
      </c>
      <c r="D96" t="s">
        <v>29</v>
      </c>
      <c r="E96">
        <v>2015</v>
      </c>
      <c r="F96" s="42">
        <v>94.53857142857143</v>
      </c>
      <c r="G96" s="71">
        <v>-2.1295238095238029</v>
      </c>
    </row>
    <row r="97" spans="2:7" x14ac:dyDescent="0.2">
      <c r="B97" s="113">
        <v>9</v>
      </c>
      <c r="C97" t="s">
        <v>31</v>
      </c>
      <c r="D97" t="s">
        <v>33</v>
      </c>
      <c r="E97">
        <v>2019</v>
      </c>
      <c r="F97" s="42">
        <v>99.572857142857131</v>
      </c>
      <c r="G97" s="71">
        <v>-1.2233333333333289</v>
      </c>
    </row>
    <row r="98" spans="2:7" x14ac:dyDescent="0.2">
      <c r="B98" s="122">
        <v>10</v>
      </c>
      <c r="C98" s="75" t="s">
        <v>43</v>
      </c>
      <c r="D98" s="75" t="s">
        <v>21</v>
      </c>
      <c r="E98" s="75">
        <v>2022</v>
      </c>
      <c r="F98" s="25">
        <v>110.23066666666671</v>
      </c>
      <c r="G98" s="26">
        <v>-0.59022222222222354</v>
      </c>
    </row>
    <row r="99" spans="2:7" x14ac:dyDescent="0.2">
      <c r="B99" s="126"/>
      <c r="C99" s="27"/>
      <c r="D99" s="27"/>
      <c r="E99" s="27"/>
      <c r="F99" s="128"/>
      <c r="G99" s="128"/>
    </row>
    <row r="100" spans="2:7" ht="21" x14ac:dyDescent="0.25">
      <c r="B100" s="287" t="s">
        <v>637</v>
      </c>
      <c r="C100" s="288"/>
      <c r="D100" s="288"/>
      <c r="E100" s="288"/>
      <c r="F100" s="288"/>
      <c r="G100" s="289"/>
    </row>
    <row r="101" spans="2:7" ht="30" x14ac:dyDescent="0.2">
      <c r="B101" s="69" t="s">
        <v>499</v>
      </c>
      <c r="C101" s="120" t="s">
        <v>78</v>
      </c>
      <c r="D101" s="120" t="s">
        <v>79</v>
      </c>
      <c r="E101" s="120" t="s">
        <v>0</v>
      </c>
      <c r="F101" s="120" t="s">
        <v>412</v>
      </c>
      <c r="G101" s="121" t="s">
        <v>497</v>
      </c>
    </row>
    <row r="102" spans="2:7" x14ac:dyDescent="0.2">
      <c r="B102" s="223">
        <v>1</v>
      </c>
      <c r="C102" s="224" t="s">
        <v>31</v>
      </c>
      <c r="D102" s="224" t="s">
        <v>33</v>
      </c>
      <c r="E102" s="224">
        <v>2025</v>
      </c>
      <c r="F102" s="215">
        <v>107.0371428571429</v>
      </c>
      <c r="G102" s="226">
        <v>-5.5708333333333124</v>
      </c>
    </row>
    <row r="103" spans="2:7" x14ac:dyDescent="0.2">
      <c r="B103" s="113">
        <v>2</v>
      </c>
      <c r="C103" t="s">
        <v>43</v>
      </c>
      <c r="D103" t="s">
        <v>21</v>
      </c>
      <c r="E103">
        <v>2022</v>
      </c>
      <c r="F103" s="42">
        <v>110.23066666666671</v>
      </c>
      <c r="G103" s="71">
        <v>-0.59022222222222354</v>
      </c>
    </row>
    <row r="104" spans="2:7" x14ac:dyDescent="0.2">
      <c r="B104" s="114">
        <v>3</v>
      </c>
      <c r="C104" s="90" t="s">
        <v>46</v>
      </c>
      <c r="D104" s="90" t="s">
        <v>47</v>
      </c>
      <c r="E104" s="90">
        <v>2025</v>
      </c>
      <c r="F104" s="214">
        <v>113.0171428571428</v>
      </c>
      <c r="G104" s="218">
        <v>0.40916666666666401</v>
      </c>
    </row>
    <row r="105" spans="2:7" x14ac:dyDescent="0.2">
      <c r="B105" s="113">
        <v>4</v>
      </c>
      <c r="C105" t="s">
        <v>31</v>
      </c>
      <c r="D105" t="s">
        <v>33</v>
      </c>
      <c r="E105">
        <v>2024</v>
      </c>
      <c r="F105" s="42">
        <v>113.776</v>
      </c>
      <c r="G105" s="159">
        <v>1.058888888888887</v>
      </c>
    </row>
    <row r="106" spans="2:7" x14ac:dyDescent="0.2">
      <c r="B106" s="113">
        <v>5</v>
      </c>
      <c r="C106" t="s">
        <v>42</v>
      </c>
      <c r="D106" t="s">
        <v>17</v>
      </c>
      <c r="E106">
        <v>2024</v>
      </c>
      <c r="F106" s="42">
        <v>114.8666666666667</v>
      </c>
      <c r="G106" s="159">
        <v>2.149555555555537</v>
      </c>
    </row>
    <row r="107" spans="2:7" x14ac:dyDescent="0.2">
      <c r="B107" s="114">
        <v>6</v>
      </c>
      <c r="C107" s="90" t="s">
        <v>524</v>
      </c>
      <c r="D107" s="90" t="s">
        <v>21</v>
      </c>
      <c r="E107" s="90">
        <v>2025</v>
      </c>
      <c r="F107" s="214">
        <v>115.12857142857141</v>
      </c>
      <c r="G107" s="218">
        <v>2.520595238095225</v>
      </c>
    </row>
    <row r="108" spans="2:7" x14ac:dyDescent="0.2">
      <c r="B108" s="113">
        <v>7</v>
      </c>
      <c r="C108" t="s">
        <v>42</v>
      </c>
      <c r="D108" t="s">
        <v>17</v>
      </c>
      <c r="E108">
        <v>2022</v>
      </c>
      <c r="F108" s="42">
        <v>113.7946666666667</v>
      </c>
      <c r="G108" s="159">
        <v>2.973777777777769</v>
      </c>
    </row>
    <row r="109" spans="2:7" x14ac:dyDescent="0.2">
      <c r="B109" s="113">
        <v>8</v>
      </c>
      <c r="C109" t="s">
        <v>40</v>
      </c>
      <c r="D109" t="s">
        <v>29</v>
      </c>
      <c r="E109">
        <v>2022</v>
      </c>
      <c r="F109" s="42">
        <v>114.7013333333333</v>
      </c>
      <c r="G109" s="159">
        <v>3.8804444444444499</v>
      </c>
    </row>
    <row r="110" spans="2:7" x14ac:dyDescent="0.2">
      <c r="B110" s="113">
        <v>9</v>
      </c>
      <c r="C110" t="s">
        <v>14</v>
      </c>
      <c r="D110" t="s">
        <v>16</v>
      </c>
      <c r="E110">
        <v>2022</v>
      </c>
      <c r="F110" s="42">
        <v>116.7173333333333</v>
      </c>
      <c r="G110" s="159">
        <v>5.896444444444441</v>
      </c>
    </row>
    <row r="111" spans="2:7" x14ac:dyDescent="0.2">
      <c r="B111" s="122">
        <v>10</v>
      </c>
      <c r="C111" s="75" t="s">
        <v>34</v>
      </c>
      <c r="D111" s="75" t="s">
        <v>36</v>
      </c>
      <c r="E111" s="75">
        <v>2021</v>
      </c>
      <c r="F111" s="25">
        <v>119.13866666666669</v>
      </c>
      <c r="G111" s="161">
        <v>6.3250000000000171</v>
      </c>
    </row>
    <row r="112" spans="2:7" x14ac:dyDescent="0.2">
      <c r="B112" s="126"/>
      <c r="C112" s="27"/>
      <c r="D112" s="27"/>
      <c r="E112" s="27"/>
      <c r="F112" s="128"/>
      <c r="G112" s="128"/>
    </row>
    <row r="113" spans="2:7" s="27" customFormat="1" x14ac:dyDescent="0.2"/>
    <row r="114" spans="2:7" x14ac:dyDescent="0.2">
      <c r="B114" s="27"/>
      <c r="C114" s="27"/>
      <c r="D114" s="27"/>
      <c r="E114" s="27"/>
      <c r="F114" s="27"/>
      <c r="G114" s="27"/>
    </row>
    <row r="115" spans="2:7" ht="21" x14ac:dyDescent="0.25">
      <c r="B115" s="287" t="s">
        <v>634</v>
      </c>
      <c r="C115" s="288"/>
      <c r="D115" s="288"/>
      <c r="E115" s="288"/>
      <c r="F115" s="288"/>
      <c r="G115" s="289"/>
    </row>
    <row r="116" spans="2:7" ht="30" x14ac:dyDescent="0.2">
      <c r="B116" s="69" t="s">
        <v>499</v>
      </c>
      <c r="C116" s="120" t="s">
        <v>78</v>
      </c>
      <c r="D116" s="120" t="s">
        <v>79</v>
      </c>
      <c r="E116" s="120" t="s">
        <v>0</v>
      </c>
      <c r="F116" s="120" t="s">
        <v>412</v>
      </c>
      <c r="G116" s="121" t="s">
        <v>497</v>
      </c>
    </row>
    <row r="117" spans="2:7" x14ac:dyDescent="0.2">
      <c r="B117" s="123">
        <v>1</v>
      </c>
      <c r="C117" s="124" t="s">
        <v>26</v>
      </c>
      <c r="D117" s="124" t="s">
        <v>28</v>
      </c>
      <c r="E117" s="124">
        <v>2024</v>
      </c>
      <c r="F117" s="65">
        <v>124.8573333333333</v>
      </c>
      <c r="G117" s="220">
        <v>12.140222222222199</v>
      </c>
    </row>
    <row r="118" spans="2:7" x14ac:dyDescent="0.2">
      <c r="B118" s="113">
        <v>2</v>
      </c>
      <c r="C118" t="s">
        <v>76</v>
      </c>
      <c r="D118" t="s">
        <v>32</v>
      </c>
      <c r="E118">
        <v>2024</v>
      </c>
      <c r="F118" s="42">
        <v>123.2866666666667</v>
      </c>
      <c r="G118" s="159">
        <v>10.569555555555549</v>
      </c>
    </row>
    <row r="119" spans="2:7" x14ac:dyDescent="0.2">
      <c r="B119" s="113">
        <v>3</v>
      </c>
      <c r="C119" t="s">
        <v>15</v>
      </c>
      <c r="D119" t="s">
        <v>17</v>
      </c>
      <c r="E119">
        <v>2021</v>
      </c>
      <c r="F119" s="42">
        <v>120.5053333333333</v>
      </c>
      <c r="G119" s="159">
        <v>7.6916666666666771</v>
      </c>
    </row>
    <row r="120" spans="2:7" x14ac:dyDescent="0.2">
      <c r="B120" s="113">
        <v>4</v>
      </c>
      <c r="C120" t="s">
        <v>18</v>
      </c>
      <c r="D120" t="s">
        <v>20</v>
      </c>
      <c r="E120">
        <v>2022</v>
      </c>
      <c r="F120" s="42">
        <v>118.16</v>
      </c>
      <c r="G120" s="159">
        <v>7.3391111111110936</v>
      </c>
    </row>
    <row r="121" spans="2:7" x14ac:dyDescent="0.2">
      <c r="B121" s="113">
        <v>5</v>
      </c>
      <c r="C121" t="s">
        <v>31</v>
      </c>
      <c r="D121" t="s">
        <v>33</v>
      </c>
      <c r="E121">
        <v>2023</v>
      </c>
      <c r="F121" s="42">
        <v>120.1693333333333</v>
      </c>
      <c r="G121" s="159">
        <v>7.1252222222222059</v>
      </c>
    </row>
    <row r="122" spans="2:7" x14ac:dyDescent="0.2">
      <c r="B122" s="114">
        <v>6</v>
      </c>
      <c r="C122" s="90" t="s">
        <v>525</v>
      </c>
      <c r="D122" s="90" t="s">
        <v>36</v>
      </c>
      <c r="E122" s="90">
        <v>2025</v>
      </c>
      <c r="F122" s="214">
        <v>119.35428571428569</v>
      </c>
      <c r="G122" s="218">
        <v>6.7463095238095434</v>
      </c>
    </row>
    <row r="123" spans="2:7" x14ac:dyDescent="0.2">
      <c r="B123" s="113">
        <v>7</v>
      </c>
      <c r="C123" t="s">
        <v>38</v>
      </c>
      <c r="D123" t="s">
        <v>36</v>
      </c>
      <c r="E123">
        <v>2022</v>
      </c>
      <c r="F123" s="42">
        <v>116.488</v>
      </c>
      <c r="G123" s="159">
        <v>5.6671111111111259</v>
      </c>
    </row>
    <row r="124" spans="2:7" x14ac:dyDescent="0.2">
      <c r="B124" s="113">
        <v>8</v>
      </c>
      <c r="C124" t="s">
        <v>39</v>
      </c>
      <c r="D124" t="s">
        <v>32</v>
      </c>
      <c r="E124">
        <v>2022</v>
      </c>
      <c r="F124" s="42">
        <v>113.42400000000001</v>
      </c>
      <c r="G124" s="159">
        <v>2.603111111111104</v>
      </c>
    </row>
    <row r="125" spans="2:7" x14ac:dyDescent="0.2">
      <c r="B125" s="113">
        <v>9</v>
      </c>
      <c r="C125" t="s">
        <v>14</v>
      </c>
      <c r="D125" t="s">
        <v>16</v>
      </c>
      <c r="E125">
        <v>2021</v>
      </c>
      <c r="F125" s="42">
        <v>114.848</v>
      </c>
      <c r="G125" s="159">
        <v>2.034333333333322</v>
      </c>
    </row>
    <row r="126" spans="2:7" x14ac:dyDescent="0.2">
      <c r="B126" s="122">
        <v>10</v>
      </c>
      <c r="C126" s="75" t="s">
        <v>35</v>
      </c>
      <c r="D126" s="75" t="s">
        <v>37</v>
      </c>
      <c r="E126" s="75">
        <v>2021</v>
      </c>
      <c r="F126" s="25">
        <v>113.6906666666667</v>
      </c>
      <c r="G126" s="161">
        <v>0.87700000000000955</v>
      </c>
    </row>
    <row r="127" spans="2:7" x14ac:dyDescent="0.2">
      <c r="B127" s="27"/>
      <c r="C127" s="27"/>
      <c r="D127" s="27"/>
      <c r="E127" s="27"/>
      <c r="F127" s="27"/>
      <c r="G127" s="27"/>
    </row>
    <row r="128" spans="2:7" ht="21" x14ac:dyDescent="0.25">
      <c r="B128" s="287" t="s">
        <v>629</v>
      </c>
      <c r="C128" s="288"/>
      <c r="D128" s="288"/>
      <c r="E128" s="288"/>
      <c r="F128" s="288"/>
      <c r="G128" s="289"/>
    </row>
    <row r="129" spans="2:7" ht="30" x14ac:dyDescent="0.2">
      <c r="B129" s="28" t="s">
        <v>499</v>
      </c>
      <c r="C129" s="228" t="s">
        <v>78</v>
      </c>
      <c r="D129" s="228" t="s">
        <v>79</v>
      </c>
      <c r="E129" s="228" t="s">
        <v>0</v>
      </c>
      <c r="F129" s="228" t="s">
        <v>412</v>
      </c>
      <c r="G129" s="227" t="s">
        <v>497</v>
      </c>
    </row>
    <row r="130" spans="2:7" x14ac:dyDescent="0.2">
      <c r="B130" s="123">
        <v>1</v>
      </c>
      <c r="C130" s="124" t="s">
        <v>23</v>
      </c>
      <c r="D130" s="124" t="s">
        <v>25</v>
      </c>
      <c r="E130" s="124">
        <v>2020</v>
      </c>
      <c r="F130" s="65">
        <v>113.2871428571428</v>
      </c>
      <c r="G130" s="220">
        <v>12.385476190476179</v>
      </c>
    </row>
    <row r="131" spans="2:7" x14ac:dyDescent="0.2">
      <c r="B131" s="113">
        <v>2</v>
      </c>
      <c r="C131" t="s">
        <v>26</v>
      </c>
      <c r="D131" t="s">
        <v>28</v>
      </c>
      <c r="E131">
        <v>2024</v>
      </c>
      <c r="F131" s="42">
        <v>124.8573333333333</v>
      </c>
      <c r="G131" s="159">
        <v>12.14022222222221</v>
      </c>
    </row>
    <row r="132" spans="2:7" x14ac:dyDescent="0.2">
      <c r="B132" s="113">
        <v>3</v>
      </c>
      <c r="C132" t="s">
        <v>99</v>
      </c>
      <c r="D132" t="s">
        <v>17</v>
      </c>
      <c r="E132">
        <v>2012</v>
      </c>
      <c r="F132" s="42">
        <v>109.1157142857143</v>
      </c>
      <c r="G132" s="159">
        <v>11.34226190476187</v>
      </c>
    </row>
    <row r="133" spans="2:7" x14ac:dyDescent="0.2">
      <c r="B133" s="113">
        <v>4</v>
      </c>
      <c r="C133" t="s">
        <v>76</v>
      </c>
      <c r="D133" t="s">
        <v>32</v>
      </c>
      <c r="E133">
        <v>2024</v>
      </c>
      <c r="F133" s="42">
        <v>123.2866666666667</v>
      </c>
      <c r="G133" s="159">
        <v>10.569555555555549</v>
      </c>
    </row>
    <row r="134" spans="2:7" x14ac:dyDescent="0.2">
      <c r="B134" s="113">
        <v>5</v>
      </c>
      <c r="C134" t="s">
        <v>104</v>
      </c>
      <c r="D134" t="s">
        <v>16</v>
      </c>
      <c r="E134">
        <v>2017</v>
      </c>
      <c r="F134" s="42">
        <v>102.4157142857143</v>
      </c>
      <c r="G134" s="159">
        <v>9.0170238095238204</v>
      </c>
    </row>
    <row r="135" spans="2:7" x14ac:dyDescent="0.2">
      <c r="B135" s="113">
        <v>6</v>
      </c>
      <c r="C135" t="s">
        <v>23</v>
      </c>
      <c r="D135" t="s">
        <v>25</v>
      </c>
      <c r="E135">
        <v>2012</v>
      </c>
      <c r="F135" s="42">
        <v>106.45142857142859</v>
      </c>
      <c r="G135" s="159">
        <v>8.6779761904761727</v>
      </c>
    </row>
    <row r="136" spans="2:7" x14ac:dyDescent="0.2">
      <c r="B136" s="113">
        <v>7</v>
      </c>
      <c r="C136" t="s">
        <v>85</v>
      </c>
      <c r="D136" t="s">
        <v>49</v>
      </c>
      <c r="E136">
        <v>2015</v>
      </c>
      <c r="F136" s="42">
        <v>105.2171428571428</v>
      </c>
      <c r="G136" s="159">
        <v>8.5490476190475988</v>
      </c>
    </row>
    <row r="137" spans="2:7" x14ac:dyDescent="0.2">
      <c r="B137" s="113">
        <v>8</v>
      </c>
      <c r="C137" t="s">
        <v>110</v>
      </c>
      <c r="D137" t="s">
        <v>20</v>
      </c>
      <c r="E137">
        <v>2018</v>
      </c>
      <c r="F137" s="42">
        <v>109.8042857142857</v>
      </c>
      <c r="G137" s="159">
        <v>8.5122619047619281</v>
      </c>
    </row>
    <row r="138" spans="2:7" x14ac:dyDescent="0.2">
      <c r="B138" s="113">
        <v>9</v>
      </c>
      <c r="C138" t="s">
        <v>15</v>
      </c>
      <c r="D138" t="s">
        <v>17</v>
      </c>
      <c r="E138">
        <v>2021</v>
      </c>
      <c r="F138" s="42">
        <v>120.5053333333333</v>
      </c>
      <c r="G138" s="159">
        <v>7.6916666666666771</v>
      </c>
    </row>
    <row r="139" spans="2:7" x14ac:dyDescent="0.2">
      <c r="B139" s="122">
        <v>10</v>
      </c>
      <c r="C139" s="75" t="s">
        <v>18</v>
      </c>
      <c r="D139" s="75" t="s">
        <v>20</v>
      </c>
      <c r="E139" s="75">
        <v>2022</v>
      </c>
      <c r="F139" s="25">
        <v>118.16</v>
      </c>
      <c r="G139" s="161">
        <v>7.3391111111110936</v>
      </c>
    </row>
    <row r="141" spans="2:7" x14ac:dyDescent="0.2">
      <c r="G141" s="159"/>
    </row>
  </sheetData>
  <mergeCells count="8">
    <mergeCell ref="B128:G128"/>
    <mergeCell ref="B100:G100"/>
    <mergeCell ref="B2:G2"/>
    <mergeCell ref="B26:G26"/>
    <mergeCell ref="B49:G49"/>
    <mergeCell ref="B87:G87"/>
    <mergeCell ref="B115:G115"/>
    <mergeCell ref="B68:G68"/>
  </mergeCells>
  <conditionalFormatting sqref="G4:G23">
    <cfRule type="colorScale" priority="17">
      <colorScale>
        <cfvo type="min"/>
        <cfvo type="max"/>
        <color rgb="FFFCFCFF"/>
        <color rgb="FF63BE7B"/>
      </colorScale>
    </cfRule>
  </conditionalFormatting>
  <conditionalFormatting sqref="G28:G48">
    <cfRule type="colorScale" priority="16">
      <colorScale>
        <cfvo type="min"/>
        <cfvo type="max"/>
        <color rgb="FFF8696B"/>
        <color rgb="FFFCFCFF"/>
      </colorScale>
    </cfRule>
  </conditionalFormatting>
  <conditionalFormatting sqref="G51:G67 G85">
    <cfRule type="colorScale" priority="36">
      <colorScale>
        <cfvo type="min"/>
        <cfvo type="max"/>
        <color rgb="FFFCFCFF"/>
        <color rgb="FF63BE7B"/>
      </colorScale>
    </cfRule>
  </conditionalFormatting>
  <conditionalFormatting sqref="G70:G84">
    <cfRule type="colorScale" priority="11">
      <colorScale>
        <cfvo type="min"/>
        <cfvo type="max"/>
        <color rgb="FFF8696B"/>
        <color rgb="FFFCFCFF"/>
      </colorScale>
    </cfRule>
  </conditionalFormatting>
  <conditionalFormatting sqref="G89:G99 G112">
    <cfRule type="colorScale" priority="8">
      <colorScale>
        <cfvo type="min"/>
        <cfvo type="max"/>
        <color rgb="FFF8696B"/>
        <color rgb="FFFCFCFF"/>
      </colorScale>
    </cfRule>
  </conditionalFormatting>
  <conditionalFormatting sqref="G102:G103">
    <cfRule type="colorScale" priority="7">
      <colorScale>
        <cfvo type="min"/>
        <cfvo type="num" val="0"/>
        <cfvo type="num" val="13"/>
        <color rgb="FFF8696B"/>
        <color rgb="FFFCFCFF"/>
        <color rgb="FF63BE7B"/>
      </colorScale>
    </cfRule>
  </conditionalFormatting>
  <conditionalFormatting sqref="G104:G111">
    <cfRule type="colorScale" priority="6">
      <colorScale>
        <cfvo type="min"/>
        <cfvo type="max"/>
        <color rgb="FFFCFCFF"/>
        <color rgb="FF63BE7B"/>
      </colorScale>
    </cfRule>
  </conditionalFormatting>
  <conditionalFormatting sqref="G117:G126">
    <cfRule type="colorScale" priority="10">
      <colorScale>
        <cfvo type="min"/>
        <cfvo type="max"/>
        <color rgb="FFFCFCFF"/>
        <color rgb="FF63BE7B"/>
      </colorScale>
    </cfRule>
  </conditionalFormatting>
  <conditionalFormatting sqref="G130:G139">
    <cfRule type="colorScale" priority="5">
      <colorScale>
        <cfvo type="min"/>
        <cfvo type="max"/>
        <color rgb="FFFCFCFF"/>
        <color rgb="FF63BE7B"/>
      </colorScale>
    </cfRule>
  </conditionalFormatting>
  <conditionalFormatting sqref="G141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50F6-FD97-7140-8F12-BCD746FF6D18}">
  <dimension ref="A2:K35"/>
  <sheetViews>
    <sheetView topLeftCell="C11" zoomScale="127" zoomScaleNormal="127" workbookViewId="0">
      <selection activeCell="K36" sqref="K36"/>
    </sheetView>
  </sheetViews>
  <sheetFormatPr baseColWidth="10" defaultRowHeight="16" x14ac:dyDescent="0.2"/>
  <cols>
    <col min="3" max="3" width="24.6640625" customWidth="1"/>
    <col min="4" max="4" width="11.1640625" customWidth="1"/>
    <col min="7" max="7" width="13.33203125" customWidth="1"/>
    <col min="8" max="8" width="10.83203125" style="27"/>
    <col min="9" max="9" width="14.5" customWidth="1"/>
    <col min="10" max="10" width="15.5" customWidth="1"/>
    <col min="11" max="11" width="10.83203125" style="27"/>
  </cols>
  <sheetData>
    <row r="2" spans="1:7" x14ac:dyDescent="0.2">
      <c r="A2" s="27"/>
      <c r="B2" s="27"/>
      <c r="C2" s="27"/>
      <c r="D2" s="27"/>
      <c r="E2" s="27"/>
      <c r="F2" s="27"/>
      <c r="G2" s="27"/>
    </row>
    <row r="3" spans="1:7" ht="21" x14ac:dyDescent="0.25">
      <c r="A3" s="27"/>
      <c r="B3" s="287" t="s">
        <v>638</v>
      </c>
      <c r="C3" s="288"/>
      <c r="D3" s="288"/>
      <c r="E3" s="288"/>
      <c r="F3" s="288"/>
      <c r="G3" s="289"/>
    </row>
    <row r="4" spans="1:7" ht="30" x14ac:dyDescent="0.2">
      <c r="A4" s="27"/>
      <c r="B4" s="28" t="s">
        <v>499</v>
      </c>
      <c r="C4" s="228" t="s">
        <v>78</v>
      </c>
      <c r="D4" s="228" t="s">
        <v>79</v>
      </c>
      <c r="E4" s="228" t="s">
        <v>0</v>
      </c>
      <c r="F4" s="228" t="s">
        <v>412</v>
      </c>
      <c r="G4" s="227" t="s">
        <v>497</v>
      </c>
    </row>
    <row r="5" spans="1:7" x14ac:dyDescent="0.2">
      <c r="A5" s="27"/>
      <c r="B5" s="123">
        <v>1</v>
      </c>
      <c r="C5" s="124" t="s">
        <v>23</v>
      </c>
      <c r="D5" s="124" t="s">
        <v>25</v>
      </c>
      <c r="E5" s="124">
        <v>2012</v>
      </c>
      <c r="F5" s="65">
        <v>106.45142857142859</v>
      </c>
      <c r="G5" s="220">
        <v>8.6779761904761727</v>
      </c>
    </row>
    <row r="6" spans="1:7" x14ac:dyDescent="0.2">
      <c r="A6" s="27"/>
      <c r="B6" s="113">
        <v>2</v>
      </c>
      <c r="C6" t="s">
        <v>85</v>
      </c>
      <c r="D6" t="s">
        <v>49</v>
      </c>
      <c r="E6">
        <v>2015</v>
      </c>
      <c r="F6" s="42">
        <v>105.2171428571428</v>
      </c>
      <c r="G6" s="159">
        <v>8.5490476190475988</v>
      </c>
    </row>
    <row r="7" spans="1:7" x14ac:dyDescent="0.2">
      <c r="A7" s="27"/>
      <c r="B7" s="114">
        <v>3</v>
      </c>
      <c r="C7" s="90" t="s">
        <v>525</v>
      </c>
      <c r="D7" s="90" t="s">
        <v>36</v>
      </c>
      <c r="E7" s="90">
        <v>2025</v>
      </c>
      <c r="F7" s="214">
        <v>119.35428571428569</v>
      </c>
      <c r="G7" s="218">
        <v>6.7463095238095434</v>
      </c>
    </row>
    <row r="8" spans="1:7" x14ac:dyDescent="0.2">
      <c r="A8" s="27"/>
      <c r="B8" s="113">
        <v>4</v>
      </c>
      <c r="C8" t="s">
        <v>35</v>
      </c>
      <c r="D8" t="s">
        <v>49</v>
      </c>
      <c r="E8">
        <v>2014</v>
      </c>
      <c r="F8" s="42">
        <v>103.06142857142861</v>
      </c>
      <c r="G8" s="159">
        <v>5.4375000000000142</v>
      </c>
    </row>
    <row r="9" spans="1:7" x14ac:dyDescent="0.2">
      <c r="A9" s="27"/>
      <c r="B9" s="113">
        <v>5</v>
      </c>
      <c r="C9" t="s">
        <v>91</v>
      </c>
      <c r="D9" t="s">
        <v>28</v>
      </c>
      <c r="E9">
        <v>2017</v>
      </c>
      <c r="F9" s="42">
        <v>97.822857142857174</v>
      </c>
      <c r="G9" s="159">
        <v>4.424166666666693</v>
      </c>
    </row>
    <row r="10" spans="1:7" x14ac:dyDescent="0.2">
      <c r="A10" s="27"/>
      <c r="B10" s="113">
        <v>6</v>
      </c>
      <c r="C10" t="s">
        <v>57</v>
      </c>
      <c r="D10" t="s">
        <v>17</v>
      </c>
      <c r="E10">
        <v>2020</v>
      </c>
      <c r="F10" s="42">
        <v>103.08285714285709</v>
      </c>
      <c r="G10" s="159">
        <v>2.1811904761904799</v>
      </c>
    </row>
    <row r="11" spans="1:7" x14ac:dyDescent="0.2">
      <c r="A11" s="27"/>
      <c r="B11" s="113">
        <v>7</v>
      </c>
      <c r="C11" t="s">
        <v>109</v>
      </c>
      <c r="D11" t="s">
        <v>16</v>
      </c>
      <c r="E11">
        <v>2013</v>
      </c>
      <c r="F11" s="42">
        <v>100.4714285714286</v>
      </c>
      <c r="G11" s="159">
        <v>1.036785714285728</v>
      </c>
    </row>
    <row r="12" spans="1:7" x14ac:dyDescent="0.2">
      <c r="A12" s="27"/>
      <c r="B12" s="113">
        <v>8</v>
      </c>
      <c r="C12" t="s">
        <v>35</v>
      </c>
      <c r="D12" t="s">
        <v>37</v>
      </c>
      <c r="E12">
        <v>2021</v>
      </c>
      <c r="F12" s="42">
        <v>113.6906666666667</v>
      </c>
      <c r="G12" s="159">
        <v>0.87700000000000955</v>
      </c>
    </row>
    <row r="13" spans="1:7" x14ac:dyDescent="0.2">
      <c r="A13" s="27"/>
      <c r="B13" s="113">
        <v>9</v>
      </c>
      <c r="C13" t="s">
        <v>26</v>
      </c>
      <c r="D13" t="s">
        <v>28</v>
      </c>
      <c r="E13">
        <v>2018</v>
      </c>
      <c r="F13" s="42">
        <v>102.0428571428571</v>
      </c>
      <c r="G13" s="159">
        <v>0.75083333333331836</v>
      </c>
    </row>
    <row r="14" spans="1:7" x14ac:dyDescent="0.2">
      <c r="A14" s="27"/>
      <c r="B14" s="113">
        <v>10</v>
      </c>
      <c r="C14" t="s">
        <v>59</v>
      </c>
      <c r="D14" t="s">
        <v>32</v>
      </c>
      <c r="E14">
        <v>2016</v>
      </c>
      <c r="F14" s="42">
        <v>93.607142857142861</v>
      </c>
      <c r="G14" s="159">
        <v>-2.3945238095238039</v>
      </c>
    </row>
    <row r="15" spans="1:7" x14ac:dyDescent="0.2">
      <c r="A15" s="27"/>
      <c r="B15" s="113">
        <v>11</v>
      </c>
      <c r="C15" t="s">
        <v>26</v>
      </c>
      <c r="D15" t="s">
        <v>28</v>
      </c>
      <c r="E15">
        <v>2022</v>
      </c>
      <c r="F15" s="42">
        <v>108.116</v>
      </c>
      <c r="G15" s="159">
        <v>-2.7048888888888878</v>
      </c>
    </row>
    <row r="16" spans="1:7" x14ac:dyDescent="0.2">
      <c r="A16" s="27"/>
      <c r="B16" s="113">
        <v>12</v>
      </c>
      <c r="C16" t="s">
        <v>74</v>
      </c>
      <c r="D16" t="s">
        <v>29</v>
      </c>
      <c r="E16">
        <v>2024</v>
      </c>
      <c r="F16" s="42">
        <v>106.8573333333333</v>
      </c>
      <c r="G16" s="159">
        <v>-5.8597777777777944</v>
      </c>
    </row>
    <row r="17" spans="1:10" x14ac:dyDescent="0.2">
      <c r="A17" s="27"/>
      <c r="B17" s="113">
        <v>13</v>
      </c>
      <c r="C17" t="s">
        <v>18</v>
      </c>
      <c r="D17" t="s">
        <v>20</v>
      </c>
      <c r="E17">
        <v>2023</v>
      </c>
      <c r="F17" s="42">
        <v>106.3813333333333</v>
      </c>
      <c r="G17" s="159">
        <v>-6.662777777777805</v>
      </c>
    </row>
    <row r="18" spans="1:10" x14ac:dyDescent="0.2">
      <c r="A18" s="27"/>
      <c r="B18" s="122">
        <v>14</v>
      </c>
      <c r="C18" s="75" t="s">
        <v>14</v>
      </c>
      <c r="D18" s="75" t="s">
        <v>16</v>
      </c>
      <c r="E18" s="75">
        <v>2019</v>
      </c>
      <c r="F18" s="25">
        <v>92.265714285714267</v>
      </c>
      <c r="G18" s="161">
        <v>-8.5304761904761932</v>
      </c>
    </row>
    <row r="19" spans="1:10" x14ac:dyDescent="0.2">
      <c r="A19" s="27"/>
      <c r="B19" s="27"/>
      <c r="C19" s="27"/>
      <c r="D19" s="27"/>
      <c r="E19" s="27"/>
      <c r="F19" s="27"/>
      <c r="G19" s="27"/>
    </row>
    <row r="20" spans="1:10" x14ac:dyDescent="0.2">
      <c r="I20" s="27"/>
      <c r="J20" s="27"/>
    </row>
    <row r="21" spans="1:10" ht="37" customHeight="1" x14ac:dyDescent="0.25">
      <c r="B21" s="308"/>
      <c r="C21" s="308"/>
      <c r="I21" s="299" t="s">
        <v>640</v>
      </c>
      <c r="J21" s="309"/>
    </row>
    <row r="22" spans="1:10" ht="34" x14ac:dyDescent="0.2">
      <c r="C22" s="6"/>
      <c r="I22" s="69" t="s">
        <v>639</v>
      </c>
      <c r="J22" s="130" t="s">
        <v>497</v>
      </c>
    </row>
    <row r="23" spans="1:10" ht="17" x14ac:dyDescent="0.2">
      <c r="B23" s="93"/>
      <c r="C23" s="225"/>
      <c r="D23" s="229"/>
      <c r="E23" s="229"/>
      <c r="F23" s="229"/>
      <c r="G23" s="229"/>
      <c r="H23" s="231"/>
      <c r="I23" s="210">
        <v>1</v>
      </c>
      <c r="J23" s="159">
        <v>10.725815000000001</v>
      </c>
    </row>
    <row r="24" spans="1:10" ht="17" x14ac:dyDescent="0.2">
      <c r="B24" s="93"/>
      <c r="C24" s="225"/>
      <c r="D24" s="229"/>
      <c r="E24" s="229"/>
      <c r="F24" s="229"/>
      <c r="G24" s="229"/>
      <c r="H24" s="231"/>
      <c r="I24" s="210">
        <v>2</v>
      </c>
      <c r="J24" s="159">
        <v>7.4239240000000004</v>
      </c>
    </row>
    <row r="25" spans="1:10" ht="17" x14ac:dyDescent="0.2">
      <c r="B25" s="93"/>
      <c r="C25" s="232"/>
      <c r="D25" s="229"/>
      <c r="E25" s="229"/>
      <c r="F25" s="229"/>
      <c r="G25" s="229"/>
      <c r="H25" s="231"/>
      <c r="I25" s="210">
        <v>3</v>
      </c>
      <c r="J25" s="159">
        <v>2.661162</v>
      </c>
    </row>
    <row r="26" spans="1:10" ht="17" x14ac:dyDescent="0.2">
      <c r="B26" s="93"/>
      <c r="C26" s="225"/>
      <c r="D26" s="229"/>
      <c r="E26" s="229"/>
      <c r="F26" s="229"/>
      <c r="G26" s="229"/>
      <c r="H26" s="231"/>
      <c r="I26" s="210">
        <v>4</v>
      </c>
      <c r="J26" s="159">
        <v>2.6432099999999998</v>
      </c>
    </row>
    <row r="27" spans="1:10" ht="17" x14ac:dyDescent="0.2">
      <c r="B27" s="93"/>
      <c r="C27" s="225"/>
      <c r="D27" s="229"/>
      <c r="E27" s="229"/>
      <c r="F27" s="229"/>
      <c r="G27" s="229"/>
      <c r="H27" s="231"/>
      <c r="I27" s="210">
        <v>5</v>
      </c>
      <c r="J27" s="159">
        <v>2.7549649999999999</v>
      </c>
    </row>
    <row r="28" spans="1:10" ht="17" x14ac:dyDescent="0.2">
      <c r="B28" s="93"/>
      <c r="C28" s="225"/>
      <c r="D28" s="229"/>
      <c r="E28" s="229"/>
      <c r="F28" s="229"/>
      <c r="G28" s="229"/>
      <c r="H28" s="231"/>
      <c r="I28" s="210">
        <v>6</v>
      </c>
      <c r="J28" s="159">
        <v>-2.6022E-2</v>
      </c>
    </row>
    <row r="29" spans="1:10" ht="17" x14ac:dyDescent="0.2">
      <c r="B29" s="93"/>
      <c r="C29" s="225"/>
      <c r="D29" s="229"/>
      <c r="E29" s="229"/>
      <c r="F29" s="229"/>
      <c r="G29" s="229"/>
      <c r="H29" s="231"/>
      <c r="I29" s="210">
        <v>7</v>
      </c>
      <c r="J29" s="159">
        <v>-0.40338200000000002</v>
      </c>
    </row>
    <row r="30" spans="1:10" ht="17" x14ac:dyDescent="0.2">
      <c r="B30" s="93"/>
      <c r="C30" s="225"/>
      <c r="D30" s="229"/>
      <c r="E30" s="229"/>
      <c r="F30" s="229"/>
      <c r="G30" s="229"/>
      <c r="H30" s="231"/>
      <c r="I30" s="210">
        <v>8</v>
      </c>
      <c r="J30" s="159">
        <v>-0.49312400000000001</v>
      </c>
    </row>
    <row r="31" spans="1:10" ht="17" x14ac:dyDescent="0.2">
      <c r="B31" s="93"/>
      <c r="C31" s="225"/>
      <c r="D31" s="229"/>
      <c r="E31" s="229"/>
      <c r="F31" s="229"/>
      <c r="G31" s="229"/>
      <c r="H31" s="231"/>
      <c r="I31" s="233">
        <v>9</v>
      </c>
      <c r="J31" s="218">
        <v>0.89488299999999998</v>
      </c>
    </row>
    <row r="32" spans="1:10" ht="17" x14ac:dyDescent="0.2">
      <c r="B32" s="93"/>
      <c r="C32" s="225"/>
      <c r="D32" s="229"/>
      <c r="E32" s="229"/>
      <c r="F32" s="229"/>
      <c r="G32" s="229"/>
      <c r="H32" s="231"/>
      <c r="I32" s="210">
        <v>10</v>
      </c>
      <c r="J32" s="159">
        <v>-6.7471370000000004</v>
      </c>
    </row>
    <row r="33" spans="2:10" ht="17" x14ac:dyDescent="0.2">
      <c r="B33" s="93"/>
      <c r="C33" s="225"/>
      <c r="D33" s="229"/>
      <c r="E33" s="229"/>
      <c r="F33" s="229"/>
      <c r="G33" s="229"/>
      <c r="H33" s="231"/>
      <c r="I33" s="210">
        <v>11</v>
      </c>
      <c r="J33" s="159">
        <v>-6.8409329999999997</v>
      </c>
    </row>
    <row r="34" spans="2:10" ht="17" x14ac:dyDescent="0.2">
      <c r="B34" s="93"/>
      <c r="C34" s="225"/>
      <c r="D34" s="229"/>
      <c r="E34" s="229"/>
      <c r="F34" s="229"/>
      <c r="G34" s="229"/>
      <c r="H34" s="231"/>
      <c r="I34" s="230">
        <v>12</v>
      </c>
      <c r="J34" s="161">
        <v>-12.593362000000001</v>
      </c>
    </row>
    <row r="35" spans="2:10" x14ac:dyDescent="0.2">
      <c r="I35" s="27"/>
      <c r="J35" s="27"/>
    </row>
  </sheetData>
  <mergeCells count="3">
    <mergeCell ref="B3:G3"/>
    <mergeCell ref="B21:C21"/>
    <mergeCell ref="I21:J21"/>
  </mergeCells>
  <conditionalFormatting sqref="C23:C3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G5:G1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J23:J3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CB7D-B685-B747-8F14-2C3986BDE4B1}">
  <dimension ref="B10:O24"/>
  <sheetViews>
    <sheetView zoomScale="130" zoomScaleNormal="130" workbookViewId="0">
      <selection activeCell="P29" sqref="P29"/>
    </sheetView>
  </sheetViews>
  <sheetFormatPr baseColWidth="10" defaultRowHeight="16" x14ac:dyDescent="0.2"/>
  <cols>
    <col min="7" max="7" width="22.6640625" customWidth="1"/>
    <col min="10" max="10" width="26.5" customWidth="1"/>
    <col min="11" max="11" width="20.1640625" customWidth="1"/>
  </cols>
  <sheetData>
    <row r="10" spans="2:15" x14ac:dyDescent="0.2">
      <c r="B10" s="27"/>
      <c r="C10" s="27"/>
      <c r="D10" s="27"/>
      <c r="E10" s="27"/>
      <c r="F10" s="27"/>
      <c r="G10" s="27"/>
      <c r="H10" s="27"/>
    </row>
    <row r="11" spans="2:15" ht="19" x14ac:dyDescent="0.25">
      <c r="B11" s="27"/>
      <c r="C11" s="293" t="s">
        <v>30</v>
      </c>
      <c r="D11" s="294"/>
      <c r="E11" s="294"/>
      <c r="F11" s="294"/>
      <c r="G11" s="295"/>
      <c r="H11" s="27"/>
    </row>
    <row r="12" spans="2:15" x14ac:dyDescent="0.2">
      <c r="B12" s="27"/>
      <c r="C12" s="69" t="s">
        <v>0</v>
      </c>
      <c r="D12" s="70" t="s">
        <v>639</v>
      </c>
      <c r="E12" s="70" t="s">
        <v>410</v>
      </c>
      <c r="F12" s="70" t="s">
        <v>412</v>
      </c>
      <c r="G12" s="86" t="s">
        <v>654</v>
      </c>
      <c r="H12" s="27"/>
    </row>
    <row r="13" spans="2:15" x14ac:dyDescent="0.2">
      <c r="B13" s="27"/>
      <c r="C13" s="46">
        <v>2023</v>
      </c>
      <c r="D13" s="124">
        <v>7</v>
      </c>
      <c r="E13" s="66" t="s">
        <v>656</v>
      </c>
      <c r="F13" s="124">
        <v>102.7</v>
      </c>
      <c r="G13" s="220">
        <v>-10.4</v>
      </c>
      <c r="H13" s="27"/>
    </row>
    <row r="14" spans="2:15" x14ac:dyDescent="0.2">
      <c r="B14" s="27"/>
      <c r="C14" s="32">
        <v>2024</v>
      </c>
      <c r="D14" s="310">
        <v>7</v>
      </c>
      <c r="E14" s="311" t="s">
        <v>655</v>
      </c>
      <c r="F14" s="310">
        <v>123.3</v>
      </c>
      <c r="G14" s="159">
        <v>10.6</v>
      </c>
      <c r="H14" s="27"/>
    </row>
    <row r="15" spans="2:15" x14ac:dyDescent="0.2">
      <c r="B15" s="27"/>
      <c r="C15" s="74">
        <v>2025</v>
      </c>
      <c r="D15" s="75">
        <v>7</v>
      </c>
      <c r="E15" s="57" t="s">
        <v>601</v>
      </c>
      <c r="F15" s="75">
        <v>104.8</v>
      </c>
      <c r="G15" s="161">
        <v>-7.8</v>
      </c>
      <c r="H15" s="27"/>
      <c r="I15" s="27"/>
      <c r="J15" s="27"/>
      <c r="K15" s="27"/>
      <c r="L15" s="27"/>
      <c r="M15" s="27"/>
      <c r="N15" s="27"/>
    </row>
    <row r="16" spans="2:15" ht="19" x14ac:dyDescent="0.25">
      <c r="B16" s="27"/>
      <c r="C16" s="27"/>
      <c r="D16" s="27"/>
      <c r="E16" s="27"/>
      <c r="F16" s="27"/>
      <c r="G16" s="27"/>
      <c r="H16" s="27"/>
      <c r="I16" s="335" t="s">
        <v>669</v>
      </c>
      <c r="J16" s="336"/>
      <c r="K16" s="336"/>
      <c r="L16" s="336"/>
      <c r="M16" s="336"/>
      <c r="N16" s="337"/>
      <c r="O16" s="27"/>
    </row>
    <row r="17" spans="8:15" x14ac:dyDescent="0.2">
      <c r="H17" s="27"/>
      <c r="I17" s="330" t="s">
        <v>1</v>
      </c>
      <c r="J17" s="331" t="s">
        <v>665</v>
      </c>
      <c r="K17" s="331" t="s">
        <v>666</v>
      </c>
      <c r="L17" s="331" t="s">
        <v>667</v>
      </c>
      <c r="M17" s="331" t="s">
        <v>668</v>
      </c>
      <c r="N17" s="332" t="s">
        <v>504</v>
      </c>
      <c r="O17" s="27"/>
    </row>
    <row r="18" spans="8:15" x14ac:dyDescent="0.2">
      <c r="H18" s="27"/>
      <c r="I18" s="32">
        <v>1</v>
      </c>
      <c r="J18" s="310" t="s">
        <v>77</v>
      </c>
      <c r="K18" s="310" t="s">
        <v>46</v>
      </c>
      <c r="L18" s="310">
        <v>104.88</v>
      </c>
      <c r="M18" s="310">
        <v>102.62</v>
      </c>
      <c r="N18" s="333">
        <v>2.2599999999999909</v>
      </c>
      <c r="O18" s="27"/>
    </row>
    <row r="19" spans="8:15" x14ac:dyDescent="0.2">
      <c r="H19" s="27"/>
      <c r="I19" s="32">
        <v>2</v>
      </c>
      <c r="J19" s="310" t="s">
        <v>77</v>
      </c>
      <c r="K19" s="310" t="s">
        <v>526</v>
      </c>
      <c r="L19" s="310">
        <v>196.4</v>
      </c>
      <c r="M19" s="310">
        <v>114.86</v>
      </c>
      <c r="N19" s="333">
        <v>81.540000000000006</v>
      </c>
      <c r="O19" s="27"/>
    </row>
    <row r="20" spans="8:15" x14ac:dyDescent="0.2">
      <c r="H20" s="27"/>
      <c r="I20" s="32">
        <v>4</v>
      </c>
      <c r="J20" s="310" t="s">
        <v>77</v>
      </c>
      <c r="K20" s="310" t="s">
        <v>14</v>
      </c>
      <c r="L20" s="310">
        <v>114.18</v>
      </c>
      <c r="M20" s="310">
        <v>106.18</v>
      </c>
      <c r="N20" s="333">
        <v>8</v>
      </c>
      <c r="O20" s="27"/>
    </row>
    <row r="21" spans="8:15" x14ac:dyDescent="0.2">
      <c r="H21" s="27"/>
      <c r="I21" s="32">
        <v>7</v>
      </c>
      <c r="J21" s="310" t="s">
        <v>77</v>
      </c>
      <c r="K21" s="310" t="s">
        <v>42</v>
      </c>
      <c r="L21" s="310">
        <v>97.32</v>
      </c>
      <c r="M21" s="310">
        <v>97.06</v>
      </c>
      <c r="N21" s="333">
        <v>0.25999999999999091</v>
      </c>
      <c r="O21" s="27"/>
    </row>
    <row r="22" spans="8:15" x14ac:dyDescent="0.2">
      <c r="H22" s="27"/>
      <c r="I22" s="32">
        <v>12</v>
      </c>
      <c r="J22" s="310" t="s">
        <v>77</v>
      </c>
      <c r="K22" s="310" t="s">
        <v>46</v>
      </c>
      <c r="L22" s="310">
        <v>114.84</v>
      </c>
      <c r="M22" s="310">
        <v>109.64</v>
      </c>
      <c r="N22" s="333">
        <v>5.2000000000000028</v>
      </c>
      <c r="O22" s="27"/>
    </row>
    <row r="23" spans="8:15" x14ac:dyDescent="0.2">
      <c r="H23" s="27"/>
      <c r="I23" s="74">
        <v>13</v>
      </c>
      <c r="J23" s="75" t="s">
        <v>77</v>
      </c>
      <c r="K23" s="75" t="s">
        <v>526</v>
      </c>
      <c r="L23" s="75">
        <v>101.76</v>
      </c>
      <c r="M23" s="75">
        <v>96.44</v>
      </c>
      <c r="N23" s="334">
        <v>5.3200000000000074</v>
      </c>
      <c r="O23" s="27"/>
    </row>
    <row r="24" spans="8:15" x14ac:dyDescent="0.2">
      <c r="H24" s="27"/>
      <c r="I24" s="27"/>
      <c r="J24" s="27"/>
      <c r="K24" s="27"/>
      <c r="L24" s="27"/>
      <c r="M24" s="27"/>
      <c r="N24" s="27"/>
      <c r="O24" s="27"/>
    </row>
  </sheetData>
  <mergeCells count="2">
    <mergeCell ref="C11:G11"/>
    <mergeCell ref="I16:N16"/>
  </mergeCells>
  <conditionalFormatting sqref="G13:G15">
    <cfRule type="colorScale" priority="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N18:N23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30FC-27AC-9C4E-AF36-BD3BE2FE0008}">
  <dimension ref="A1:F169"/>
  <sheetViews>
    <sheetView workbookViewId="0">
      <selection activeCell="A2" sqref="A2:F11"/>
    </sheetView>
  </sheetViews>
  <sheetFormatPr baseColWidth="10" defaultRowHeight="16" x14ac:dyDescent="0.2"/>
  <cols>
    <col min="1" max="1" width="28.5" customWidth="1"/>
    <col min="4" max="5" width="11.6640625" bestFit="1" customWidth="1"/>
  </cols>
  <sheetData>
    <row r="1" spans="1:6" x14ac:dyDescent="0.2">
      <c r="A1" s="323" t="s">
        <v>658</v>
      </c>
      <c r="B1" s="323" t="s">
        <v>79</v>
      </c>
      <c r="C1" s="323" t="s">
        <v>0</v>
      </c>
      <c r="D1" s="323" t="s">
        <v>481</v>
      </c>
      <c r="E1" s="323" t="s">
        <v>613</v>
      </c>
      <c r="F1" s="323" t="s">
        <v>659</v>
      </c>
    </row>
    <row r="2" spans="1:6" x14ac:dyDescent="0.2">
      <c r="A2" t="s">
        <v>23</v>
      </c>
      <c r="B2" t="s">
        <v>25</v>
      </c>
      <c r="C2">
        <v>2022</v>
      </c>
      <c r="D2" s="42">
        <v>86.545714285714283</v>
      </c>
      <c r="E2" s="42">
        <v>115.8657142857143</v>
      </c>
      <c r="F2" s="42">
        <v>29.31999999999999</v>
      </c>
    </row>
    <row r="3" spans="1:6" x14ac:dyDescent="0.2">
      <c r="A3" t="s">
        <v>46</v>
      </c>
      <c r="B3" t="s">
        <v>47</v>
      </c>
      <c r="C3">
        <v>2024</v>
      </c>
      <c r="D3" s="42">
        <v>106.97714285714289</v>
      </c>
      <c r="E3" s="42">
        <v>135.25714285714281</v>
      </c>
      <c r="F3" s="42">
        <v>28.279999999999969</v>
      </c>
    </row>
    <row r="4" spans="1:6" x14ac:dyDescent="0.2">
      <c r="A4" t="s">
        <v>61</v>
      </c>
      <c r="B4" t="s">
        <v>62</v>
      </c>
      <c r="C4">
        <v>2015</v>
      </c>
      <c r="D4" s="42">
        <v>95.917142857142849</v>
      </c>
      <c r="E4" s="42">
        <v>120.28571428571431</v>
      </c>
      <c r="F4" s="42">
        <v>24.368571428571439</v>
      </c>
    </row>
    <row r="5" spans="1:6" x14ac:dyDescent="0.2">
      <c r="A5" t="s">
        <v>110</v>
      </c>
      <c r="B5" t="s">
        <v>20</v>
      </c>
      <c r="C5">
        <v>2017</v>
      </c>
      <c r="D5" s="42">
        <v>103.7085714285714</v>
      </c>
      <c r="E5" s="42">
        <v>127.66285714285711</v>
      </c>
      <c r="F5" s="42">
        <v>23.954285714285689</v>
      </c>
    </row>
    <row r="6" spans="1:6" x14ac:dyDescent="0.2">
      <c r="A6" t="s">
        <v>105</v>
      </c>
      <c r="B6" t="s">
        <v>28</v>
      </c>
      <c r="C6">
        <v>2014</v>
      </c>
      <c r="D6" s="42">
        <v>100.23142857142859</v>
      </c>
      <c r="E6" s="42">
        <v>122.89142857142861</v>
      </c>
      <c r="F6" s="42">
        <v>22.660000000000011</v>
      </c>
    </row>
    <row r="7" spans="1:6" x14ac:dyDescent="0.2">
      <c r="A7" t="s">
        <v>42</v>
      </c>
      <c r="B7" t="s">
        <v>17</v>
      </c>
      <c r="C7">
        <v>2022</v>
      </c>
      <c r="D7" s="42">
        <v>101.7714285714286</v>
      </c>
      <c r="E7" s="42">
        <v>124.2171428571429</v>
      </c>
      <c r="F7" s="42">
        <v>22.445714285714288</v>
      </c>
    </row>
    <row r="8" spans="1:6" x14ac:dyDescent="0.2">
      <c r="A8" t="s">
        <v>15</v>
      </c>
      <c r="B8" t="s">
        <v>17</v>
      </c>
      <c r="C8">
        <v>2021</v>
      </c>
      <c r="D8" s="42">
        <v>108.7571428571429</v>
      </c>
      <c r="E8" s="42">
        <v>130.71428571428569</v>
      </c>
      <c r="F8" s="42">
        <v>21.957142857142859</v>
      </c>
    </row>
    <row r="9" spans="1:6" x14ac:dyDescent="0.2">
      <c r="A9" t="s">
        <v>524</v>
      </c>
      <c r="B9" t="s">
        <v>21</v>
      </c>
      <c r="C9">
        <v>2025</v>
      </c>
      <c r="D9" s="42">
        <v>104.33714285714279</v>
      </c>
      <c r="E9" s="42">
        <v>125.92</v>
      </c>
      <c r="F9" s="42">
        <v>21.582857142857161</v>
      </c>
    </row>
    <row r="10" spans="1:6" x14ac:dyDescent="0.2">
      <c r="A10" t="s">
        <v>35</v>
      </c>
      <c r="B10" t="s">
        <v>49</v>
      </c>
      <c r="C10">
        <v>2023</v>
      </c>
      <c r="D10" s="42">
        <v>92.76</v>
      </c>
      <c r="E10" s="42">
        <v>113.86285714285719</v>
      </c>
      <c r="F10" s="42">
        <v>21.10285714285715</v>
      </c>
    </row>
    <row r="11" spans="1:6" x14ac:dyDescent="0.2">
      <c r="A11" t="s">
        <v>14</v>
      </c>
      <c r="B11" t="s">
        <v>16</v>
      </c>
      <c r="C11">
        <v>2024</v>
      </c>
      <c r="D11" s="42">
        <v>92.605714285714271</v>
      </c>
      <c r="E11" s="42">
        <v>112.7171428571429</v>
      </c>
      <c r="F11" s="42">
        <v>20.11142857142859</v>
      </c>
    </row>
    <row r="12" spans="1:6" x14ac:dyDescent="0.2">
      <c r="A12" t="s">
        <v>57</v>
      </c>
      <c r="B12" t="s">
        <v>17</v>
      </c>
      <c r="C12">
        <v>2014</v>
      </c>
      <c r="D12" s="42">
        <v>90.202857142857141</v>
      </c>
      <c r="E12" s="42">
        <v>109.38</v>
      </c>
      <c r="F12" s="42">
        <v>19.17714285714284</v>
      </c>
    </row>
    <row r="13" spans="1:6" x14ac:dyDescent="0.2">
      <c r="A13" t="s">
        <v>19</v>
      </c>
      <c r="B13" t="s">
        <v>21</v>
      </c>
      <c r="C13">
        <v>2018</v>
      </c>
      <c r="D13" s="42">
        <v>87.628571428571419</v>
      </c>
      <c r="E13" s="42">
        <v>106.7085714285714</v>
      </c>
      <c r="F13" s="42">
        <v>19.080000000000009</v>
      </c>
    </row>
    <row r="14" spans="1:6" x14ac:dyDescent="0.2">
      <c r="A14" t="s">
        <v>114</v>
      </c>
      <c r="B14" t="s">
        <v>16</v>
      </c>
      <c r="C14">
        <v>2012</v>
      </c>
      <c r="D14" s="42">
        <v>79.454285714285717</v>
      </c>
      <c r="E14" s="42">
        <v>98.434285714285721</v>
      </c>
      <c r="F14" s="42">
        <v>18.98</v>
      </c>
    </row>
    <row r="15" spans="1:6" x14ac:dyDescent="0.2">
      <c r="A15" t="s">
        <v>48</v>
      </c>
      <c r="B15" t="s">
        <v>36</v>
      </c>
      <c r="C15">
        <v>2023</v>
      </c>
      <c r="D15" s="42">
        <v>114.05714285714279</v>
      </c>
      <c r="E15" s="42">
        <v>132.86857142857141</v>
      </c>
      <c r="F15" s="42">
        <v>18.811428571428561</v>
      </c>
    </row>
    <row r="16" spans="1:6" x14ac:dyDescent="0.2">
      <c r="A16" t="s">
        <v>91</v>
      </c>
      <c r="B16" t="s">
        <v>28</v>
      </c>
      <c r="C16">
        <v>2017</v>
      </c>
      <c r="D16" s="42">
        <v>88.857142857142861</v>
      </c>
      <c r="E16" s="42">
        <v>106.7885714285714</v>
      </c>
      <c r="F16" s="42">
        <v>17.931428571428569</v>
      </c>
    </row>
    <row r="17" spans="1:6" x14ac:dyDescent="0.2">
      <c r="A17" t="s">
        <v>44</v>
      </c>
      <c r="B17" t="s">
        <v>45</v>
      </c>
      <c r="C17">
        <v>2023</v>
      </c>
      <c r="D17" s="42">
        <v>115.16285714285711</v>
      </c>
      <c r="E17" s="42">
        <v>133.04</v>
      </c>
      <c r="F17" s="42">
        <v>17.877142857142889</v>
      </c>
    </row>
    <row r="18" spans="1:6" x14ac:dyDescent="0.2">
      <c r="A18" t="s">
        <v>86</v>
      </c>
      <c r="B18" t="s">
        <v>32</v>
      </c>
      <c r="C18">
        <v>2015</v>
      </c>
      <c r="D18" s="42">
        <v>93.451428571428565</v>
      </c>
      <c r="E18" s="42">
        <v>110.9542857142857</v>
      </c>
      <c r="F18" s="42">
        <v>17.502857142857149</v>
      </c>
    </row>
    <row r="19" spans="1:6" x14ac:dyDescent="0.2">
      <c r="A19" t="s">
        <v>56</v>
      </c>
      <c r="B19" t="s">
        <v>29</v>
      </c>
      <c r="C19">
        <v>2017</v>
      </c>
      <c r="D19" s="42">
        <v>90.017142857142858</v>
      </c>
      <c r="E19" s="42">
        <v>106.81142857142861</v>
      </c>
      <c r="F19" s="42">
        <v>16.79428571428571</v>
      </c>
    </row>
    <row r="20" spans="1:6" x14ac:dyDescent="0.2">
      <c r="A20" t="s">
        <v>23</v>
      </c>
      <c r="B20" t="s">
        <v>25</v>
      </c>
      <c r="C20">
        <v>2014</v>
      </c>
      <c r="D20" s="42">
        <v>91.534285714285716</v>
      </c>
      <c r="E20" s="42">
        <v>108.1371428571429</v>
      </c>
      <c r="F20" s="42">
        <v>16.60285714285715</v>
      </c>
    </row>
    <row r="21" spans="1:6" x14ac:dyDescent="0.2">
      <c r="A21" t="s">
        <v>35</v>
      </c>
      <c r="B21" t="s">
        <v>49</v>
      </c>
      <c r="C21">
        <v>2012</v>
      </c>
      <c r="D21" s="42">
        <v>101.09142857142859</v>
      </c>
      <c r="E21" s="42">
        <v>117.58</v>
      </c>
      <c r="F21" s="42">
        <v>16.488571428571419</v>
      </c>
    </row>
    <row r="22" spans="1:6" x14ac:dyDescent="0.2">
      <c r="A22" t="s">
        <v>14</v>
      </c>
      <c r="B22" t="s">
        <v>16</v>
      </c>
      <c r="C22">
        <v>2023</v>
      </c>
      <c r="D22" s="42">
        <v>112.8971428571429</v>
      </c>
      <c r="E22" s="42">
        <v>128.47999999999999</v>
      </c>
      <c r="F22" s="42">
        <v>15.582857142857121</v>
      </c>
    </row>
    <row r="23" spans="1:6" x14ac:dyDescent="0.2">
      <c r="A23" t="s">
        <v>89</v>
      </c>
      <c r="B23" t="s">
        <v>439</v>
      </c>
      <c r="C23">
        <v>2012</v>
      </c>
      <c r="D23" s="42">
        <v>94.422857142857154</v>
      </c>
      <c r="E23" s="42">
        <v>109.28571428571431</v>
      </c>
      <c r="F23" s="42">
        <v>14.862857142857139</v>
      </c>
    </row>
    <row r="24" spans="1:6" x14ac:dyDescent="0.2">
      <c r="A24" t="s">
        <v>39</v>
      </c>
      <c r="B24" t="s">
        <v>32</v>
      </c>
      <c r="C24">
        <v>2022</v>
      </c>
      <c r="D24" s="42">
        <v>107.23142857142859</v>
      </c>
      <c r="E24" s="42">
        <v>121.9371428571428</v>
      </c>
      <c r="F24" s="42">
        <v>14.70571428571429</v>
      </c>
    </row>
    <row r="25" spans="1:6" x14ac:dyDescent="0.2">
      <c r="A25" t="s">
        <v>19</v>
      </c>
      <c r="B25" t="s">
        <v>21</v>
      </c>
      <c r="C25">
        <v>2019</v>
      </c>
      <c r="D25" s="42">
        <v>95.159999999999982</v>
      </c>
      <c r="E25" s="42">
        <v>109.6114285714286</v>
      </c>
      <c r="F25" s="42">
        <v>14.451428571428609</v>
      </c>
    </row>
    <row r="26" spans="1:6" x14ac:dyDescent="0.2">
      <c r="A26" t="s">
        <v>63</v>
      </c>
      <c r="B26" t="s">
        <v>29</v>
      </c>
      <c r="C26">
        <v>2015</v>
      </c>
      <c r="D26" s="42">
        <v>87.791428571428568</v>
      </c>
      <c r="E26" s="42">
        <v>101.28571428571431</v>
      </c>
      <c r="F26" s="42">
        <v>13.49428571428572</v>
      </c>
    </row>
    <row r="27" spans="1:6" x14ac:dyDescent="0.2">
      <c r="A27" t="s">
        <v>110</v>
      </c>
      <c r="B27" t="s">
        <v>20</v>
      </c>
      <c r="C27">
        <v>2013</v>
      </c>
      <c r="D27" s="42">
        <v>101.92</v>
      </c>
      <c r="E27" s="42">
        <v>114.6514285714286</v>
      </c>
      <c r="F27" s="42">
        <v>12.73142857142858</v>
      </c>
    </row>
    <row r="28" spans="1:6" x14ac:dyDescent="0.2">
      <c r="A28" t="s">
        <v>31</v>
      </c>
      <c r="B28" t="s">
        <v>33</v>
      </c>
      <c r="C28">
        <v>2019</v>
      </c>
      <c r="D28" s="42">
        <v>93.888571428571439</v>
      </c>
      <c r="E28" s="42">
        <v>105.2571428571429</v>
      </c>
      <c r="F28" s="42">
        <v>11.368571428571411</v>
      </c>
    </row>
    <row r="29" spans="1:6" x14ac:dyDescent="0.2">
      <c r="A29" t="s">
        <v>104</v>
      </c>
      <c r="B29" t="s">
        <v>16</v>
      </c>
      <c r="C29">
        <v>2017</v>
      </c>
      <c r="D29" s="42">
        <v>96.742857142857147</v>
      </c>
      <c r="E29" s="42">
        <v>108.0885714285714</v>
      </c>
      <c r="F29" s="42">
        <v>11.345714285714291</v>
      </c>
    </row>
    <row r="30" spans="1:6" x14ac:dyDescent="0.2">
      <c r="A30" t="s">
        <v>18</v>
      </c>
      <c r="B30" t="s">
        <v>20</v>
      </c>
      <c r="C30">
        <v>2023</v>
      </c>
      <c r="D30" s="42">
        <v>103.21428571428569</v>
      </c>
      <c r="E30" s="42">
        <v>114.38</v>
      </c>
      <c r="F30" s="42">
        <v>11.1657142857143</v>
      </c>
    </row>
    <row r="31" spans="1:6" x14ac:dyDescent="0.2">
      <c r="A31" t="s">
        <v>38</v>
      </c>
      <c r="B31" t="s">
        <v>36</v>
      </c>
      <c r="C31">
        <v>2022</v>
      </c>
      <c r="D31" s="42">
        <v>115.1257142857143</v>
      </c>
      <c r="E31" s="42">
        <v>126.0628571428572</v>
      </c>
      <c r="F31" s="42">
        <v>10.93714285714287</v>
      </c>
    </row>
    <row r="32" spans="1:6" x14ac:dyDescent="0.2">
      <c r="A32" t="s">
        <v>59</v>
      </c>
      <c r="B32" t="s">
        <v>32</v>
      </c>
      <c r="C32">
        <v>2016</v>
      </c>
      <c r="D32" s="42">
        <v>88.154285714285706</v>
      </c>
      <c r="E32" s="42">
        <v>99.059999999999988</v>
      </c>
      <c r="F32" s="42">
        <v>10.90571428571428</v>
      </c>
    </row>
    <row r="33" spans="1:6" x14ac:dyDescent="0.2">
      <c r="A33" t="s">
        <v>57</v>
      </c>
      <c r="B33" t="s">
        <v>17</v>
      </c>
      <c r="C33">
        <v>2018</v>
      </c>
      <c r="D33" s="42">
        <v>103.39142857142861</v>
      </c>
      <c r="E33" s="42">
        <v>113.5628571428572</v>
      </c>
      <c r="F33" s="42">
        <v>10.17142857142858</v>
      </c>
    </row>
    <row r="34" spans="1:6" x14ac:dyDescent="0.2">
      <c r="A34" t="s">
        <v>438</v>
      </c>
      <c r="B34" t="s">
        <v>36</v>
      </c>
      <c r="C34">
        <v>2014</v>
      </c>
      <c r="D34" s="42">
        <v>86.491428571428557</v>
      </c>
      <c r="E34" s="42">
        <v>96.208571428571432</v>
      </c>
      <c r="F34" s="42">
        <v>9.7171428571428748</v>
      </c>
    </row>
    <row r="35" spans="1:6" x14ac:dyDescent="0.2">
      <c r="A35" t="s">
        <v>57</v>
      </c>
      <c r="B35" t="s">
        <v>17</v>
      </c>
      <c r="C35">
        <v>2017</v>
      </c>
      <c r="D35" s="42">
        <v>95.468571428571423</v>
      </c>
      <c r="E35" s="42">
        <v>105.1257142857143</v>
      </c>
      <c r="F35" s="42">
        <v>9.6571428571428442</v>
      </c>
    </row>
    <row r="36" spans="1:6" x14ac:dyDescent="0.2">
      <c r="A36" t="s">
        <v>26</v>
      </c>
      <c r="B36" t="s">
        <v>28</v>
      </c>
      <c r="C36">
        <v>2021</v>
      </c>
      <c r="D36" s="42">
        <v>104.4657142857143</v>
      </c>
      <c r="E36" s="42">
        <v>113.9628571428571</v>
      </c>
      <c r="F36" s="42">
        <v>9.4971428571428333</v>
      </c>
    </row>
    <row r="37" spans="1:6" x14ac:dyDescent="0.2">
      <c r="A37" t="s">
        <v>75</v>
      </c>
      <c r="B37" t="s">
        <v>36</v>
      </c>
      <c r="C37">
        <v>2024</v>
      </c>
      <c r="D37" s="42">
        <v>101.2371428571429</v>
      </c>
      <c r="E37" s="42">
        <v>110.31142857142861</v>
      </c>
      <c r="F37" s="42">
        <v>9.0742857142857218</v>
      </c>
    </row>
    <row r="38" spans="1:6" x14ac:dyDescent="0.2">
      <c r="A38" t="s">
        <v>31</v>
      </c>
      <c r="B38" t="s">
        <v>33</v>
      </c>
      <c r="C38">
        <v>2018</v>
      </c>
      <c r="D38" s="42">
        <v>93.997142857142848</v>
      </c>
      <c r="E38" s="42">
        <v>102.76857142857141</v>
      </c>
      <c r="F38" s="42">
        <v>8.7714285714286007</v>
      </c>
    </row>
    <row r="39" spans="1:6" x14ac:dyDescent="0.2">
      <c r="A39" t="s">
        <v>74</v>
      </c>
      <c r="B39" t="s">
        <v>29</v>
      </c>
      <c r="C39">
        <v>2024</v>
      </c>
      <c r="D39" s="42">
        <v>102.56</v>
      </c>
      <c r="E39" s="42">
        <v>111.32</v>
      </c>
      <c r="F39" s="42">
        <v>8.7600000000000335</v>
      </c>
    </row>
    <row r="40" spans="1:6" x14ac:dyDescent="0.2">
      <c r="A40" t="s">
        <v>440</v>
      </c>
      <c r="B40" t="s">
        <v>36</v>
      </c>
      <c r="C40">
        <v>2012</v>
      </c>
      <c r="D40" s="42">
        <v>97.494285714285724</v>
      </c>
      <c r="E40" s="42">
        <v>106.21428571428569</v>
      </c>
      <c r="F40" s="42">
        <v>8.7199999999999704</v>
      </c>
    </row>
    <row r="41" spans="1:6" x14ac:dyDescent="0.2">
      <c r="A41" t="s">
        <v>525</v>
      </c>
      <c r="B41" t="s">
        <v>36</v>
      </c>
      <c r="C41">
        <v>2025</v>
      </c>
      <c r="D41" s="42">
        <v>115.0371428571429</v>
      </c>
      <c r="E41" s="42">
        <v>123.67142857142861</v>
      </c>
      <c r="F41" s="42">
        <v>8.6342857142857099</v>
      </c>
    </row>
    <row r="42" spans="1:6" x14ac:dyDescent="0.2">
      <c r="A42" t="s">
        <v>103</v>
      </c>
      <c r="B42" t="s">
        <v>16</v>
      </c>
      <c r="C42">
        <v>2016</v>
      </c>
      <c r="D42" s="42">
        <v>97.251428571428576</v>
      </c>
      <c r="E42" s="42">
        <v>105.8257142857143</v>
      </c>
      <c r="F42" s="42">
        <v>8.5742857142857218</v>
      </c>
    </row>
    <row r="43" spans="1:6" x14ac:dyDescent="0.2">
      <c r="A43" t="s">
        <v>19</v>
      </c>
      <c r="B43" t="s">
        <v>21</v>
      </c>
      <c r="C43">
        <v>2016</v>
      </c>
      <c r="D43" s="42">
        <v>96.34</v>
      </c>
      <c r="E43" s="42">
        <v>104.45142857142859</v>
      </c>
      <c r="F43" s="42">
        <v>8.1114285714285757</v>
      </c>
    </row>
    <row r="44" spans="1:6" x14ac:dyDescent="0.2">
      <c r="A44" t="s">
        <v>109</v>
      </c>
      <c r="B44" t="s">
        <v>16</v>
      </c>
      <c r="C44">
        <v>2013</v>
      </c>
      <c r="D44" s="42">
        <v>96.72571428571429</v>
      </c>
      <c r="E44" s="42">
        <v>104.2171428571428</v>
      </c>
      <c r="F44" s="42">
        <v>7.4914285714285427</v>
      </c>
    </row>
    <row r="45" spans="1:6" x14ac:dyDescent="0.2">
      <c r="A45" t="s">
        <v>120</v>
      </c>
      <c r="B45" t="s">
        <v>21</v>
      </c>
      <c r="C45">
        <v>2012</v>
      </c>
      <c r="D45" s="42">
        <v>89.557142857142864</v>
      </c>
      <c r="E45" s="42">
        <v>96.542857142857159</v>
      </c>
      <c r="F45" s="42">
        <v>6.9857142857142946</v>
      </c>
    </row>
    <row r="46" spans="1:6" x14ac:dyDescent="0.2">
      <c r="A46" t="s">
        <v>110</v>
      </c>
      <c r="B46" t="s">
        <v>20</v>
      </c>
      <c r="C46">
        <v>2014</v>
      </c>
      <c r="D46" s="42">
        <v>89.522857142857148</v>
      </c>
      <c r="E46" s="42">
        <v>96.217142857142861</v>
      </c>
      <c r="F46" s="42">
        <v>6.6942857142857122</v>
      </c>
    </row>
    <row r="47" spans="1:6" x14ac:dyDescent="0.2">
      <c r="A47" t="s">
        <v>43</v>
      </c>
      <c r="B47" t="s">
        <v>21</v>
      </c>
      <c r="C47">
        <v>2022</v>
      </c>
      <c r="D47" s="42">
        <v>106.26</v>
      </c>
      <c r="E47" s="42">
        <v>112.7114285714286</v>
      </c>
      <c r="F47" s="42">
        <v>6.4514285714285791</v>
      </c>
    </row>
    <row r="48" spans="1:6" x14ac:dyDescent="0.2">
      <c r="A48" t="s">
        <v>31</v>
      </c>
      <c r="B48" t="s">
        <v>33</v>
      </c>
      <c r="C48">
        <v>2014</v>
      </c>
      <c r="D48" s="42">
        <v>85.808571428571426</v>
      </c>
      <c r="E48" s="42">
        <v>91.76</v>
      </c>
      <c r="F48" s="42">
        <v>5.9514285714285791</v>
      </c>
    </row>
    <row r="49" spans="1:6" x14ac:dyDescent="0.2">
      <c r="A49" t="s">
        <v>35</v>
      </c>
      <c r="B49" t="s">
        <v>49</v>
      </c>
      <c r="C49">
        <v>2025</v>
      </c>
      <c r="D49" s="42">
        <v>118.9742857142857</v>
      </c>
      <c r="E49" s="42">
        <v>124.8971428571429</v>
      </c>
      <c r="F49" s="42">
        <v>5.9228571428571399</v>
      </c>
    </row>
    <row r="50" spans="1:6" x14ac:dyDescent="0.2">
      <c r="A50" t="s">
        <v>42</v>
      </c>
      <c r="B50" t="s">
        <v>17</v>
      </c>
      <c r="C50">
        <v>2024</v>
      </c>
      <c r="D50" s="42">
        <v>107.9657142857143</v>
      </c>
      <c r="E50" s="42">
        <v>113.54</v>
      </c>
      <c r="F50" s="42">
        <v>5.5742857142857218</v>
      </c>
    </row>
    <row r="51" spans="1:6" x14ac:dyDescent="0.2">
      <c r="A51" t="s">
        <v>18</v>
      </c>
      <c r="B51" t="s">
        <v>20</v>
      </c>
      <c r="C51">
        <v>2025</v>
      </c>
      <c r="D51" s="42">
        <v>120.4</v>
      </c>
      <c r="E51" s="42">
        <v>125.5085714285714</v>
      </c>
      <c r="F51" s="42">
        <v>5.1085714285714232</v>
      </c>
    </row>
    <row r="52" spans="1:6" x14ac:dyDescent="0.2">
      <c r="A52" t="s">
        <v>77</v>
      </c>
      <c r="B52" t="s">
        <v>45</v>
      </c>
      <c r="C52">
        <v>2024</v>
      </c>
      <c r="D52" s="42">
        <v>107.76</v>
      </c>
      <c r="E52" s="42">
        <v>112.76857142857141</v>
      </c>
      <c r="F52" s="42">
        <v>5.0085714285714289</v>
      </c>
    </row>
    <row r="53" spans="1:6" x14ac:dyDescent="0.2">
      <c r="A53" t="s">
        <v>107</v>
      </c>
      <c r="B53" t="s">
        <v>36</v>
      </c>
      <c r="C53">
        <v>2015</v>
      </c>
      <c r="D53" s="42">
        <v>86.534285714285716</v>
      </c>
      <c r="E53" s="42">
        <v>91.511428571428567</v>
      </c>
      <c r="F53" s="42">
        <v>4.9771428571428524</v>
      </c>
    </row>
    <row r="54" spans="1:6" x14ac:dyDescent="0.2">
      <c r="A54" t="s">
        <v>67</v>
      </c>
      <c r="B54" t="s">
        <v>62</v>
      </c>
      <c r="C54">
        <v>2013</v>
      </c>
      <c r="D54" s="42">
        <v>110.1371428571429</v>
      </c>
      <c r="E54" s="42">
        <v>114.91714285714291</v>
      </c>
      <c r="F54" s="42">
        <v>4.7800000000000011</v>
      </c>
    </row>
    <row r="55" spans="1:6" x14ac:dyDescent="0.2">
      <c r="A55" t="s">
        <v>50</v>
      </c>
      <c r="B55" t="s">
        <v>29</v>
      </c>
      <c r="C55">
        <v>2023</v>
      </c>
      <c r="D55" s="42">
        <v>102.78571428571431</v>
      </c>
      <c r="E55" s="42">
        <v>107.5257142857143</v>
      </c>
      <c r="F55" s="42">
        <v>4.7399999999999807</v>
      </c>
    </row>
    <row r="56" spans="1:6" x14ac:dyDescent="0.2">
      <c r="A56" t="s">
        <v>46</v>
      </c>
      <c r="B56" t="s">
        <v>47</v>
      </c>
      <c r="C56">
        <v>2025</v>
      </c>
      <c r="D56" s="42">
        <v>110.66</v>
      </c>
      <c r="E56" s="42">
        <v>115.3742857142857</v>
      </c>
      <c r="F56" s="42">
        <v>4.7142857142857366</v>
      </c>
    </row>
    <row r="57" spans="1:6" x14ac:dyDescent="0.2">
      <c r="A57" t="s">
        <v>72</v>
      </c>
      <c r="B57" t="s">
        <v>28</v>
      </c>
      <c r="C57">
        <v>2012</v>
      </c>
      <c r="D57" s="42">
        <v>93.085714285714275</v>
      </c>
      <c r="E57" s="42">
        <v>97.505714285714291</v>
      </c>
      <c r="F57" s="42">
        <v>4.4200000000000159</v>
      </c>
    </row>
    <row r="58" spans="1:6" x14ac:dyDescent="0.2">
      <c r="A58" t="s">
        <v>31</v>
      </c>
      <c r="B58" t="s">
        <v>33</v>
      </c>
      <c r="C58">
        <v>2021</v>
      </c>
      <c r="D58" s="42">
        <v>90.517142857142858</v>
      </c>
      <c r="E58" s="42">
        <v>94.062857142857141</v>
      </c>
      <c r="F58" s="42">
        <v>3.5457142857142832</v>
      </c>
    </row>
    <row r="59" spans="1:6" x14ac:dyDescent="0.2">
      <c r="A59" t="s">
        <v>59</v>
      </c>
      <c r="B59" t="s">
        <v>32</v>
      </c>
      <c r="C59">
        <v>2017</v>
      </c>
      <c r="D59" s="42">
        <v>94.045714285714283</v>
      </c>
      <c r="E59" s="42">
        <v>97.268571428571434</v>
      </c>
      <c r="F59" s="42">
        <v>3.2228571428571509</v>
      </c>
    </row>
    <row r="60" spans="1:6" x14ac:dyDescent="0.2">
      <c r="A60" t="s">
        <v>23</v>
      </c>
      <c r="B60" t="s">
        <v>25</v>
      </c>
      <c r="C60">
        <v>2020</v>
      </c>
      <c r="D60" s="42">
        <v>112.1571428571429</v>
      </c>
      <c r="E60" s="42">
        <v>114.41714285714281</v>
      </c>
      <c r="F60" s="42">
        <v>2.2599999999999909</v>
      </c>
    </row>
    <row r="61" spans="1:6" x14ac:dyDescent="0.2">
      <c r="A61" t="s">
        <v>118</v>
      </c>
      <c r="B61" t="s">
        <v>45</v>
      </c>
      <c r="C61">
        <v>2014</v>
      </c>
      <c r="D61" s="42">
        <v>97.240000000000009</v>
      </c>
      <c r="E61" s="42">
        <v>99.360000000000014</v>
      </c>
      <c r="F61" s="42">
        <v>2.120000000000005</v>
      </c>
    </row>
    <row r="62" spans="1:6" x14ac:dyDescent="0.2">
      <c r="A62" t="s">
        <v>95</v>
      </c>
      <c r="B62" t="s">
        <v>37</v>
      </c>
      <c r="C62">
        <v>2019</v>
      </c>
      <c r="D62" s="42">
        <v>99.554285714285712</v>
      </c>
      <c r="E62" s="42">
        <v>101.4714285714286</v>
      </c>
      <c r="F62" s="42">
        <v>1.917142857142849</v>
      </c>
    </row>
    <row r="63" spans="1:6" x14ac:dyDescent="0.2">
      <c r="A63" t="s">
        <v>66</v>
      </c>
      <c r="B63" t="s">
        <v>62</v>
      </c>
      <c r="C63">
        <v>2014</v>
      </c>
      <c r="D63" s="42">
        <v>99.214285714285694</v>
      </c>
      <c r="E63" s="42">
        <v>100.9114285714286</v>
      </c>
      <c r="F63" s="42">
        <v>1.697142857142879</v>
      </c>
    </row>
    <row r="64" spans="1:6" x14ac:dyDescent="0.2">
      <c r="A64" t="s">
        <v>26</v>
      </c>
      <c r="B64" t="s">
        <v>28</v>
      </c>
      <c r="C64">
        <v>2019</v>
      </c>
      <c r="D64" s="42">
        <v>115.1685714285714</v>
      </c>
      <c r="E64" s="42">
        <v>116.64</v>
      </c>
      <c r="F64" s="42">
        <v>1.4714285714285751</v>
      </c>
    </row>
    <row r="65" spans="1:6" x14ac:dyDescent="0.2">
      <c r="A65" t="s">
        <v>65</v>
      </c>
      <c r="B65" t="s">
        <v>16</v>
      </c>
      <c r="C65">
        <v>2014</v>
      </c>
      <c r="D65" s="42">
        <v>104.3485714285714</v>
      </c>
      <c r="E65" s="42">
        <v>105.7885714285714</v>
      </c>
      <c r="F65" s="42">
        <v>1.4399999999999979</v>
      </c>
    </row>
    <row r="66" spans="1:6" x14ac:dyDescent="0.2">
      <c r="A66" t="s">
        <v>73</v>
      </c>
      <c r="B66" t="s">
        <v>21</v>
      </c>
      <c r="C66">
        <v>2024</v>
      </c>
      <c r="D66" s="42">
        <v>109.06</v>
      </c>
      <c r="E66" s="42">
        <v>110.3771428571428</v>
      </c>
      <c r="F66" s="42">
        <v>1.317142857142855</v>
      </c>
    </row>
    <row r="67" spans="1:6" x14ac:dyDescent="0.2">
      <c r="A67" t="s">
        <v>113</v>
      </c>
      <c r="B67" t="s">
        <v>45</v>
      </c>
      <c r="C67">
        <v>2013</v>
      </c>
      <c r="D67" s="42">
        <v>95.414285714285711</v>
      </c>
      <c r="E67" s="42">
        <v>96.679999999999993</v>
      </c>
      <c r="F67" s="42">
        <v>1.265714285714282</v>
      </c>
    </row>
    <row r="68" spans="1:6" x14ac:dyDescent="0.2">
      <c r="A68" t="s">
        <v>19</v>
      </c>
      <c r="B68" t="s">
        <v>21</v>
      </c>
      <c r="C68">
        <v>2017</v>
      </c>
      <c r="D68" s="42">
        <v>70.65428571428572</v>
      </c>
      <c r="E68" s="42">
        <v>71.782857142857139</v>
      </c>
      <c r="F68" s="42">
        <v>1.128571428571419</v>
      </c>
    </row>
    <row r="69" spans="1:6" x14ac:dyDescent="0.2">
      <c r="A69" t="s">
        <v>31</v>
      </c>
      <c r="B69" t="s">
        <v>33</v>
      </c>
      <c r="C69">
        <v>2017</v>
      </c>
      <c r="D69" s="42">
        <v>92.05714285714285</v>
      </c>
      <c r="E69" s="42">
        <v>93.117142857142852</v>
      </c>
      <c r="F69" s="42">
        <v>1.0600000000000021</v>
      </c>
    </row>
    <row r="70" spans="1:6" x14ac:dyDescent="0.2">
      <c r="A70" t="s">
        <v>46</v>
      </c>
      <c r="B70" t="s">
        <v>47</v>
      </c>
      <c r="C70">
        <v>2023</v>
      </c>
      <c r="D70" s="42">
        <v>111.9914285714285</v>
      </c>
      <c r="E70" s="42">
        <v>112.8628571428571</v>
      </c>
      <c r="F70" s="42">
        <v>0.87142857142859498</v>
      </c>
    </row>
    <row r="71" spans="1:6" x14ac:dyDescent="0.2">
      <c r="A71" t="s">
        <v>99</v>
      </c>
      <c r="B71" t="s">
        <v>17</v>
      </c>
      <c r="C71">
        <v>2012</v>
      </c>
      <c r="D71" s="42">
        <v>108.7914285714286</v>
      </c>
      <c r="E71" s="42">
        <v>109.44</v>
      </c>
      <c r="F71" s="42">
        <v>0.64857142857141525</v>
      </c>
    </row>
    <row r="72" spans="1:6" x14ac:dyDescent="0.2">
      <c r="A72" t="s">
        <v>632</v>
      </c>
      <c r="B72" t="s">
        <v>36</v>
      </c>
      <c r="C72">
        <v>2018</v>
      </c>
      <c r="D72" s="42">
        <v>111.14571428571431</v>
      </c>
      <c r="E72" s="42">
        <v>111.78</v>
      </c>
      <c r="F72" s="42">
        <v>0.63428571428572411</v>
      </c>
    </row>
    <row r="73" spans="1:6" x14ac:dyDescent="0.2">
      <c r="A73" t="s">
        <v>90</v>
      </c>
      <c r="B73" t="s">
        <v>29</v>
      </c>
      <c r="C73">
        <v>2016</v>
      </c>
      <c r="D73" s="42">
        <v>92.3</v>
      </c>
      <c r="E73" s="42">
        <v>92.151428571428568</v>
      </c>
      <c r="F73" s="42">
        <v>-0.14857142857142949</v>
      </c>
    </row>
    <row r="74" spans="1:6" x14ac:dyDescent="0.2">
      <c r="A74" t="s">
        <v>100</v>
      </c>
      <c r="B74" t="s">
        <v>32</v>
      </c>
      <c r="C74">
        <v>2018</v>
      </c>
      <c r="D74" s="42">
        <v>96.802857142857164</v>
      </c>
      <c r="E74" s="42">
        <v>96.565714285714293</v>
      </c>
      <c r="F74" s="42">
        <v>-0.23714285714287089</v>
      </c>
    </row>
    <row r="75" spans="1:6" x14ac:dyDescent="0.2">
      <c r="A75" t="s">
        <v>23</v>
      </c>
      <c r="B75" t="s">
        <v>25</v>
      </c>
      <c r="C75">
        <v>2013</v>
      </c>
      <c r="D75" s="42">
        <v>99.637142857142862</v>
      </c>
      <c r="E75" s="42">
        <v>99.325714285714298</v>
      </c>
      <c r="F75" s="42">
        <v>-0.31142857142856428</v>
      </c>
    </row>
    <row r="76" spans="1:6" x14ac:dyDescent="0.2">
      <c r="A76" t="s">
        <v>60</v>
      </c>
      <c r="B76" t="s">
        <v>45</v>
      </c>
      <c r="C76">
        <v>2017</v>
      </c>
      <c r="D76" s="42">
        <v>82.100000000000009</v>
      </c>
      <c r="E76" s="42">
        <v>81.782857142857139</v>
      </c>
      <c r="F76" s="42">
        <v>-0.31714285714286922</v>
      </c>
    </row>
    <row r="77" spans="1:6" x14ac:dyDescent="0.2">
      <c r="A77" t="s">
        <v>76</v>
      </c>
      <c r="B77" t="s">
        <v>32</v>
      </c>
      <c r="C77">
        <v>2024</v>
      </c>
      <c r="D77" s="42">
        <v>124.5542857142857</v>
      </c>
      <c r="E77" s="42">
        <v>124.2114285714286</v>
      </c>
      <c r="F77" s="42">
        <v>-0.34285714285714158</v>
      </c>
    </row>
    <row r="78" spans="1:6" x14ac:dyDescent="0.2">
      <c r="A78" t="s">
        <v>26</v>
      </c>
      <c r="B78" t="s">
        <v>28</v>
      </c>
      <c r="C78">
        <v>2020</v>
      </c>
      <c r="D78" s="42">
        <v>113.88285714285711</v>
      </c>
      <c r="E78" s="42">
        <v>113.18857142857139</v>
      </c>
      <c r="F78" s="42">
        <v>-0.69428571428571217</v>
      </c>
    </row>
    <row r="79" spans="1:6" x14ac:dyDescent="0.2">
      <c r="A79" t="s">
        <v>632</v>
      </c>
      <c r="B79" t="s">
        <v>36</v>
      </c>
      <c r="C79">
        <v>2017</v>
      </c>
      <c r="D79" s="42">
        <v>90.554285714285712</v>
      </c>
      <c r="E79" s="42">
        <v>89.69142857142856</v>
      </c>
      <c r="F79" s="42">
        <v>-0.86285714285715187</v>
      </c>
    </row>
    <row r="80" spans="1:6" x14ac:dyDescent="0.2">
      <c r="A80" t="s">
        <v>119</v>
      </c>
      <c r="B80" t="s">
        <v>29</v>
      </c>
      <c r="C80">
        <v>2014</v>
      </c>
      <c r="D80" s="42">
        <v>95.977142857142866</v>
      </c>
      <c r="E80" s="42">
        <v>95</v>
      </c>
      <c r="F80" s="42">
        <v>-0.97714285714286575</v>
      </c>
    </row>
    <row r="81" spans="1:6" x14ac:dyDescent="0.2">
      <c r="A81" t="s">
        <v>31</v>
      </c>
      <c r="B81" t="s">
        <v>33</v>
      </c>
      <c r="C81">
        <v>2015</v>
      </c>
      <c r="D81" s="42">
        <v>102.0028571428571</v>
      </c>
      <c r="E81" s="42">
        <v>100.92571428571431</v>
      </c>
      <c r="F81" s="42">
        <v>-1.0771428571428321</v>
      </c>
    </row>
    <row r="82" spans="1:6" x14ac:dyDescent="0.2">
      <c r="A82" t="s">
        <v>42</v>
      </c>
      <c r="B82" t="s">
        <v>17</v>
      </c>
      <c r="C82">
        <v>2023</v>
      </c>
      <c r="D82" s="42">
        <v>109.53142857142861</v>
      </c>
      <c r="E82" s="42">
        <v>108.08285714285719</v>
      </c>
      <c r="F82" s="42">
        <v>-1.4485714285714411</v>
      </c>
    </row>
    <row r="83" spans="1:6" x14ac:dyDescent="0.2">
      <c r="A83" t="s">
        <v>57</v>
      </c>
      <c r="B83" t="s">
        <v>17</v>
      </c>
      <c r="C83">
        <v>2016</v>
      </c>
      <c r="D83" s="42">
        <v>91.122857142857143</v>
      </c>
      <c r="E83" s="42">
        <v>89.205714285714294</v>
      </c>
      <c r="F83" s="42">
        <v>-1.917142857142849</v>
      </c>
    </row>
    <row r="84" spans="1:6" x14ac:dyDescent="0.2">
      <c r="A84" t="s">
        <v>44</v>
      </c>
      <c r="B84" t="s">
        <v>45</v>
      </c>
      <c r="C84">
        <v>2022</v>
      </c>
      <c r="D84" s="42">
        <v>108.0371428571429</v>
      </c>
      <c r="E84" s="42">
        <v>105.88285714285711</v>
      </c>
      <c r="F84" s="42">
        <v>-2.1542857142857201</v>
      </c>
    </row>
    <row r="85" spans="1:6" x14ac:dyDescent="0.2">
      <c r="A85" t="s">
        <v>117</v>
      </c>
      <c r="B85" t="s">
        <v>28</v>
      </c>
      <c r="C85">
        <v>2016</v>
      </c>
      <c r="D85" s="42">
        <v>94.394285714285715</v>
      </c>
      <c r="E85" s="42">
        <v>92.08</v>
      </c>
      <c r="F85" s="42">
        <v>-2.3142857142857172</v>
      </c>
    </row>
    <row r="86" spans="1:6" x14ac:dyDescent="0.2">
      <c r="A86" t="s">
        <v>42</v>
      </c>
      <c r="B86" t="s">
        <v>17</v>
      </c>
      <c r="C86">
        <v>2025</v>
      </c>
      <c r="D86" s="42">
        <v>110.16285714285711</v>
      </c>
      <c r="E86" s="42">
        <v>107.7457142857143</v>
      </c>
      <c r="F86" s="42">
        <v>-2.4171428571428488</v>
      </c>
    </row>
    <row r="87" spans="1:6" x14ac:dyDescent="0.2">
      <c r="A87" t="s">
        <v>60</v>
      </c>
      <c r="B87" t="s">
        <v>45</v>
      </c>
      <c r="C87">
        <v>2018</v>
      </c>
      <c r="D87" s="42">
        <v>83.602857142857147</v>
      </c>
      <c r="E87" s="42">
        <v>81.16857142857144</v>
      </c>
      <c r="F87" s="42">
        <v>-2.4342857142857071</v>
      </c>
    </row>
    <row r="88" spans="1:6" x14ac:dyDescent="0.2">
      <c r="A88" t="s">
        <v>14</v>
      </c>
      <c r="B88" t="s">
        <v>16</v>
      </c>
      <c r="C88">
        <v>2018</v>
      </c>
      <c r="D88" s="42">
        <v>109.4114285714286</v>
      </c>
      <c r="E88" s="42">
        <v>106.8685714285714</v>
      </c>
      <c r="F88" s="42">
        <v>-2.5428571428571729</v>
      </c>
    </row>
    <row r="89" spans="1:6" x14ac:dyDescent="0.2">
      <c r="A89" t="s">
        <v>14</v>
      </c>
      <c r="B89" t="s">
        <v>16</v>
      </c>
      <c r="C89">
        <v>2025</v>
      </c>
      <c r="D89" s="42">
        <v>110.66285714285711</v>
      </c>
      <c r="E89" s="42">
        <v>108.0628571428571</v>
      </c>
      <c r="F89" s="42">
        <v>-2.5999999999999801</v>
      </c>
    </row>
    <row r="90" spans="1:6" x14ac:dyDescent="0.2">
      <c r="A90" t="s">
        <v>18</v>
      </c>
      <c r="B90" t="s">
        <v>20</v>
      </c>
      <c r="C90">
        <v>2024</v>
      </c>
      <c r="D90" s="42">
        <v>121.4485714285714</v>
      </c>
      <c r="E90" s="42">
        <v>118.6142857142857</v>
      </c>
      <c r="F90" s="42">
        <v>-2.8342857142856839</v>
      </c>
    </row>
    <row r="91" spans="1:6" x14ac:dyDescent="0.2">
      <c r="A91" t="s">
        <v>22</v>
      </c>
      <c r="B91" t="s">
        <v>24</v>
      </c>
      <c r="C91">
        <v>2021</v>
      </c>
      <c r="D91" s="42">
        <v>122.94</v>
      </c>
      <c r="E91" s="42">
        <v>119.85428571428569</v>
      </c>
      <c r="F91" s="42">
        <v>-3.0857142857143169</v>
      </c>
    </row>
    <row r="92" spans="1:6" x14ac:dyDescent="0.2">
      <c r="A92" t="s">
        <v>14</v>
      </c>
      <c r="B92" t="s">
        <v>16</v>
      </c>
      <c r="C92">
        <v>2015</v>
      </c>
      <c r="D92" s="42">
        <v>100.8885714285714</v>
      </c>
      <c r="E92" s="42">
        <v>97.291428571428582</v>
      </c>
      <c r="F92" s="42">
        <v>-3.5971428571428561</v>
      </c>
    </row>
    <row r="93" spans="1:6" x14ac:dyDescent="0.2">
      <c r="A93" t="s">
        <v>54</v>
      </c>
      <c r="B93" t="s">
        <v>32</v>
      </c>
      <c r="C93">
        <v>2020</v>
      </c>
      <c r="D93" s="42">
        <v>103.5371428571428</v>
      </c>
      <c r="E93" s="42">
        <v>99.714285714285737</v>
      </c>
      <c r="F93" s="42">
        <v>-3.822857142857103</v>
      </c>
    </row>
    <row r="94" spans="1:6" x14ac:dyDescent="0.2">
      <c r="A94" t="s">
        <v>88</v>
      </c>
      <c r="B94" t="s">
        <v>32</v>
      </c>
      <c r="C94">
        <v>2019</v>
      </c>
      <c r="D94" s="42">
        <v>92.66</v>
      </c>
      <c r="E94" s="42">
        <v>88.708571428571432</v>
      </c>
      <c r="F94" s="42">
        <v>-3.9514285714285649</v>
      </c>
    </row>
    <row r="95" spans="1:6" x14ac:dyDescent="0.2">
      <c r="A95" t="s">
        <v>57</v>
      </c>
      <c r="B95" t="s">
        <v>17</v>
      </c>
      <c r="C95">
        <v>2015</v>
      </c>
      <c r="D95" s="42">
        <v>97.611428571428561</v>
      </c>
      <c r="E95" s="42">
        <v>93.565714285714293</v>
      </c>
      <c r="F95" s="42">
        <v>-4.0457142857142676</v>
      </c>
    </row>
    <row r="96" spans="1:6" x14ac:dyDescent="0.2">
      <c r="A96" t="s">
        <v>57</v>
      </c>
      <c r="B96" t="s">
        <v>17</v>
      </c>
      <c r="C96">
        <v>2019</v>
      </c>
      <c r="D96" s="42">
        <v>103.0628571428571</v>
      </c>
      <c r="E96" s="42">
        <v>99.008571428571443</v>
      </c>
      <c r="F96" s="42">
        <v>-4.0542857142856974</v>
      </c>
    </row>
    <row r="97" spans="1:6" x14ac:dyDescent="0.2">
      <c r="A97" t="s">
        <v>35</v>
      </c>
      <c r="B97" t="s">
        <v>49</v>
      </c>
      <c r="C97">
        <v>2013</v>
      </c>
      <c r="D97" s="42">
        <v>106.5514285714286</v>
      </c>
      <c r="E97" s="42">
        <v>102.38285714285711</v>
      </c>
      <c r="F97" s="42">
        <v>-4.1685714285714397</v>
      </c>
    </row>
    <row r="98" spans="1:6" x14ac:dyDescent="0.2">
      <c r="A98" t="s">
        <v>31</v>
      </c>
      <c r="B98" t="s">
        <v>41</v>
      </c>
      <c r="C98">
        <v>2022</v>
      </c>
      <c r="D98" s="42">
        <v>105.38285714285711</v>
      </c>
      <c r="E98" s="42">
        <v>100.4228571428572</v>
      </c>
      <c r="F98" s="42">
        <v>-4.9599999999999804</v>
      </c>
    </row>
    <row r="99" spans="1:6" x14ac:dyDescent="0.2">
      <c r="A99" t="s">
        <v>23</v>
      </c>
      <c r="B99" t="s">
        <v>25</v>
      </c>
      <c r="C99">
        <v>2012</v>
      </c>
      <c r="D99" s="42">
        <v>109.1314285714286</v>
      </c>
      <c r="E99" s="42">
        <v>103.7714285714286</v>
      </c>
      <c r="F99" s="42">
        <v>-5.3600000000000136</v>
      </c>
    </row>
    <row r="100" spans="1:6" x14ac:dyDescent="0.2">
      <c r="A100" t="s">
        <v>498</v>
      </c>
      <c r="B100" t="s">
        <v>36</v>
      </c>
      <c r="C100">
        <v>2020</v>
      </c>
      <c r="D100" s="42">
        <v>117.9628571428571</v>
      </c>
      <c r="E100" s="42">
        <v>112.51428571428571</v>
      </c>
      <c r="F100" s="42">
        <v>-5.4485714285714408</v>
      </c>
    </row>
    <row r="101" spans="1:6" x14ac:dyDescent="0.2">
      <c r="A101" t="s">
        <v>19</v>
      </c>
      <c r="B101" t="s">
        <v>21</v>
      </c>
      <c r="C101">
        <v>2020</v>
      </c>
      <c r="D101" s="42">
        <v>101.4228571428572</v>
      </c>
      <c r="E101" s="42">
        <v>95.602857142857147</v>
      </c>
      <c r="F101" s="42">
        <v>-5.8200000000000074</v>
      </c>
    </row>
    <row r="102" spans="1:6" x14ac:dyDescent="0.2">
      <c r="A102" t="s">
        <v>31</v>
      </c>
      <c r="B102" t="s">
        <v>33</v>
      </c>
      <c r="C102">
        <v>2020</v>
      </c>
      <c r="D102" s="42">
        <v>98.257142857142867</v>
      </c>
      <c r="E102" s="42">
        <v>92.322857142857146</v>
      </c>
      <c r="F102" s="42">
        <v>-5.9342857142857213</v>
      </c>
    </row>
    <row r="103" spans="1:6" x14ac:dyDescent="0.2">
      <c r="A103" t="s">
        <v>52</v>
      </c>
      <c r="B103" t="s">
        <v>32</v>
      </c>
      <c r="C103">
        <v>2023</v>
      </c>
      <c r="D103" s="42">
        <v>105.2628571428571</v>
      </c>
      <c r="E103" s="42">
        <v>99.274285714285725</v>
      </c>
      <c r="F103" s="42">
        <v>-5.9885714285714187</v>
      </c>
    </row>
    <row r="104" spans="1:6" x14ac:dyDescent="0.2">
      <c r="A104" t="s">
        <v>56</v>
      </c>
      <c r="B104" t="s">
        <v>29</v>
      </c>
      <c r="C104">
        <v>2019</v>
      </c>
      <c r="D104" s="42">
        <v>100.9114285714286</v>
      </c>
      <c r="E104" s="42">
        <v>94.90285714285713</v>
      </c>
      <c r="F104" s="42">
        <v>-6.0085714285714573</v>
      </c>
    </row>
    <row r="105" spans="1:6" x14ac:dyDescent="0.2">
      <c r="A105" t="s">
        <v>116</v>
      </c>
      <c r="B105" t="s">
        <v>25</v>
      </c>
      <c r="C105">
        <v>2019</v>
      </c>
      <c r="D105" s="42">
        <v>99.174285714285702</v>
      </c>
      <c r="E105" s="42">
        <v>92.808571428571426</v>
      </c>
      <c r="F105" s="42">
        <v>-6.3657142857142759</v>
      </c>
    </row>
    <row r="106" spans="1:6" x14ac:dyDescent="0.2">
      <c r="A106" t="s">
        <v>26</v>
      </c>
      <c r="B106" t="s">
        <v>28</v>
      </c>
      <c r="C106">
        <v>2024</v>
      </c>
      <c r="D106" s="42">
        <v>127.26</v>
      </c>
      <c r="E106" s="42">
        <v>120.79428571428571</v>
      </c>
      <c r="F106" s="42">
        <v>-6.4657142857142844</v>
      </c>
    </row>
    <row r="107" spans="1:6" x14ac:dyDescent="0.2">
      <c r="A107" t="s">
        <v>19</v>
      </c>
      <c r="B107" t="s">
        <v>21</v>
      </c>
      <c r="C107">
        <v>2021</v>
      </c>
      <c r="D107" s="42">
        <v>115.18</v>
      </c>
      <c r="E107" s="42">
        <v>108.6914285714286</v>
      </c>
      <c r="F107" s="42">
        <v>-6.4885714285714187</v>
      </c>
    </row>
    <row r="108" spans="1:6" x14ac:dyDescent="0.2">
      <c r="A108" t="s">
        <v>14</v>
      </c>
      <c r="B108" t="s">
        <v>16</v>
      </c>
      <c r="C108">
        <v>2022</v>
      </c>
      <c r="D108" s="42">
        <v>119.3257142857143</v>
      </c>
      <c r="E108" s="42">
        <v>112.7542857142857</v>
      </c>
      <c r="F108" s="42">
        <v>-6.5714285714285694</v>
      </c>
    </row>
    <row r="109" spans="1:6" x14ac:dyDescent="0.2">
      <c r="A109" t="s">
        <v>57</v>
      </c>
      <c r="B109" t="s">
        <v>17</v>
      </c>
      <c r="C109">
        <v>2013</v>
      </c>
      <c r="D109" s="42">
        <v>106.8085714285714</v>
      </c>
      <c r="E109" s="42">
        <v>100.1514285714286</v>
      </c>
      <c r="F109" s="42">
        <v>-6.6571428571428584</v>
      </c>
    </row>
    <row r="110" spans="1:6" x14ac:dyDescent="0.2">
      <c r="A110" t="s">
        <v>60</v>
      </c>
      <c r="B110" t="s">
        <v>45</v>
      </c>
      <c r="C110">
        <v>2016</v>
      </c>
      <c r="D110" s="42">
        <v>116.2714285714286</v>
      </c>
      <c r="E110" s="42">
        <v>109.34571428571429</v>
      </c>
      <c r="F110" s="42">
        <v>-6.9257142857142782</v>
      </c>
    </row>
    <row r="111" spans="1:6" x14ac:dyDescent="0.2">
      <c r="A111" t="s">
        <v>18</v>
      </c>
      <c r="B111" t="s">
        <v>20</v>
      </c>
      <c r="C111">
        <v>2022</v>
      </c>
      <c r="D111" s="42">
        <v>122.8685714285714</v>
      </c>
      <c r="E111" s="42">
        <v>115.7885714285714</v>
      </c>
      <c r="F111" s="42">
        <v>-7.0799999999999699</v>
      </c>
    </row>
    <row r="112" spans="1:6" x14ac:dyDescent="0.2">
      <c r="A112" t="s">
        <v>27</v>
      </c>
      <c r="B112" t="s">
        <v>29</v>
      </c>
      <c r="C112">
        <v>2021</v>
      </c>
      <c r="D112" s="42">
        <v>100.1342857142857</v>
      </c>
      <c r="E112" s="42">
        <v>92.71142857142857</v>
      </c>
      <c r="F112" s="42">
        <v>-7.4228571428571399</v>
      </c>
    </row>
    <row r="113" spans="1:6" x14ac:dyDescent="0.2">
      <c r="A113" t="s">
        <v>56</v>
      </c>
      <c r="B113" t="s">
        <v>29</v>
      </c>
      <c r="C113">
        <v>2018</v>
      </c>
      <c r="D113" s="42">
        <v>110.8142857142857</v>
      </c>
      <c r="E113" s="42">
        <v>102.8257142857143</v>
      </c>
      <c r="F113" s="42">
        <v>-7.9885714285714187</v>
      </c>
    </row>
    <row r="114" spans="1:6" x14ac:dyDescent="0.2">
      <c r="A114" t="s">
        <v>51</v>
      </c>
      <c r="B114" t="s">
        <v>21</v>
      </c>
      <c r="C114">
        <v>2023</v>
      </c>
      <c r="D114" s="42">
        <v>115.5428571428572</v>
      </c>
      <c r="E114" s="42">
        <v>107.2457142857143</v>
      </c>
      <c r="F114" s="42">
        <v>-8.2971428571428731</v>
      </c>
    </row>
    <row r="115" spans="1:6" x14ac:dyDescent="0.2">
      <c r="A115" t="s">
        <v>22</v>
      </c>
      <c r="B115" t="s">
        <v>24</v>
      </c>
      <c r="C115">
        <v>2018</v>
      </c>
      <c r="D115" s="42">
        <v>94.351428571428571</v>
      </c>
      <c r="E115" s="42">
        <v>86.045714285714283</v>
      </c>
      <c r="F115" s="42">
        <v>-8.3057142857142878</v>
      </c>
    </row>
    <row r="116" spans="1:6" x14ac:dyDescent="0.2">
      <c r="A116" t="s">
        <v>26</v>
      </c>
      <c r="B116" t="s">
        <v>28</v>
      </c>
      <c r="C116">
        <v>2023</v>
      </c>
      <c r="D116" s="42">
        <v>123.8142857142857</v>
      </c>
      <c r="E116" s="42">
        <v>115.0428571428571</v>
      </c>
      <c r="F116" s="42">
        <v>-8.771428571428558</v>
      </c>
    </row>
    <row r="117" spans="1:6" x14ac:dyDescent="0.2">
      <c r="A117" t="s">
        <v>22</v>
      </c>
      <c r="B117" t="s">
        <v>24</v>
      </c>
      <c r="C117">
        <v>2017</v>
      </c>
      <c r="D117" s="42">
        <v>85.179999999999993</v>
      </c>
      <c r="E117" s="42">
        <v>76.345714285714294</v>
      </c>
      <c r="F117" s="42">
        <v>-8.8342857142856985</v>
      </c>
    </row>
    <row r="118" spans="1:6" x14ac:dyDescent="0.2">
      <c r="A118" t="s">
        <v>94</v>
      </c>
      <c r="B118" t="s">
        <v>93</v>
      </c>
      <c r="C118">
        <v>2013</v>
      </c>
      <c r="D118" s="42">
        <v>77.377142857142857</v>
      </c>
      <c r="E118" s="42">
        <v>67.73142857142858</v>
      </c>
      <c r="F118" s="42">
        <v>-9.645714285714277</v>
      </c>
    </row>
    <row r="119" spans="1:6" x14ac:dyDescent="0.2">
      <c r="A119" t="s">
        <v>526</v>
      </c>
      <c r="B119" t="s">
        <v>32</v>
      </c>
      <c r="C119">
        <v>2025</v>
      </c>
      <c r="D119" s="42">
        <v>109.8771428571429</v>
      </c>
      <c r="E119" s="42">
        <v>99.65428571428572</v>
      </c>
      <c r="F119" s="42">
        <v>-10.222857142857141</v>
      </c>
    </row>
    <row r="120" spans="1:6" x14ac:dyDescent="0.2">
      <c r="A120" t="s">
        <v>23</v>
      </c>
      <c r="B120" t="s">
        <v>25</v>
      </c>
      <c r="C120">
        <v>2016</v>
      </c>
      <c r="D120" s="42">
        <v>112.18857142857139</v>
      </c>
      <c r="E120" s="42">
        <v>101.8571428571429</v>
      </c>
      <c r="F120" s="42">
        <v>-10.331428571428569</v>
      </c>
    </row>
    <row r="121" spans="1:6" x14ac:dyDescent="0.2">
      <c r="A121" t="s">
        <v>23</v>
      </c>
      <c r="B121" t="s">
        <v>25</v>
      </c>
      <c r="C121">
        <v>2018</v>
      </c>
      <c r="D121" s="42">
        <v>109.1057142857143</v>
      </c>
      <c r="E121" s="42">
        <v>98.768571428571448</v>
      </c>
      <c r="F121" s="42">
        <v>-10.33714285714284</v>
      </c>
    </row>
    <row r="122" spans="1:6" x14ac:dyDescent="0.2">
      <c r="A122" t="s">
        <v>632</v>
      </c>
      <c r="B122" t="s">
        <v>36</v>
      </c>
      <c r="C122">
        <v>2016</v>
      </c>
      <c r="D122" s="42">
        <v>98.16857142857144</v>
      </c>
      <c r="E122" s="42">
        <v>86.90857142857142</v>
      </c>
      <c r="F122" s="42">
        <v>-11.260000000000019</v>
      </c>
    </row>
    <row r="123" spans="1:6" x14ac:dyDescent="0.2">
      <c r="A123" t="s">
        <v>26</v>
      </c>
      <c r="B123" t="s">
        <v>28</v>
      </c>
      <c r="C123">
        <v>2025</v>
      </c>
      <c r="D123" s="42">
        <v>110.3514285714286</v>
      </c>
      <c r="E123" s="42">
        <v>98.985714285714295</v>
      </c>
      <c r="F123" s="42">
        <v>-11.365714285714279</v>
      </c>
    </row>
    <row r="124" spans="1:6" x14ac:dyDescent="0.2">
      <c r="A124" t="s">
        <v>68</v>
      </c>
      <c r="B124" t="s">
        <v>69</v>
      </c>
      <c r="C124">
        <v>2013</v>
      </c>
      <c r="D124" s="42">
        <v>112.8142857142857</v>
      </c>
      <c r="E124" s="42">
        <v>101.4057142857143</v>
      </c>
      <c r="F124" s="42">
        <v>-11.40857142857142</v>
      </c>
    </row>
    <row r="125" spans="1:6" x14ac:dyDescent="0.2">
      <c r="A125" t="s">
        <v>18</v>
      </c>
      <c r="B125" t="s">
        <v>20</v>
      </c>
      <c r="C125">
        <v>2020</v>
      </c>
      <c r="D125" s="42">
        <v>88.551428571428573</v>
      </c>
      <c r="E125" s="42">
        <v>76.88</v>
      </c>
      <c r="F125" s="42">
        <v>-11.67142857142858</v>
      </c>
    </row>
    <row r="126" spans="1:6" x14ac:dyDescent="0.2">
      <c r="A126" t="s">
        <v>14</v>
      </c>
      <c r="B126" t="s">
        <v>16</v>
      </c>
      <c r="C126">
        <v>2020</v>
      </c>
      <c r="D126" s="42">
        <v>109.7371428571429</v>
      </c>
      <c r="E126" s="42">
        <v>97.974285714285699</v>
      </c>
      <c r="F126" s="42">
        <v>-11.762857142857159</v>
      </c>
    </row>
    <row r="127" spans="1:6" x14ac:dyDescent="0.2">
      <c r="A127" t="s">
        <v>23</v>
      </c>
      <c r="B127" t="s">
        <v>25</v>
      </c>
      <c r="C127">
        <v>2017</v>
      </c>
      <c r="D127" s="42">
        <v>99.854285714285737</v>
      </c>
      <c r="E127" s="42">
        <v>87.862857142857138</v>
      </c>
      <c r="F127" s="42">
        <v>-11.9914285714286</v>
      </c>
    </row>
    <row r="128" spans="1:6" x14ac:dyDescent="0.2">
      <c r="A128" t="s">
        <v>521</v>
      </c>
      <c r="B128" t="s">
        <v>29</v>
      </c>
      <c r="C128">
        <v>2025</v>
      </c>
      <c r="D128" s="42">
        <v>127.2028571428572</v>
      </c>
      <c r="E128" s="42">
        <v>115.0885714285714</v>
      </c>
      <c r="F128" s="42">
        <v>-12.11428571428573</v>
      </c>
    </row>
    <row r="129" spans="1:6" x14ac:dyDescent="0.2">
      <c r="A129" t="s">
        <v>35</v>
      </c>
      <c r="B129" t="s">
        <v>49</v>
      </c>
      <c r="C129">
        <v>2014</v>
      </c>
      <c r="D129" s="42">
        <v>109.1342857142857</v>
      </c>
      <c r="E129" s="42">
        <v>96.988571428571433</v>
      </c>
      <c r="F129" s="42">
        <v>-12.145714285714289</v>
      </c>
    </row>
    <row r="130" spans="1:6" x14ac:dyDescent="0.2">
      <c r="A130" t="s">
        <v>31</v>
      </c>
      <c r="B130" t="s">
        <v>33</v>
      </c>
      <c r="C130">
        <v>2016</v>
      </c>
      <c r="D130" s="42">
        <v>96.32285714285716</v>
      </c>
      <c r="E130" s="42">
        <v>84.125714285714281</v>
      </c>
      <c r="F130" s="42">
        <v>-12.197142857142881</v>
      </c>
    </row>
    <row r="131" spans="1:6" x14ac:dyDescent="0.2">
      <c r="A131" t="s">
        <v>22</v>
      </c>
      <c r="B131" t="s">
        <v>24</v>
      </c>
      <c r="C131">
        <v>2019</v>
      </c>
      <c r="D131" s="42">
        <v>106.5942857142857</v>
      </c>
      <c r="E131" s="42">
        <v>94.385714285714272</v>
      </c>
      <c r="F131" s="42">
        <v>-12.208571428571419</v>
      </c>
    </row>
    <row r="132" spans="1:6" x14ac:dyDescent="0.2">
      <c r="A132" t="s">
        <v>106</v>
      </c>
      <c r="B132" t="s">
        <v>28</v>
      </c>
      <c r="C132">
        <v>2013</v>
      </c>
      <c r="D132" s="42">
        <v>105.6428571428571</v>
      </c>
      <c r="E132" s="42">
        <v>93.397142857142853</v>
      </c>
      <c r="F132" s="42">
        <v>-12.245714285714291</v>
      </c>
    </row>
    <row r="133" spans="1:6" x14ac:dyDescent="0.2">
      <c r="A133" t="s">
        <v>71</v>
      </c>
      <c r="B133" t="s">
        <v>62</v>
      </c>
      <c r="C133">
        <v>2012</v>
      </c>
      <c r="D133" s="42">
        <v>109.46</v>
      </c>
      <c r="E133" s="42">
        <v>97.142857142857125</v>
      </c>
      <c r="F133" s="42">
        <v>-12.31714285714288</v>
      </c>
    </row>
    <row r="134" spans="1:6" x14ac:dyDescent="0.2">
      <c r="A134" t="s">
        <v>22</v>
      </c>
      <c r="B134" t="s">
        <v>24</v>
      </c>
      <c r="C134">
        <v>2022</v>
      </c>
      <c r="D134" s="42">
        <v>110.4885714285714</v>
      </c>
      <c r="E134" s="42">
        <v>97.88857142857141</v>
      </c>
      <c r="F134" s="42">
        <v>-12.600000000000019</v>
      </c>
    </row>
    <row r="135" spans="1:6" x14ac:dyDescent="0.2">
      <c r="A135" t="s">
        <v>108</v>
      </c>
      <c r="B135" t="s">
        <v>29</v>
      </c>
      <c r="C135">
        <v>2020</v>
      </c>
      <c r="D135" s="42">
        <v>104.8342857142857</v>
      </c>
      <c r="E135" s="42">
        <v>91.922857142857154</v>
      </c>
      <c r="F135" s="42">
        <v>-12.911428571428541</v>
      </c>
    </row>
    <row r="136" spans="1:6" x14ac:dyDescent="0.2">
      <c r="A136" t="s">
        <v>23</v>
      </c>
      <c r="B136" t="s">
        <v>25</v>
      </c>
      <c r="C136">
        <v>2015</v>
      </c>
      <c r="D136" s="42">
        <v>103.32</v>
      </c>
      <c r="E136" s="42">
        <v>89.542857142857159</v>
      </c>
      <c r="F136" s="42">
        <v>-13.77714285714285</v>
      </c>
    </row>
    <row r="137" spans="1:6" x14ac:dyDescent="0.2">
      <c r="A137" t="s">
        <v>14</v>
      </c>
      <c r="B137" t="s">
        <v>16</v>
      </c>
      <c r="C137">
        <v>2021</v>
      </c>
      <c r="D137" s="42">
        <v>123.6657142857143</v>
      </c>
      <c r="E137" s="42">
        <v>109.7885714285714</v>
      </c>
      <c r="F137" s="42">
        <v>-13.877142857142861</v>
      </c>
    </row>
    <row r="138" spans="1:6" x14ac:dyDescent="0.2">
      <c r="A138" t="s">
        <v>437</v>
      </c>
      <c r="B138" t="s">
        <v>28</v>
      </c>
      <c r="C138">
        <v>2015</v>
      </c>
      <c r="D138" s="42">
        <v>90.297142857142845</v>
      </c>
      <c r="E138" s="42">
        <v>76.382857142857134</v>
      </c>
      <c r="F138" s="42">
        <v>-13.914285714285709</v>
      </c>
    </row>
    <row r="139" spans="1:6" x14ac:dyDescent="0.2">
      <c r="A139" t="s">
        <v>40</v>
      </c>
      <c r="B139" t="s">
        <v>29</v>
      </c>
      <c r="C139">
        <v>2022</v>
      </c>
      <c r="D139" s="42">
        <v>121.5428571428571</v>
      </c>
      <c r="E139" s="42">
        <v>107.5628571428572</v>
      </c>
      <c r="F139" s="42">
        <v>-13.97999999999996</v>
      </c>
    </row>
    <row r="140" spans="1:6" x14ac:dyDescent="0.2">
      <c r="A140" t="s">
        <v>31</v>
      </c>
      <c r="B140" t="s">
        <v>33</v>
      </c>
      <c r="C140">
        <v>2025</v>
      </c>
      <c r="D140" s="42">
        <v>114.48</v>
      </c>
      <c r="E140" s="42">
        <v>99.594285714285732</v>
      </c>
      <c r="F140" s="42">
        <v>-14.88571428571429</v>
      </c>
    </row>
    <row r="141" spans="1:6" x14ac:dyDescent="0.2">
      <c r="A141" t="s">
        <v>35</v>
      </c>
      <c r="B141" t="s">
        <v>49</v>
      </c>
      <c r="C141">
        <v>2024</v>
      </c>
      <c r="D141" s="42">
        <v>106.4542857142857</v>
      </c>
      <c r="E141" s="42">
        <v>90.925714285714292</v>
      </c>
      <c r="F141" s="42">
        <v>-15.52857142857142</v>
      </c>
    </row>
    <row r="142" spans="1:6" x14ac:dyDescent="0.2">
      <c r="A142" t="s">
        <v>26</v>
      </c>
      <c r="B142" t="s">
        <v>28</v>
      </c>
      <c r="C142">
        <v>2018</v>
      </c>
      <c r="D142" s="42">
        <v>110.1428571428571</v>
      </c>
      <c r="E142" s="42">
        <v>93.94285714285715</v>
      </c>
      <c r="F142" s="42">
        <v>-16.199999999999989</v>
      </c>
    </row>
    <row r="143" spans="1:6" x14ac:dyDescent="0.2">
      <c r="A143" t="s">
        <v>466</v>
      </c>
      <c r="B143" t="s">
        <v>32</v>
      </c>
      <c r="C143">
        <v>2021</v>
      </c>
      <c r="D143" s="42">
        <v>136.1114285714286</v>
      </c>
      <c r="E143" s="42">
        <v>119.8971428571429</v>
      </c>
      <c r="F143" s="42">
        <v>-16.214285714285719</v>
      </c>
    </row>
    <row r="144" spans="1:6" x14ac:dyDescent="0.2">
      <c r="A144" t="s">
        <v>631</v>
      </c>
      <c r="B144" t="s">
        <v>36</v>
      </c>
      <c r="C144">
        <v>2019</v>
      </c>
      <c r="D144" s="42">
        <v>119.9571428571428</v>
      </c>
      <c r="E144" s="42">
        <v>103.28</v>
      </c>
      <c r="F144" s="42">
        <v>-16.67714285714284</v>
      </c>
    </row>
    <row r="145" spans="1:6" x14ac:dyDescent="0.2">
      <c r="A145" t="s">
        <v>31</v>
      </c>
      <c r="B145" t="s">
        <v>33</v>
      </c>
      <c r="C145">
        <v>2023</v>
      </c>
      <c r="D145" s="42">
        <v>128.91714285714289</v>
      </c>
      <c r="E145" s="42">
        <v>111.88285714285711</v>
      </c>
      <c r="F145" s="42">
        <v>-17.03428571428573</v>
      </c>
    </row>
    <row r="146" spans="1:6" x14ac:dyDescent="0.2">
      <c r="A146" t="s">
        <v>31</v>
      </c>
      <c r="B146" t="s">
        <v>33</v>
      </c>
      <c r="C146">
        <v>2024</v>
      </c>
      <c r="D146" s="42">
        <v>121.7457142857143</v>
      </c>
      <c r="E146" s="42">
        <v>104.23142857142859</v>
      </c>
      <c r="F146" s="42">
        <v>-17.514285714285709</v>
      </c>
    </row>
    <row r="147" spans="1:6" x14ac:dyDescent="0.2">
      <c r="A147" t="s">
        <v>110</v>
      </c>
      <c r="B147" t="s">
        <v>20</v>
      </c>
      <c r="C147">
        <v>2015</v>
      </c>
      <c r="D147" s="42">
        <v>105.1685714285714</v>
      </c>
      <c r="E147" s="42">
        <v>87.431428571428569</v>
      </c>
      <c r="F147" s="42">
        <v>-17.737142857142871</v>
      </c>
    </row>
    <row r="148" spans="1:6" x14ac:dyDescent="0.2">
      <c r="A148" t="s">
        <v>22</v>
      </c>
      <c r="B148" t="s">
        <v>24</v>
      </c>
      <c r="C148">
        <v>2016</v>
      </c>
      <c r="D148" s="42">
        <v>89.791428571428568</v>
      </c>
      <c r="E148" s="42">
        <v>71.98571428571428</v>
      </c>
      <c r="F148" s="42">
        <v>-17.805714285714291</v>
      </c>
    </row>
    <row r="149" spans="1:6" x14ac:dyDescent="0.2">
      <c r="A149" t="s">
        <v>26</v>
      </c>
      <c r="B149" t="s">
        <v>28</v>
      </c>
      <c r="C149">
        <v>2022</v>
      </c>
      <c r="D149" s="42">
        <v>117.80285714285721</v>
      </c>
      <c r="E149" s="42">
        <v>99.645714285714277</v>
      </c>
      <c r="F149" s="42">
        <v>-18.15714285714289</v>
      </c>
    </row>
    <row r="150" spans="1:6" x14ac:dyDescent="0.2">
      <c r="A150" t="s">
        <v>102</v>
      </c>
      <c r="B150" t="s">
        <v>439</v>
      </c>
      <c r="C150">
        <v>2013</v>
      </c>
      <c r="D150" s="42">
        <v>105.59142857142859</v>
      </c>
      <c r="E150" s="42">
        <v>86.95714285714287</v>
      </c>
      <c r="F150" s="42">
        <v>-18.634285714285699</v>
      </c>
    </row>
    <row r="151" spans="1:6" x14ac:dyDescent="0.2">
      <c r="A151" t="s">
        <v>19</v>
      </c>
      <c r="B151" t="s">
        <v>21</v>
      </c>
      <c r="C151">
        <v>2014</v>
      </c>
      <c r="D151" s="42">
        <v>94.694285714285698</v>
      </c>
      <c r="E151" s="42">
        <v>75.931428571428569</v>
      </c>
      <c r="F151" s="42">
        <v>-18.762857142857129</v>
      </c>
    </row>
    <row r="152" spans="1:6" x14ac:dyDescent="0.2">
      <c r="A152" t="s">
        <v>19</v>
      </c>
      <c r="B152" t="s">
        <v>21</v>
      </c>
      <c r="C152">
        <v>2015</v>
      </c>
      <c r="D152" s="42">
        <v>98.237142857142857</v>
      </c>
      <c r="E152" s="42">
        <v>79.202857142857155</v>
      </c>
      <c r="F152" s="42">
        <v>-19.034285714285701</v>
      </c>
    </row>
    <row r="153" spans="1:6" x14ac:dyDescent="0.2">
      <c r="A153" t="s">
        <v>18</v>
      </c>
      <c r="B153" t="s">
        <v>20</v>
      </c>
      <c r="C153">
        <v>2021</v>
      </c>
      <c r="D153" s="42">
        <v>131.67142857142861</v>
      </c>
      <c r="E153" s="42">
        <v>112.2628571428571</v>
      </c>
      <c r="F153" s="42">
        <v>-19.408571428571431</v>
      </c>
    </row>
    <row r="154" spans="1:6" x14ac:dyDescent="0.2">
      <c r="A154" t="s">
        <v>18</v>
      </c>
      <c r="B154" t="s">
        <v>20</v>
      </c>
      <c r="C154">
        <v>2019</v>
      </c>
      <c r="D154" s="42">
        <v>110.9142857142857</v>
      </c>
      <c r="E154" s="42">
        <v>91.45714285714287</v>
      </c>
      <c r="F154" s="42">
        <v>-19.457142857142841</v>
      </c>
    </row>
    <row r="155" spans="1:6" x14ac:dyDescent="0.2">
      <c r="A155" t="s">
        <v>22</v>
      </c>
      <c r="B155" t="s">
        <v>24</v>
      </c>
      <c r="C155">
        <v>2020</v>
      </c>
      <c r="D155" s="42">
        <v>99.717142857142861</v>
      </c>
      <c r="E155" s="42">
        <v>80.179999999999993</v>
      </c>
      <c r="F155" s="42">
        <v>-19.537142857142872</v>
      </c>
    </row>
    <row r="156" spans="1:6" x14ac:dyDescent="0.2">
      <c r="A156" t="s">
        <v>57</v>
      </c>
      <c r="B156" t="s">
        <v>17</v>
      </c>
      <c r="C156">
        <v>2020</v>
      </c>
      <c r="D156" s="42">
        <v>112.9371428571428</v>
      </c>
      <c r="E156" s="42">
        <v>93.228571428571428</v>
      </c>
      <c r="F156" s="42">
        <v>-19.708571428571421</v>
      </c>
    </row>
    <row r="157" spans="1:6" x14ac:dyDescent="0.2">
      <c r="A157" t="s">
        <v>23</v>
      </c>
      <c r="B157" t="s">
        <v>25</v>
      </c>
      <c r="C157">
        <v>2021</v>
      </c>
      <c r="D157" s="42">
        <v>120.0028571428571</v>
      </c>
      <c r="E157" s="42">
        <v>99.628571428571419</v>
      </c>
      <c r="F157" s="42">
        <v>-20.374285714285719</v>
      </c>
    </row>
    <row r="158" spans="1:6" x14ac:dyDescent="0.2">
      <c r="A158" t="s">
        <v>101</v>
      </c>
      <c r="B158" t="s">
        <v>29</v>
      </c>
      <c r="C158">
        <v>2012</v>
      </c>
      <c r="D158" s="42">
        <v>97.605714285714285</v>
      </c>
      <c r="E158" s="42">
        <v>77.205714285714279</v>
      </c>
      <c r="F158" s="42">
        <v>-20.400000000000009</v>
      </c>
    </row>
    <row r="159" spans="1:6" x14ac:dyDescent="0.2">
      <c r="A159" t="s">
        <v>110</v>
      </c>
      <c r="B159" t="s">
        <v>20</v>
      </c>
      <c r="C159">
        <v>2016</v>
      </c>
      <c r="D159" s="42">
        <v>107.62</v>
      </c>
      <c r="E159" s="42">
        <v>87.117142857142866</v>
      </c>
      <c r="F159" s="42">
        <v>-20.502857142857138</v>
      </c>
    </row>
    <row r="160" spans="1:6" x14ac:dyDescent="0.2">
      <c r="A160" t="s">
        <v>34</v>
      </c>
      <c r="B160" t="s">
        <v>36</v>
      </c>
      <c r="C160">
        <v>2021</v>
      </c>
      <c r="D160" s="42">
        <v>131.62</v>
      </c>
      <c r="E160" s="42">
        <v>110.4714285714286</v>
      </c>
      <c r="F160" s="42">
        <v>-21.14857142857144</v>
      </c>
    </row>
    <row r="161" spans="1:6" x14ac:dyDescent="0.2">
      <c r="A161" t="s">
        <v>96</v>
      </c>
      <c r="B161" t="s">
        <v>97</v>
      </c>
      <c r="C161">
        <v>2012</v>
      </c>
      <c r="D161" s="42">
        <v>89.851428571428571</v>
      </c>
      <c r="E161" s="42">
        <v>67.414285714285725</v>
      </c>
      <c r="F161" s="42">
        <v>-22.437142857142849</v>
      </c>
    </row>
    <row r="162" spans="1:6" x14ac:dyDescent="0.2">
      <c r="A162" t="s">
        <v>14</v>
      </c>
      <c r="B162" t="s">
        <v>16</v>
      </c>
      <c r="C162">
        <v>2019</v>
      </c>
      <c r="D162" s="42">
        <v>103.55714285714279</v>
      </c>
      <c r="E162" s="42">
        <v>80.974285714285728</v>
      </c>
      <c r="F162" s="42">
        <v>-22.582857142857119</v>
      </c>
    </row>
    <row r="163" spans="1:6" x14ac:dyDescent="0.2">
      <c r="A163" t="s">
        <v>35</v>
      </c>
      <c r="B163" t="s">
        <v>37</v>
      </c>
      <c r="C163">
        <v>2021</v>
      </c>
      <c r="D163" s="42">
        <v>128.13142857142859</v>
      </c>
      <c r="E163" s="42">
        <v>103.43428571428571</v>
      </c>
      <c r="F163" s="42">
        <v>-24.69714285714285</v>
      </c>
    </row>
    <row r="164" spans="1:6" x14ac:dyDescent="0.2">
      <c r="A164" t="s">
        <v>35</v>
      </c>
      <c r="B164" t="s">
        <v>37</v>
      </c>
      <c r="C164">
        <v>2020</v>
      </c>
      <c r="D164" s="42">
        <v>107.8685714285714</v>
      </c>
      <c r="E164" s="42">
        <v>82.828571428571422</v>
      </c>
      <c r="F164" s="42">
        <v>-25.039999999999988</v>
      </c>
    </row>
    <row r="165" spans="1:6" x14ac:dyDescent="0.2">
      <c r="A165" t="s">
        <v>101</v>
      </c>
      <c r="B165" t="s">
        <v>29</v>
      </c>
      <c r="C165">
        <v>2013</v>
      </c>
      <c r="D165" s="42">
        <v>106.0714285714286</v>
      </c>
      <c r="E165" s="42">
        <v>79.922857142857154</v>
      </c>
      <c r="F165" s="42">
        <v>-26.148571428571429</v>
      </c>
    </row>
    <row r="166" spans="1:6" x14ac:dyDescent="0.2">
      <c r="A166" t="s">
        <v>92</v>
      </c>
      <c r="B166" t="s">
        <v>93</v>
      </c>
      <c r="C166">
        <v>2012</v>
      </c>
      <c r="D166" s="42">
        <v>111.2657142857143</v>
      </c>
      <c r="E166" s="42">
        <v>84.814285714285717</v>
      </c>
      <c r="F166" s="42">
        <v>-26.451428571428561</v>
      </c>
    </row>
    <row r="167" spans="1:6" x14ac:dyDescent="0.2">
      <c r="A167" t="s">
        <v>85</v>
      </c>
      <c r="B167" t="s">
        <v>49</v>
      </c>
      <c r="C167">
        <v>2015</v>
      </c>
      <c r="D167" s="42">
        <v>118.96857142857139</v>
      </c>
      <c r="E167" s="42">
        <v>91.465714285714284</v>
      </c>
      <c r="F167" s="42">
        <v>-27.502857142857138</v>
      </c>
    </row>
    <row r="168" spans="1:6" x14ac:dyDescent="0.2">
      <c r="A168" t="s">
        <v>110</v>
      </c>
      <c r="B168" t="s">
        <v>20</v>
      </c>
      <c r="C168">
        <v>2018</v>
      </c>
      <c r="D168" s="42">
        <v>124.70571428571429</v>
      </c>
      <c r="E168" s="42">
        <v>94.902857142857144</v>
      </c>
      <c r="F168" s="42">
        <v>-29.80285714285715</v>
      </c>
    </row>
    <row r="169" spans="1:6" x14ac:dyDescent="0.2">
      <c r="A169" t="s">
        <v>77</v>
      </c>
      <c r="B169" t="s">
        <v>45</v>
      </c>
      <c r="C169">
        <v>2025</v>
      </c>
      <c r="D169" s="42">
        <v>119.9714285714286</v>
      </c>
      <c r="E169" s="42">
        <v>85.971428571428561</v>
      </c>
      <c r="F169" s="42">
        <v>-34</v>
      </c>
    </row>
  </sheetData>
  <autoFilter ref="A1:F169" xr:uid="{445630FC-27AC-9C4E-AF36-BD3BE2FE0008}">
    <sortState xmlns:xlrd2="http://schemas.microsoft.com/office/spreadsheetml/2017/richdata2" ref="A2:F169">
      <sortCondition descending="1" ref="F1:F169"/>
    </sortState>
  </autoFilter>
  <conditionalFormatting sqref="F2:F16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93F5-D711-0F4B-8F0A-C096C692EE1E}">
  <dimension ref="A3:H31"/>
  <sheetViews>
    <sheetView zoomScale="130" zoomScaleNormal="130" workbookViewId="0">
      <selection activeCell="K21" sqref="K21"/>
    </sheetView>
  </sheetViews>
  <sheetFormatPr baseColWidth="10" defaultRowHeight="16" x14ac:dyDescent="0.2"/>
  <cols>
    <col min="2" max="2" width="23.1640625" customWidth="1"/>
    <col min="3" max="3" width="15" customWidth="1"/>
    <col min="5" max="5" width="14.1640625" customWidth="1"/>
    <col min="6" max="6" width="15.33203125" customWidth="1"/>
  </cols>
  <sheetData>
    <row r="3" spans="1:8" x14ac:dyDescent="0.2">
      <c r="A3" s="27"/>
      <c r="B3" s="27"/>
      <c r="C3" s="27"/>
      <c r="D3" s="27"/>
      <c r="E3" s="27"/>
      <c r="F3" s="27"/>
      <c r="G3" s="27"/>
      <c r="H3" s="27"/>
    </row>
    <row r="4" spans="1:8" ht="19" x14ac:dyDescent="0.25">
      <c r="A4" s="27"/>
      <c r="B4" s="293" t="s">
        <v>660</v>
      </c>
      <c r="C4" s="294"/>
      <c r="D4" s="294"/>
      <c r="E4" s="294"/>
      <c r="F4" s="294"/>
      <c r="G4" s="295"/>
      <c r="H4" s="27"/>
    </row>
    <row r="5" spans="1:8" x14ac:dyDescent="0.2">
      <c r="A5" s="27"/>
      <c r="B5" s="324" t="s">
        <v>509</v>
      </c>
      <c r="C5" s="325" t="s">
        <v>79</v>
      </c>
      <c r="D5" s="325" t="s">
        <v>0</v>
      </c>
      <c r="E5" s="325" t="s">
        <v>661</v>
      </c>
      <c r="F5" s="325" t="s">
        <v>662</v>
      </c>
      <c r="G5" s="326" t="s">
        <v>7</v>
      </c>
      <c r="H5" s="27"/>
    </row>
    <row r="6" spans="1:8" x14ac:dyDescent="0.2">
      <c r="A6" s="27"/>
      <c r="B6" s="205" t="s">
        <v>77</v>
      </c>
      <c r="C6" s="224" t="s">
        <v>45</v>
      </c>
      <c r="D6" s="224">
        <v>2025</v>
      </c>
      <c r="E6" s="215">
        <v>119.9714285714286</v>
      </c>
      <c r="F6" s="215">
        <v>85.971428571428561</v>
      </c>
      <c r="G6" s="226">
        <v>-34</v>
      </c>
      <c r="H6" s="27"/>
    </row>
    <row r="7" spans="1:8" x14ac:dyDescent="0.2">
      <c r="A7" s="27"/>
      <c r="B7" s="32" t="s">
        <v>110</v>
      </c>
      <c r="C7" s="310" t="s">
        <v>20</v>
      </c>
      <c r="D7" s="310">
        <v>2018</v>
      </c>
      <c r="E7" s="327">
        <v>124.70571428571429</v>
      </c>
      <c r="F7" s="327">
        <v>94.902857142857144</v>
      </c>
      <c r="G7" s="71">
        <v>-29.80285714285715</v>
      </c>
      <c r="H7" s="27"/>
    </row>
    <row r="8" spans="1:8" x14ac:dyDescent="0.2">
      <c r="A8" s="27"/>
      <c r="B8" s="32" t="s">
        <v>85</v>
      </c>
      <c r="C8" s="310" t="s">
        <v>49</v>
      </c>
      <c r="D8" s="310">
        <v>2015</v>
      </c>
      <c r="E8" s="327">
        <v>118.96857142857139</v>
      </c>
      <c r="F8" s="327">
        <v>91.465714285714284</v>
      </c>
      <c r="G8" s="71">
        <v>-27.502857142857138</v>
      </c>
      <c r="H8" s="27"/>
    </row>
    <row r="9" spans="1:8" x14ac:dyDescent="0.2">
      <c r="A9" s="27"/>
      <c r="B9" s="32" t="s">
        <v>92</v>
      </c>
      <c r="C9" s="310" t="s">
        <v>93</v>
      </c>
      <c r="D9" s="310">
        <v>2012</v>
      </c>
      <c r="E9" s="327">
        <v>111.2657142857143</v>
      </c>
      <c r="F9" s="327">
        <v>84.814285714285717</v>
      </c>
      <c r="G9" s="71">
        <v>-26.451428571428561</v>
      </c>
      <c r="H9" s="27"/>
    </row>
    <row r="10" spans="1:8" x14ac:dyDescent="0.2">
      <c r="A10" s="27"/>
      <c r="B10" s="32" t="s">
        <v>101</v>
      </c>
      <c r="C10" s="310" t="s">
        <v>29</v>
      </c>
      <c r="D10" s="310">
        <v>2013</v>
      </c>
      <c r="E10" s="327">
        <v>106.0714285714286</v>
      </c>
      <c r="F10" s="327">
        <v>79.922857142857154</v>
      </c>
      <c r="G10" s="71">
        <v>-26.148571428571429</v>
      </c>
      <c r="H10" s="27"/>
    </row>
    <row r="11" spans="1:8" x14ac:dyDescent="0.2">
      <c r="A11" s="27"/>
      <c r="B11" s="32" t="s">
        <v>35</v>
      </c>
      <c r="C11" s="310" t="s">
        <v>37</v>
      </c>
      <c r="D11" s="310">
        <v>2020</v>
      </c>
      <c r="E11" s="327">
        <v>107.8685714285714</v>
      </c>
      <c r="F11" s="327">
        <v>82.828571428571422</v>
      </c>
      <c r="G11" s="71">
        <v>-25.039999999999988</v>
      </c>
      <c r="H11" s="27"/>
    </row>
    <row r="12" spans="1:8" x14ac:dyDescent="0.2">
      <c r="A12" s="27"/>
      <c r="B12" s="32" t="s">
        <v>35</v>
      </c>
      <c r="C12" s="310" t="s">
        <v>37</v>
      </c>
      <c r="D12" s="310">
        <v>2021</v>
      </c>
      <c r="E12" s="327">
        <v>128.13142857142859</v>
      </c>
      <c r="F12" s="327">
        <v>103.43428571428571</v>
      </c>
      <c r="G12" s="71">
        <v>-24.69714285714285</v>
      </c>
      <c r="H12" s="27"/>
    </row>
    <row r="13" spans="1:8" x14ac:dyDescent="0.2">
      <c r="A13" s="27"/>
      <c r="B13" s="32" t="s">
        <v>14</v>
      </c>
      <c r="C13" s="310" t="s">
        <v>16</v>
      </c>
      <c r="D13" s="310">
        <v>2019</v>
      </c>
      <c r="E13" s="327">
        <v>103.55714285714279</v>
      </c>
      <c r="F13" s="327">
        <v>80.974285714285728</v>
      </c>
      <c r="G13" s="71">
        <v>-22.582857142857119</v>
      </c>
      <c r="H13" s="27"/>
    </row>
    <row r="14" spans="1:8" x14ac:dyDescent="0.2">
      <c r="A14" s="27"/>
      <c r="B14" s="32" t="s">
        <v>96</v>
      </c>
      <c r="C14" s="310" t="s">
        <v>97</v>
      </c>
      <c r="D14" s="310">
        <v>2012</v>
      </c>
      <c r="E14" s="327">
        <v>89.851428571428571</v>
      </c>
      <c r="F14" s="327">
        <v>67.414285714285725</v>
      </c>
      <c r="G14" s="71">
        <v>-22.437142857142849</v>
      </c>
      <c r="H14" s="27"/>
    </row>
    <row r="15" spans="1:8" x14ac:dyDescent="0.2">
      <c r="A15" s="27"/>
      <c r="B15" s="74" t="s">
        <v>34</v>
      </c>
      <c r="C15" s="75" t="s">
        <v>36</v>
      </c>
      <c r="D15" s="75">
        <v>2021</v>
      </c>
      <c r="E15" s="25">
        <v>131.62</v>
      </c>
      <c r="F15" s="25">
        <v>110.4714285714286</v>
      </c>
      <c r="G15" s="26">
        <v>-21.14857142857144</v>
      </c>
      <c r="H15" s="27"/>
    </row>
    <row r="16" spans="1:8" x14ac:dyDescent="0.2">
      <c r="A16" s="27"/>
      <c r="B16" s="27"/>
      <c r="C16" s="27"/>
      <c r="D16" s="27"/>
      <c r="E16" s="27"/>
      <c r="F16" s="27"/>
      <c r="G16" s="27"/>
      <c r="H16" s="27"/>
    </row>
    <row r="17" spans="1:8" x14ac:dyDescent="0.2">
      <c r="A17" s="27"/>
    </row>
    <row r="18" spans="1:8" x14ac:dyDescent="0.2">
      <c r="A18" s="27"/>
      <c r="B18" s="27"/>
      <c r="C18" s="27"/>
      <c r="D18" s="27"/>
      <c r="E18" s="27"/>
      <c r="F18" s="27"/>
      <c r="G18" s="27"/>
      <c r="H18" s="27"/>
    </row>
    <row r="19" spans="1:8" ht="19" x14ac:dyDescent="0.25">
      <c r="A19" s="27"/>
      <c r="B19" s="293" t="s">
        <v>663</v>
      </c>
      <c r="C19" s="294"/>
      <c r="D19" s="294"/>
      <c r="E19" s="294"/>
      <c r="F19" s="294"/>
      <c r="G19" s="295"/>
      <c r="H19" s="27"/>
    </row>
    <row r="20" spans="1:8" x14ac:dyDescent="0.2">
      <c r="A20" s="27"/>
      <c r="B20" s="324" t="s">
        <v>509</v>
      </c>
      <c r="C20" s="325" t="s">
        <v>79</v>
      </c>
      <c r="D20" s="325" t="s">
        <v>0</v>
      </c>
      <c r="E20" s="325" t="s">
        <v>661</v>
      </c>
      <c r="F20" s="325" t="s">
        <v>662</v>
      </c>
      <c r="G20" s="326" t="s">
        <v>7</v>
      </c>
      <c r="H20" s="27"/>
    </row>
    <row r="21" spans="1:8" x14ac:dyDescent="0.2">
      <c r="A21" s="27"/>
      <c r="B21" s="46" t="s">
        <v>23</v>
      </c>
      <c r="C21" s="124" t="s">
        <v>25</v>
      </c>
      <c r="D21" s="124">
        <v>2022</v>
      </c>
      <c r="E21" s="65">
        <v>86.545714285714283</v>
      </c>
      <c r="F21" s="65">
        <v>115.8657142857143</v>
      </c>
      <c r="G21" s="220">
        <v>29.31999999999999</v>
      </c>
      <c r="H21" s="27"/>
    </row>
    <row r="22" spans="1:8" x14ac:dyDescent="0.2">
      <c r="A22" s="27"/>
      <c r="B22" s="32" t="s">
        <v>46</v>
      </c>
      <c r="C22" s="310" t="s">
        <v>47</v>
      </c>
      <c r="D22" s="310">
        <v>2024</v>
      </c>
      <c r="E22" s="327">
        <v>106.97714285714289</v>
      </c>
      <c r="F22" s="327">
        <v>135.25714285714281</v>
      </c>
      <c r="G22" s="159">
        <v>28.279999999999969</v>
      </c>
      <c r="H22" s="27"/>
    </row>
    <row r="23" spans="1:8" x14ac:dyDescent="0.2">
      <c r="A23" s="27"/>
      <c r="B23" s="32" t="s">
        <v>61</v>
      </c>
      <c r="C23" s="310" t="s">
        <v>62</v>
      </c>
      <c r="D23" s="310">
        <v>2015</v>
      </c>
      <c r="E23" s="327">
        <v>95.917142857142849</v>
      </c>
      <c r="F23" s="327">
        <v>120.28571428571431</v>
      </c>
      <c r="G23" s="159">
        <v>24.368571428571439</v>
      </c>
      <c r="H23" s="27"/>
    </row>
    <row r="24" spans="1:8" x14ac:dyDescent="0.2">
      <c r="A24" s="27"/>
      <c r="B24" s="32" t="s">
        <v>18</v>
      </c>
      <c r="C24" s="310" t="s">
        <v>20</v>
      </c>
      <c r="D24" s="310">
        <v>2017</v>
      </c>
      <c r="E24" s="327">
        <v>103.7085714285714</v>
      </c>
      <c r="F24" s="327">
        <v>127.66285714285711</v>
      </c>
      <c r="G24" s="159">
        <v>23.954285714285689</v>
      </c>
      <c r="H24" s="27"/>
    </row>
    <row r="25" spans="1:8" x14ac:dyDescent="0.2">
      <c r="A25" s="27"/>
      <c r="B25" s="32" t="s">
        <v>105</v>
      </c>
      <c r="C25" s="310" t="s">
        <v>28</v>
      </c>
      <c r="D25" s="310">
        <v>2014</v>
      </c>
      <c r="E25" s="327">
        <v>100.23142857142859</v>
      </c>
      <c r="F25" s="327">
        <v>122.89142857142861</v>
      </c>
      <c r="G25" s="159">
        <v>22.660000000000011</v>
      </c>
      <c r="H25" s="27"/>
    </row>
    <row r="26" spans="1:8" x14ac:dyDescent="0.2">
      <c r="A26" s="27"/>
      <c r="B26" s="32" t="s">
        <v>42</v>
      </c>
      <c r="C26" s="310" t="s">
        <v>17</v>
      </c>
      <c r="D26" s="310">
        <v>2022</v>
      </c>
      <c r="E26" s="327">
        <v>101.7714285714286</v>
      </c>
      <c r="F26" s="327">
        <v>124.2171428571429</v>
      </c>
      <c r="G26" s="159">
        <v>22.445714285714288</v>
      </c>
      <c r="H26" s="27"/>
    </row>
    <row r="27" spans="1:8" x14ac:dyDescent="0.2">
      <c r="A27" s="27"/>
      <c r="B27" s="32" t="s">
        <v>15</v>
      </c>
      <c r="C27" s="310" t="s">
        <v>17</v>
      </c>
      <c r="D27" s="310">
        <v>2021</v>
      </c>
      <c r="E27" s="327">
        <v>108.7571428571429</v>
      </c>
      <c r="F27" s="327">
        <v>130.71428571428569</v>
      </c>
      <c r="G27" s="159">
        <v>21.957142857142859</v>
      </c>
      <c r="H27" s="27"/>
    </row>
    <row r="28" spans="1:8" x14ac:dyDescent="0.2">
      <c r="A28" s="27"/>
      <c r="B28" s="36" t="s">
        <v>524</v>
      </c>
      <c r="C28" s="314" t="s">
        <v>21</v>
      </c>
      <c r="D28" s="314">
        <v>2025</v>
      </c>
      <c r="E28" s="328">
        <v>104.33714285714279</v>
      </c>
      <c r="F28" s="328">
        <v>125.92</v>
      </c>
      <c r="G28" s="218">
        <v>21.582857142857161</v>
      </c>
      <c r="H28" s="27"/>
    </row>
    <row r="29" spans="1:8" x14ac:dyDescent="0.2">
      <c r="A29" s="27"/>
      <c r="B29" s="32" t="s">
        <v>35</v>
      </c>
      <c r="C29" s="310" t="s">
        <v>49</v>
      </c>
      <c r="D29" s="310">
        <v>2023</v>
      </c>
      <c r="E29" s="327">
        <v>92.76</v>
      </c>
      <c r="F29" s="327">
        <v>113.86285714285719</v>
      </c>
      <c r="G29" s="159">
        <v>21.10285714285715</v>
      </c>
      <c r="H29" s="27"/>
    </row>
    <row r="30" spans="1:8" x14ac:dyDescent="0.2">
      <c r="A30" s="27"/>
      <c r="B30" s="74" t="s">
        <v>14</v>
      </c>
      <c r="C30" s="75" t="s">
        <v>16</v>
      </c>
      <c r="D30" s="75">
        <v>2024</v>
      </c>
      <c r="E30" s="25">
        <v>92.605714285714271</v>
      </c>
      <c r="F30" s="25">
        <v>112.7171428571429</v>
      </c>
      <c r="G30" s="161">
        <v>20.11142857142859</v>
      </c>
      <c r="H30" s="27"/>
    </row>
    <row r="31" spans="1:8" x14ac:dyDescent="0.2">
      <c r="A31" s="27"/>
      <c r="B31" s="27"/>
      <c r="C31" s="27"/>
      <c r="D31" s="27"/>
      <c r="E31" s="27"/>
      <c r="F31" s="27"/>
      <c r="G31" s="27"/>
      <c r="H31" s="27"/>
    </row>
  </sheetData>
  <mergeCells count="2">
    <mergeCell ref="B4:G4"/>
    <mergeCell ref="B19:G19"/>
  </mergeCells>
  <conditionalFormatting sqref="G6:G15">
    <cfRule type="colorScale" priority="6">
      <colorScale>
        <cfvo type="min"/>
        <cfvo type="max"/>
        <color rgb="FFF8696B"/>
        <color rgb="FFFCFCFF"/>
      </colorScale>
    </cfRule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1:G30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D2DF-B9A1-9F46-8695-DCEC8266A3E2}">
  <sheetPr filterMode="1"/>
  <dimension ref="A1:D61"/>
  <sheetViews>
    <sheetView workbookViewId="0">
      <selection activeCell="A3" sqref="A3:D61"/>
    </sheetView>
  </sheetViews>
  <sheetFormatPr baseColWidth="10" defaultRowHeight="16" x14ac:dyDescent="0.2"/>
  <cols>
    <col min="1" max="1" width="23.6640625" customWidth="1"/>
    <col min="2" max="2" width="12" customWidth="1"/>
  </cols>
  <sheetData>
    <row r="1" spans="1:4" x14ac:dyDescent="0.2">
      <c r="A1" s="1" t="s">
        <v>509</v>
      </c>
      <c r="B1" s="1" t="s">
        <v>79</v>
      </c>
      <c r="C1" s="1" t="s">
        <v>0</v>
      </c>
      <c r="D1" s="1" t="s">
        <v>670</v>
      </c>
    </row>
    <row r="2" spans="1:4" hidden="1" x14ac:dyDescent="0.2">
      <c r="A2" s="32" t="s">
        <v>31</v>
      </c>
      <c r="B2" t="s">
        <v>33</v>
      </c>
      <c r="C2">
        <v>2021</v>
      </c>
      <c r="D2" s="42">
        <v>14.196109460324811</v>
      </c>
    </row>
    <row r="3" spans="1:4" x14ac:dyDescent="0.2">
      <c r="A3" s="32" t="s">
        <v>42</v>
      </c>
      <c r="B3" t="s">
        <v>17</v>
      </c>
      <c r="C3">
        <v>2025</v>
      </c>
      <c r="D3" s="42">
        <v>14.872157628517419</v>
      </c>
    </row>
    <row r="4" spans="1:4" hidden="1" x14ac:dyDescent="0.2">
      <c r="A4" s="210" t="s">
        <v>14</v>
      </c>
      <c r="B4" t="s">
        <v>16</v>
      </c>
      <c r="C4">
        <v>2022</v>
      </c>
      <c r="D4" s="42">
        <v>15.182450144194465</v>
      </c>
    </row>
    <row r="5" spans="1:4" hidden="1" x14ac:dyDescent="0.2">
      <c r="A5" s="210" t="s">
        <v>31</v>
      </c>
      <c r="B5" s="93" t="s">
        <v>41</v>
      </c>
      <c r="C5">
        <v>2022</v>
      </c>
      <c r="D5" s="42">
        <v>16.152374202604268</v>
      </c>
    </row>
    <row r="6" spans="1:4" x14ac:dyDescent="0.2">
      <c r="A6" s="32" t="s">
        <v>46</v>
      </c>
      <c r="B6" t="s">
        <v>47</v>
      </c>
      <c r="C6">
        <v>2025</v>
      </c>
      <c r="D6" s="42">
        <v>16.573329561293843</v>
      </c>
    </row>
    <row r="7" spans="1:4" hidden="1" x14ac:dyDescent="0.2">
      <c r="A7" s="32" t="s">
        <v>75</v>
      </c>
      <c r="B7" t="s">
        <v>36</v>
      </c>
      <c r="C7">
        <v>2024</v>
      </c>
      <c r="D7" s="42">
        <v>16.70775491458129</v>
      </c>
    </row>
    <row r="8" spans="1:4" hidden="1" x14ac:dyDescent="0.2">
      <c r="A8" s="32" t="s">
        <v>14</v>
      </c>
      <c r="B8" t="s">
        <v>16</v>
      </c>
      <c r="C8">
        <v>2024</v>
      </c>
      <c r="D8" s="42">
        <v>17.49337942792998</v>
      </c>
    </row>
    <row r="9" spans="1:4" x14ac:dyDescent="0.2">
      <c r="A9" s="32" t="s">
        <v>31</v>
      </c>
      <c r="B9" t="s">
        <v>33</v>
      </c>
      <c r="C9">
        <v>2025</v>
      </c>
      <c r="D9" s="42">
        <v>17.586391342158713</v>
      </c>
    </row>
    <row r="10" spans="1:4" hidden="1" x14ac:dyDescent="0.2">
      <c r="A10" s="210" t="s">
        <v>42</v>
      </c>
      <c r="B10" t="s">
        <v>17</v>
      </c>
      <c r="C10">
        <v>2023</v>
      </c>
      <c r="D10" s="42">
        <v>17.766362867053221</v>
      </c>
    </row>
    <row r="11" spans="1:4" hidden="1" x14ac:dyDescent="0.2">
      <c r="A11" s="210" t="s">
        <v>43</v>
      </c>
      <c r="B11" t="s">
        <v>21</v>
      </c>
      <c r="C11">
        <v>2022</v>
      </c>
      <c r="D11" s="42">
        <v>17.963147778027047</v>
      </c>
    </row>
    <row r="12" spans="1:4" x14ac:dyDescent="0.2">
      <c r="A12" s="32" t="s">
        <v>14</v>
      </c>
      <c r="B12" t="s">
        <v>16</v>
      </c>
      <c r="C12">
        <v>2025</v>
      </c>
      <c r="D12" s="42">
        <v>18.078168486441651</v>
      </c>
    </row>
    <row r="13" spans="1:4" hidden="1" x14ac:dyDescent="0.2">
      <c r="A13" s="210" t="s">
        <v>51</v>
      </c>
      <c r="B13" t="s">
        <v>21</v>
      </c>
      <c r="C13">
        <v>2023</v>
      </c>
      <c r="D13" s="42">
        <v>18.182190972801568</v>
      </c>
    </row>
    <row r="14" spans="1:4" hidden="1" x14ac:dyDescent="0.2">
      <c r="A14" s="310" t="s">
        <v>74</v>
      </c>
      <c r="B14" t="s">
        <v>29</v>
      </c>
      <c r="C14">
        <v>2024</v>
      </c>
      <c r="D14" s="42">
        <v>18.269043084904524</v>
      </c>
    </row>
    <row r="15" spans="1:4" hidden="1" x14ac:dyDescent="0.2">
      <c r="A15" s="310" t="s">
        <v>31</v>
      </c>
      <c r="B15" t="s">
        <v>33</v>
      </c>
      <c r="C15">
        <v>2024</v>
      </c>
      <c r="D15" s="42">
        <v>18.371272916470087</v>
      </c>
    </row>
    <row r="16" spans="1:4" hidden="1" x14ac:dyDescent="0.2">
      <c r="A16" s="310" t="s">
        <v>14</v>
      </c>
      <c r="B16" t="s">
        <v>16</v>
      </c>
      <c r="C16">
        <v>2021</v>
      </c>
      <c r="D16" s="42">
        <v>18.398796233915558</v>
      </c>
    </row>
    <row r="17" spans="1:4" hidden="1" x14ac:dyDescent="0.2">
      <c r="A17" s="310" t="s">
        <v>27</v>
      </c>
      <c r="B17" t="s">
        <v>29</v>
      </c>
      <c r="C17">
        <v>2021</v>
      </c>
      <c r="D17" s="42">
        <v>18.824511174327444</v>
      </c>
    </row>
    <row r="18" spans="1:4" hidden="1" x14ac:dyDescent="0.2">
      <c r="A18" s="312" t="s">
        <v>22</v>
      </c>
      <c r="B18" t="s">
        <v>24</v>
      </c>
      <c r="C18">
        <v>2022</v>
      </c>
      <c r="D18" s="42">
        <v>18.944598727668463</v>
      </c>
    </row>
    <row r="19" spans="1:4" hidden="1" x14ac:dyDescent="0.2">
      <c r="A19" s="310" t="s">
        <v>42</v>
      </c>
      <c r="B19" t="s">
        <v>17</v>
      </c>
      <c r="C19">
        <v>2024</v>
      </c>
      <c r="D19" s="42">
        <v>19.171007375970731</v>
      </c>
    </row>
    <row r="20" spans="1:4" hidden="1" x14ac:dyDescent="0.2">
      <c r="A20" s="312" t="s">
        <v>52</v>
      </c>
      <c r="B20" t="s">
        <v>32</v>
      </c>
      <c r="C20">
        <v>2023</v>
      </c>
      <c r="D20" s="42">
        <v>19.297081151106337</v>
      </c>
    </row>
    <row r="21" spans="1:4" hidden="1" x14ac:dyDescent="0.2">
      <c r="A21" s="310" t="s">
        <v>18</v>
      </c>
      <c r="B21" t="s">
        <v>20</v>
      </c>
      <c r="C21">
        <v>2024</v>
      </c>
      <c r="D21" s="42">
        <v>19.479563601252309</v>
      </c>
    </row>
    <row r="22" spans="1:4" hidden="1" x14ac:dyDescent="0.2">
      <c r="A22" s="312" t="s">
        <v>14</v>
      </c>
      <c r="B22" t="s">
        <v>16</v>
      </c>
      <c r="C22">
        <v>2023</v>
      </c>
      <c r="D22" s="42">
        <v>19.878289377394342</v>
      </c>
    </row>
    <row r="23" spans="1:4" hidden="1" x14ac:dyDescent="0.2">
      <c r="A23" s="310" t="s">
        <v>23</v>
      </c>
      <c r="B23" t="s">
        <v>25</v>
      </c>
      <c r="C23">
        <v>2021</v>
      </c>
      <c r="D23" s="42">
        <v>19.910674045656659</v>
      </c>
    </row>
    <row r="24" spans="1:4" hidden="1" x14ac:dyDescent="0.2">
      <c r="A24" s="310" t="s">
        <v>26</v>
      </c>
      <c r="B24" t="s">
        <v>28</v>
      </c>
      <c r="C24">
        <v>2024</v>
      </c>
      <c r="D24" s="42">
        <v>20.029643555300243</v>
      </c>
    </row>
    <row r="25" spans="1:4" hidden="1" x14ac:dyDescent="0.2">
      <c r="A25" s="312" t="s">
        <v>31</v>
      </c>
      <c r="B25" t="s">
        <v>33</v>
      </c>
      <c r="C25">
        <v>2023</v>
      </c>
      <c r="D25" s="42">
        <v>20.178412604516129</v>
      </c>
    </row>
    <row r="26" spans="1:4" hidden="1" x14ac:dyDescent="0.2">
      <c r="A26" s="93" t="s">
        <v>35</v>
      </c>
      <c r="B26" t="s">
        <v>49</v>
      </c>
      <c r="C26">
        <v>2023</v>
      </c>
      <c r="D26" s="42">
        <v>20.433241078017478</v>
      </c>
    </row>
    <row r="27" spans="1:4" hidden="1" x14ac:dyDescent="0.2">
      <c r="A27" s="310" t="s">
        <v>73</v>
      </c>
      <c r="B27" t="s">
        <v>21</v>
      </c>
      <c r="C27">
        <v>2024</v>
      </c>
      <c r="D27" s="42">
        <v>20.455616995501899</v>
      </c>
    </row>
    <row r="28" spans="1:4" x14ac:dyDescent="0.2">
      <c r="A28" s="310" t="s">
        <v>526</v>
      </c>
      <c r="B28" t="s">
        <v>32</v>
      </c>
      <c r="C28">
        <v>2025</v>
      </c>
      <c r="D28" s="42">
        <v>20.770593752590862</v>
      </c>
    </row>
    <row r="29" spans="1:4" x14ac:dyDescent="0.2">
      <c r="A29" s="310" t="s">
        <v>525</v>
      </c>
      <c r="B29" t="s">
        <v>36</v>
      </c>
      <c r="C29">
        <v>2025</v>
      </c>
      <c r="D29" s="42">
        <v>21.533177876257636</v>
      </c>
    </row>
    <row r="30" spans="1:4" hidden="1" x14ac:dyDescent="0.2">
      <c r="A30" s="310" t="s">
        <v>26</v>
      </c>
      <c r="B30" t="s">
        <v>28</v>
      </c>
      <c r="C30">
        <v>2021</v>
      </c>
      <c r="D30" s="42">
        <v>21.594918538088173</v>
      </c>
    </row>
    <row r="31" spans="1:4" hidden="1" x14ac:dyDescent="0.2">
      <c r="A31" s="310" t="s">
        <v>77</v>
      </c>
      <c r="B31" t="s">
        <v>45</v>
      </c>
      <c r="C31">
        <v>2024</v>
      </c>
      <c r="D31" s="42">
        <v>21.5958695345285</v>
      </c>
    </row>
    <row r="32" spans="1:4" hidden="1" x14ac:dyDescent="0.2">
      <c r="A32" s="93" t="s">
        <v>18</v>
      </c>
      <c r="B32" t="s">
        <v>20</v>
      </c>
      <c r="C32">
        <v>2022</v>
      </c>
      <c r="D32" s="42">
        <v>21.603518231991931</v>
      </c>
    </row>
    <row r="33" spans="1:4" hidden="1" x14ac:dyDescent="0.2">
      <c r="A33" s="93" t="s">
        <v>18</v>
      </c>
      <c r="B33" t="s">
        <v>20</v>
      </c>
      <c r="C33">
        <v>2023</v>
      </c>
      <c r="D33" s="42">
        <v>21.644794117315048</v>
      </c>
    </row>
    <row r="34" spans="1:4" hidden="1" x14ac:dyDescent="0.2">
      <c r="A34" s="310" t="s">
        <v>19</v>
      </c>
      <c r="B34" t="s">
        <v>21</v>
      </c>
      <c r="C34">
        <v>2021</v>
      </c>
      <c r="D34" s="42">
        <v>22.04584919359354</v>
      </c>
    </row>
    <row r="35" spans="1:4" hidden="1" x14ac:dyDescent="0.2">
      <c r="A35" s="310" t="s">
        <v>35</v>
      </c>
      <c r="B35" t="s">
        <v>37</v>
      </c>
      <c r="C35">
        <v>2021</v>
      </c>
      <c r="D35" s="42">
        <v>22.623678956434293</v>
      </c>
    </row>
    <row r="36" spans="1:4" hidden="1" x14ac:dyDescent="0.2">
      <c r="A36" s="310" t="s">
        <v>35</v>
      </c>
      <c r="B36" t="s">
        <v>49</v>
      </c>
      <c r="C36">
        <v>2024</v>
      </c>
      <c r="D36" s="42">
        <v>22.766054764139742</v>
      </c>
    </row>
    <row r="37" spans="1:4" hidden="1" x14ac:dyDescent="0.2">
      <c r="A37" s="93" t="s">
        <v>26</v>
      </c>
      <c r="B37" t="s">
        <v>28</v>
      </c>
      <c r="C37">
        <v>2022</v>
      </c>
      <c r="D37" s="42">
        <v>22.883160620858316</v>
      </c>
    </row>
    <row r="38" spans="1:4" x14ac:dyDescent="0.2">
      <c r="A38" s="32" t="s">
        <v>35</v>
      </c>
      <c r="B38" t="s">
        <v>49</v>
      </c>
      <c r="C38">
        <v>2025</v>
      </c>
      <c r="D38" s="42">
        <v>23.04079482946787</v>
      </c>
    </row>
    <row r="39" spans="1:4" hidden="1" x14ac:dyDescent="0.2">
      <c r="A39" s="32" t="s">
        <v>76</v>
      </c>
      <c r="B39" t="s">
        <v>32</v>
      </c>
      <c r="C39">
        <v>2024</v>
      </c>
      <c r="D39" s="42">
        <v>23.22836156409608</v>
      </c>
    </row>
    <row r="40" spans="1:4" hidden="1" x14ac:dyDescent="0.2">
      <c r="A40" s="210" t="s">
        <v>39</v>
      </c>
      <c r="B40" t="s">
        <v>32</v>
      </c>
      <c r="C40">
        <v>2022</v>
      </c>
      <c r="D40" s="42">
        <v>23.694860443323442</v>
      </c>
    </row>
    <row r="41" spans="1:4" hidden="1" x14ac:dyDescent="0.2">
      <c r="A41" s="210" t="s">
        <v>42</v>
      </c>
      <c r="B41" t="s">
        <v>17</v>
      </c>
      <c r="C41">
        <v>2022</v>
      </c>
      <c r="D41" s="42">
        <v>23.958537358965675</v>
      </c>
    </row>
    <row r="42" spans="1:4" hidden="1" x14ac:dyDescent="0.2">
      <c r="A42" s="210" t="s">
        <v>50</v>
      </c>
      <c r="B42" t="s">
        <v>29</v>
      </c>
      <c r="C42">
        <v>2023</v>
      </c>
      <c r="D42" s="42">
        <v>23.971203200030427</v>
      </c>
    </row>
    <row r="43" spans="1:4" hidden="1" x14ac:dyDescent="0.2">
      <c r="A43" s="32" t="s">
        <v>34</v>
      </c>
      <c r="B43" t="s">
        <v>36</v>
      </c>
      <c r="C43">
        <v>2021</v>
      </c>
      <c r="D43" s="42">
        <v>24.026855767978383</v>
      </c>
    </row>
    <row r="44" spans="1:4" hidden="1" x14ac:dyDescent="0.2">
      <c r="A44" s="210" t="s">
        <v>44</v>
      </c>
      <c r="B44" t="s">
        <v>45</v>
      </c>
      <c r="C44">
        <v>2022</v>
      </c>
      <c r="D44" s="42">
        <v>24.425369091133359</v>
      </c>
    </row>
    <row r="45" spans="1:4" x14ac:dyDescent="0.2">
      <c r="A45" s="32" t="s">
        <v>26</v>
      </c>
      <c r="B45" t="s">
        <v>28</v>
      </c>
      <c r="C45">
        <v>2025</v>
      </c>
      <c r="D45" s="42">
        <v>24.526692165300762</v>
      </c>
    </row>
    <row r="46" spans="1:4" hidden="1" x14ac:dyDescent="0.2">
      <c r="A46" s="210" t="s">
        <v>44</v>
      </c>
      <c r="B46" t="s">
        <v>45</v>
      </c>
      <c r="C46">
        <v>2023</v>
      </c>
      <c r="D46" s="42">
        <v>24.572968268481684</v>
      </c>
    </row>
    <row r="47" spans="1:4" hidden="1" x14ac:dyDescent="0.2">
      <c r="A47" s="32" t="s">
        <v>18</v>
      </c>
      <c r="B47" t="s">
        <v>20</v>
      </c>
      <c r="C47">
        <v>2021</v>
      </c>
      <c r="D47" s="42">
        <v>24.861054875523884</v>
      </c>
    </row>
    <row r="48" spans="1:4" x14ac:dyDescent="0.2">
      <c r="A48" s="32" t="s">
        <v>524</v>
      </c>
      <c r="B48" t="s">
        <v>21</v>
      </c>
      <c r="C48">
        <v>2025</v>
      </c>
      <c r="D48" s="42">
        <v>24.966936553752969</v>
      </c>
    </row>
    <row r="49" spans="1:4" x14ac:dyDescent="0.2">
      <c r="A49" s="310" t="s">
        <v>18</v>
      </c>
      <c r="B49" s="310" t="s">
        <v>20</v>
      </c>
      <c r="C49" s="310">
        <v>2025</v>
      </c>
      <c r="D49" s="327">
        <v>25.11921290850611</v>
      </c>
    </row>
    <row r="50" spans="1:4" hidden="1" x14ac:dyDescent="0.2">
      <c r="A50" s="210" t="s">
        <v>46</v>
      </c>
      <c r="B50" t="s">
        <v>47</v>
      </c>
      <c r="C50">
        <v>2023</v>
      </c>
      <c r="D50" s="42">
        <v>25.515580898177419</v>
      </c>
    </row>
    <row r="51" spans="1:4" hidden="1" x14ac:dyDescent="0.2">
      <c r="A51" s="32" t="s">
        <v>46</v>
      </c>
      <c r="B51" t="s">
        <v>47</v>
      </c>
      <c r="C51">
        <v>2024</v>
      </c>
      <c r="D51" s="42">
        <v>25.832436752490654</v>
      </c>
    </row>
    <row r="52" spans="1:4" x14ac:dyDescent="0.2">
      <c r="A52" s="310" t="s">
        <v>521</v>
      </c>
      <c r="B52" s="310" t="s">
        <v>29</v>
      </c>
      <c r="C52" s="310">
        <v>2025</v>
      </c>
      <c r="D52" s="327">
        <v>26.674807969688953</v>
      </c>
    </row>
    <row r="53" spans="1:4" hidden="1" x14ac:dyDescent="0.2">
      <c r="A53" s="210" t="s">
        <v>26</v>
      </c>
      <c r="B53" t="s">
        <v>28</v>
      </c>
      <c r="C53">
        <v>2023</v>
      </c>
      <c r="D53" s="42">
        <v>26.674861859775511</v>
      </c>
    </row>
    <row r="54" spans="1:4" hidden="1" x14ac:dyDescent="0.2">
      <c r="A54" s="210" t="s">
        <v>48</v>
      </c>
      <c r="B54" t="s">
        <v>36</v>
      </c>
      <c r="C54">
        <v>2023</v>
      </c>
      <c r="D54" s="42">
        <v>26.847945243715138</v>
      </c>
    </row>
    <row r="55" spans="1:4" hidden="1" x14ac:dyDescent="0.2">
      <c r="A55" s="32" t="s">
        <v>22</v>
      </c>
      <c r="B55" t="s">
        <v>24</v>
      </c>
      <c r="C55">
        <v>2021</v>
      </c>
      <c r="D55" s="42">
        <v>26.980181933094059</v>
      </c>
    </row>
    <row r="56" spans="1:4" hidden="1" x14ac:dyDescent="0.2">
      <c r="A56" s="32" t="s">
        <v>15</v>
      </c>
      <c r="B56" t="s">
        <v>17</v>
      </c>
      <c r="C56">
        <v>2021</v>
      </c>
      <c r="D56" s="42">
        <v>27.399906638700802</v>
      </c>
    </row>
    <row r="57" spans="1:4" hidden="1" x14ac:dyDescent="0.2">
      <c r="A57" s="210" t="s">
        <v>40</v>
      </c>
      <c r="B57" t="s">
        <v>29</v>
      </c>
      <c r="C57">
        <v>2022</v>
      </c>
      <c r="D57" s="42">
        <v>28.754609535234689</v>
      </c>
    </row>
    <row r="58" spans="1:4" hidden="1" x14ac:dyDescent="0.2">
      <c r="A58" s="210" t="s">
        <v>38</v>
      </c>
      <c r="B58" t="s">
        <v>36</v>
      </c>
      <c r="C58">
        <v>2022</v>
      </c>
      <c r="D58" s="42">
        <v>29.697734208906454</v>
      </c>
    </row>
    <row r="59" spans="1:4" hidden="1" x14ac:dyDescent="0.2">
      <c r="A59" s="210" t="s">
        <v>23</v>
      </c>
      <c r="B59" t="s">
        <v>25</v>
      </c>
      <c r="C59">
        <v>2022</v>
      </c>
      <c r="D59" s="42">
        <v>30.267269261884724</v>
      </c>
    </row>
    <row r="60" spans="1:4" hidden="1" x14ac:dyDescent="0.2">
      <c r="A60" s="32" t="s">
        <v>466</v>
      </c>
      <c r="B60" t="s">
        <v>32</v>
      </c>
      <c r="C60">
        <v>2021</v>
      </c>
      <c r="D60" s="42">
        <v>32.076078195143417</v>
      </c>
    </row>
    <row r="61" spans="1:4" x14ac:dyDescent="0.2">
      <c r="A61" s="74" t="s">
        <v>77</v>
      </c>
      <c r="B61" t="s">
        <v>45</v>
      </c>
      <c r="C61">
        <v>2025</v>
      </c>
      <c r="D61" s="42">
        <v>35.602815544915465</v>
      </c>
    </row>
  </sheetData>
  <autoFilter ref="A1:D61" xr:uid="{CF74D2DF-B9A1-9F46-8695-DCEC8266A3E2}">
    <filterColumn colId="2">
      <filters>
        <filter val="2025"/>
      </filters>
    </filterColumn>
    <sortState xmlns:xlrd2="http://schemas.microsoft.com/office/spreadsheetml/2017/richdata2" ref="A2:D61">
      <sortCondition ref="D1:D61"/>
    </sortState>
  </autoFilter>
  <conditionalFormatting sqref="D1:D1048576">
    <cfRule type="colorScale" priority="1">
      <colorScale>
        <cfvo type="min"/>
        <cfvo type="percentile" val="50"/>
        <cfvo type="max"/>
        <color theme="4" tint="0.59999389629810485"/>
        <color theme="0"/>
        <color theme="5" tint="0.59999389629810485"/>
      </colorScale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B44F-8134-F446-9860-BBB304C2621A}">
  <dimension ref="A2:F32"/>
  <sheetViews>
    <sheetView workbookViewId="0">
      <selection activeCell="F37" sqref="F37"/>
    </sheetView>
  </sheetViews>
  <sheetFormatPr baseColWidth="10" defaultRowHeight="16" x14ac:dyDescent="0.2"/>
  <cols>
    <col min="2" max="2" width="25" customWidth="1"/>
    <col min="3" max="3" width="16.33203125" customWidth="1"/>
    <col min="4" max="4" width="12.1640625" customWidth="1"/>
    <col min="5" max="5" width="14.5" customWidth="1"/>
  </cols>
  <sheetData>
    <row r="2" spans="1:6" x14ac:dyDescent="0.2">
      <c r="A2" s="27"/>
      <c r="B2" s="27"/>
      <c r="C2" s="27"/>
      <c r="D2" s="27"/>
      <c r="E2" s="27"/>
      <c r="F2" s="27"/>
    </row>
    <row r="3" spans="1:6" ht="35" customHeight="1" x14ac:dyDescent="0.25">
      <c r="A3" s="27"/>
      <c r="B3" s="299" t="s">
        <v>671</v>
      </c>
      <c r="C3" s="294"/>
      <c r="D3" s="294"/>
      <c r="E3" s="295"/>
      <c r="F3" s="27"/>
    </row>
    <row r="4" spans="1:6" x14ac:dyDescent="0.2">
      <c r="A4" s="27"/>
      <c r="B4" s="69" t="s">
        <v>509</v>
      </c>
      <c r="C4" s="70" t="s">
        <v>79</v>
      </c>
      <c r="D4" s="70" t="s">
        <v>0</v>
      </c>
      <c r="E4" s="86" t="s">
        <v>670</v>
      </c>
      <c r="F4" s="27"/>
    </row>
    <row r="5" spans="1:6" x14ac:dyDescent="0.2">
      <c r="A5" s="27"/>
      <c r="B5" s="32" t="s">
        <v>31</v>
      </c>
      <c r="C5" s="310" t="s">
        <v>33</v>
      </c>
      <c r="D5" s="310">
        <v>2021</v>
      </c>
      <c r="E5" s="71">
        <v>14.196109460324811</v>
      </c>
      <c r="F5" s="27"/>
    </row>
    <row r="6" spans="1:6" x14ac:dyDescent="0.2">
      <c r="A6" s="27"/>
      <c r="B6" s="36" t="s">
        <v>42</v>
      </c>
      <c r="C6" s="314" t="s">
        <v>17</v>
      </c>
      <c r="D6" s="314">
        <v>2025</v>
      </c>
      <c r="E6" s="116">
        <v>14.872157628517419</v>
      </c>
      <c r="F6" s="27"/>
    </row>
    <row r="7" spans="1:6" x14ac:dyDescent="0.2">
      <c r="A7" s="27"/>
      <c r="B7" s="210" t="s">
        <v>14</v>
      </c>
      <c r="C7" s="310" t="s">
        <v>16</v>
      </c>
      <c r="D7" s="310">
        <v>2022</v>
      </c>
      <c r="E7" s="71">
        <v>15.182450144194465</v>
      </c>
      <c r="F7" s="27"/>
    </row>
    <row r="8" spans="1:6" x14ac:dyDescent="0.2">
      <c r="A8" s="27"/>
      <c r="B8" s="210" t="s">
        <v>31</v>
      </c>
      <c r="C8" s="312" t="s">
        <v>41</v>
      </c>
      <c r="D8" s="310">
        <v>2022</v>
      </c>
      <c r="E8" s="71">
        <v>16.152374202604268</v>
      </c>
      <c r="F8" s="27"/>
    </row>
    <row r="9" spans="1:6" x14ac:dyDescent="0.2">
      <c r="A9" s="27"/>
      <c r="B9" s="36" t="s">
        <v>46</v>
      </c>
      <c r="C9" s="314" t="s">
        <v>47</v>
      </c>
      <c r="D9" s="314">
        <v>2025</v>
      </c>
      <c r="E9" s="116">
        <v>16.573329561293843</v>
      </c>
      <c r="F9" s="27"/>
    </row>
    <row r="10" spans="1:6" x14ac:dyDescent="0.2">
      <c r="A10" s="27"/>
      <c r="B10" s="32" t="s">
        <v>75</v>
      </c>
      <c r="C10" s="310" t="s">
        <v>36</v>
      </c>
      <c r="D10" s="310">
        <v>2024</v>
      </c>
      <c r="E10" s="71">
        <v>16.70775491458129</v>
      </c>
      <c r="F10" s="27"/>
    </row>
    <row r="11" spans="1:6" x14ac:dyDescent="0.2">
      <c r="A11" s="27"/>
      <c r="B11" s="32" t="s">
        <v>14</v>
      </c>
      <c r="C11" s="310" t="s">
        <v>16</v>
      </c>
      <c r="D11" s="310">
        <v>2024</v>
      </c>
      <c r="E11" s="71">
        <v>17.49337942792998</v>
      </c>
      <c r="F11" s="27"/>
    </row>
    <row r="12" spans="1:6" x14ac:dyDescent="0.2">
      <c r="A12" s="27"/>
      <c r="B12" s="36" t="s">
        <v>31</v>
      </c>
      <c r="C12" s="314" t="s">
        <v>33</v>
      </c>
      <c r="D12" s="314">
        <v>2025</v>
      </c>
      <c r="E12" s="116">
        <v>17.586391342158713</v>
      </c>
      <c r="F12" s="27"/>
    </row>
    <row r="13" spans="1:6" x14ac:dyDescent="0.2">
      <c r="A13" s="27"/>
      <c r="B13" s="210" t="s">
        <v>42</v>
      </c>
      <c r="C13" s="310" t="s">
        <v>17</v>
      </c>
      <c r="D13" s="310">
        <v>2023</v>
      </c>
      <c r="E13" s="71">
        <v>17.766362867053221</v>
      </c>
      <c r="F13" s="27"/>
    </row>
    <row r="14" spans="1:6" x14ac:dyDescent="0.2">
      <c r="A14" s="27"/>
      <c r="B14" s="230" t="s">
        <v>43</v>
      </c>
      <c r="C14" s="75" t="s">
        <v>21</v>
      </c>
      <c r="D14" s="75">
        <v>2022</v>
      </c>
      <c r="E14" s="26">
        <v>17.963147778027047</v>
      </c>
      <c r="F14" s="27"/>
    </row>
    <row r="15" spans="1:6" x14ac:dyDescent="0.2">
      <c r="A15" s="27"/>
      <c r="B15" s="27"/>
      <c r="C15" s="27"/>
      <c r="D15" s="27"/>
      <c r="E15" s="27"/>
      <c r="F15" s="27"/>
    </row>
    <row r="16" spans="1:6" x14ac:dyDescent="0.2">
      <c r="A16" s="27"/>
      <c r="B16" s="27"/>
      <c r="C16" s="27"/>
      <c r="D16" s="27"/>
      <c r="E16" s="27"/>
      <c r="F16" s="27"/>
    </row>
    <row r="17" spans="1:6" ht="18" customHeight="1" x14ac:dyDescent="0.25">
      <c r="A17" s="27"/>
      <c r="B17" s="299" t="s">
        <v>673</v>
      </c>
      <c r="C17" s="294"/>
      <c r="D17" s="294"/>
      <c r="E17" s="295"/>
      <c r="F17" s="27"/>
    </row>
    <row r="18" spans="1:6" x14ac:dyDescent="0.2">
      <c r="A18" s="27"/>
      <c r="B18" s="69" t="s">
        <v>509</v>
      </c>
      <c r="C18" s="70" t="s">
        <v>79</v>
      </c>
      <c r="D18" s="70" t="s">
        <v>0</v>
      </c>
      <c r="E18" s="86" t="s">
        <v>670</v>
      </c>
      <c r="F18" s="27"/>
    </row>
    <row r="19" spans="1:6" x14ac:dyDescent="0.2">
      <c r="A19" s="27"/>
      <c r="B19" s="46" t="s">
        <v>42</v>
      </c>
      <c r="C19" s="124" t="s">
        <v>17</v>
      </c>
      <c r="D19" s="124">
        <v>2025</v>
      </c>
      <c r="E19" s="221">
        <v>14.872157628517419</v>
      </c>
      <c r="F19" s="27"/>
    </row>
    <row r="20" spans="1:6" x14ac:dyDescent="0.2">
      <c r="A20" s="27"/>
      <c r="B20" s="32" t="s">
        <v>46</v>
      </c>
      <c r="C20" s="310" t="s">
        <v>47</v>
      </c>
      <c r="D20" s="310">
        <v>2025</v>
      </c>
      <c r="E20" s="71">
        <v>16.573329561293843</v>
      </c>
      <c r="F20" s="27"/>
    </row>
    <row r="21" spans="1:6" x14ac:dyDescent="0.2">
      <c r="A21" s="27"/>
      <c r="B21" s="32" t="s">
        <v>31</v>
      </c>
      <c r="C21" s="310" t="s">
        <v>33</v>
      </c>
      <c r="D21" s="310">
        <v>2025</v>
      </c>
      <c r="E21" s="71">
        <v>17.586391342158713</v>
      </c>
      <c r="F21" s="27"/>
    </row>
    <row r="22" spans="1:6" x14ac:dyDescent="0.2">
      <c r="A22" s="27"/>
      <c r="B22" s="32" t="s">
        <v>14</v>
      </c>
      <c r="C22" s="310" t="s">
        <v>16</v>
      </c>
      <c r="D22" s="310">
        <v>2025</v>
      </c>
      <c r="E22" s="71">
        <v>18.078168486441651</v>
      </c>
      <c r="F22" s="27"/>
    </row>
    <row r="23" spans="1:6" x14ac:dyDescent="0.2">
      <c r="A23" s="27"/>
      <c r="B23" s="32" t="s">
        <v>526</v>
      </c>
      <c r="C23" s="310" t="s">
        <v>32</v>
      </c>
      <c r="D23" s="310">
        <v>2025</v>
      </c>
      <c r="E23" s="71">
        <v>20.770593752590862</v>
      </c>
      <c r="F23" s="27"/>
    </row>
    <row r="24" spans="1:6" x14ac:dyDescent="0.2">
      <c r="A24" s="27"/>
      <c r="B24" s="32" t="s">
        <v>525</v>
      </c>
      <c r="C24" s="310" t="s">
        <v>36</v>
      </c>
      <c r="D24" s="310">
        <v>2025</v>
      </c>
      <c r="E24" s="71">
        <v>21.533177876257636</v>
      </c>
      <c r="F24" s="27"/>
    </row>
    <row r="25" spans="1:6" x14ac:dyDescent="0.2">
      <c r="A25" s="27"/>
      <c r="B25" s="32" t="s">
        <v>35</v>
      </c>
      <c r="C25" s="310" t="s">
        <v>49</v>
      </c>
      <c r="D25" s="310">
        <v>2025</v>
      </c>
      <c r="E25" s="71">
        <v>23.04079482946787</v>
      </c>
      <c r="F25" s="27"/>
    </row>
    <row r="26" spans="1:6" x14ac:dyDescent="0.2">
      <c r="A26" s="27"/>
      <c r="B26" s="32" t="s">
        <v>26</v>
      </c>
      <c r="C26" s="310" t="s">
        <v>28</v>
      </c>
      <c r="D26" s="310">
        <v>2025</v>
      </c>
      <c r="E26" s="71">
        <v>24.526692165300762</v>
      </c>
      <c r="F26" s="27"/>
    </row>
    <row r="27" spans="1:6" x14ac:dyDescent="0.2">
      <c r="A27" s="27"/>
      <c r="B27" s="32" t="s">
        <v>524</v>
      </c>
      <c r="C27" s="310" t="s">
        <v>21</v>
      </c>
      <c r="D27" s="310">
        <v>2025</v>
      </c>
      <c r="E27" s="71">
        <v>24.966936553752969</v>
      </c>
      <c r="F27" s="27"/>
    </row>
    <row r="28" spans="1:6" x14ac:dyDescent="0.2">
      <c r="A28" s="27"/>
      <c r="B28" s="32" t="s">
        <v>18</v>
      </c>
      <c r="C28" s="310" t="s">
        <v>20</v>
      </c>
      <c r="D28" s="310">
        <v>2025</v>
      </c>
      <c r="E28" s="71">
        <v>25.11921290850611</v>
      </c>
      <c r="F28" s="27"/>
    </row>
    <row r="29" spans="1:6" x14ac:dyDescent="0.2">
      <c r="A29" s="27"/>
      <c r="B29" s="32" t="s">
        <v>521</v>
      </c>
      <c r="C29" s="310" t="s">
        <v>29</v>
      </c>
      <c r="D29" s="310">
        <v>2025</v>
      </c>
      <c r="E29" s="71">
        <v>26.674807969688953</v>
      </c>
      <c r="F29" s="27"/>
    </row>
    <row r="30" spans="1:6" x14ac:dyDescent="0.2">
      <c r="A30" s="27"/>
      <c r="B30" s="74" t="s">
        <v>77</v>
      </c>
      <c r="C30" s="75" t="s">
        <v>45</v>
      </c>
      <c r="D30" s="75">
        <v>2025</v>
      </c>
      <c r="E30" s="26">
        <v>35.602815544915465</v>
      </c>
      <c r="F30" s="27"/>
    </row>
    <row r="31" spans="1:6" x14ac:dyDescent="0.2">
      <c r="A31" s="339"/>
      <c r="B31" s="339" t="s">
        <v>672</v>
      </c>
      <c r="C31" s="27"/>
      <c r="D31" s="27"/>
      <c r="E31" s="27"/>
      <c r="F31" s="27"/>
    </row>
    <row r="32" spans="1:6" x14ac:dyDescent="0.2">
      <c r="A32" s="27"/>
    </row>
  </sheetData>
  <mergeCells count="2">
    <mergeCell ref="B3:E3"/>
    <mergeCell ref="B17:E17"/>
  </mergeCells>
  <conditionalFormatting sqref="E4:E14">
    <cfRule type="colorScale" priority="3">
      <colorScale>
        <cfvo type="min"/>
        <cfvo type="max"/>
        <color theme="4" tint="0.59999389629810485"/>
        <color theme="0"/>
      </colorScale>
    </cfRule>
  </conditionalFormatting>
  <conditionalFormatting sqref="E18">
    <cfRule type="colorScale" priority="2">
      <colorScale>
        <cfvo type="min"/>
        <cfvo type="max"/>
        <color theme="4" tint="0.59999389629810485"/>
        <color theme="0"/>
      </colorScale>
    </cfRule>
  </conditionalFormatting>
  <conditionalFormatting sqref="E19:E30">
    <cfRule type="colorScale" priority="1">
      <colorScale>
        <cfvo type="min"/>
        <cfvo type="percentile" val="50"/>
        <cfvo type="max"/>
        <color theme="4" tint="0.59999389629810485"/>
        <color theme="0"/>
        <color theme="5" tint="0.59999389629810485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summary</vt:lpstr>
      <vt:lpstr>h2h</vt:lpstr>
      <vt:lpstr>positional_raw</vt:lpstr>
      <vt:lpstr>positional_clean_2025</vt:lpstr>
      <vt:lpstr>top scoring games</vt:lpstr>
      <vt:lpstr>top scores-playoffs</vt:lpstr>
      <vt:lpstr>player_trends</vt:lpstr>
      <vt:lpstr>pa</vt:lpstr>
      <vt:lpstr>pa chart</vt:lpstr>
      <vt:lpstr>champions</vt:lpstr>
      <vt:lpstr>playoff record</vt:lpstr>
      <vt:lpstr>sims</vt:lpstr>
      <vt:lpstr>sims_teams</vt:lpstr>
      <vt:lpstr>wins_per_team</vt:lpstr>
      <vt:lpstr>11+</vt:lpstr>
      <vt:lpstr>half-split</vt:lpstr>
      <vt:lpstr>Tightest games</vt:lpstr>
      <vt:lpstr>win streaks</vt:lpstr>
      <vt:lpstr>sacko</vt:lpstr>
      <vt:lpstr>pivotwk2</vt:lpstr>
      <vt:lpstr>pivotwk3</vt:lpstr>
      <vt:lpstr>pivotwk4</vt:lpstr>
      <vt:lpstr>pivotwk5</vt:lpstr>
      <vt:lpstr>pivotwk6</vt:lpstr>
      <vt:lpstr>wk7pivot</vt:lpstr>
      <vt:lpstr>wk8pivot</vt:lpstr>
      <vt:lpstr>wk9pivot</vt:lpstr>
      <vt:lpstr>wk10pivot</vt:lpstr>
      <vt:lpstr>wk11pivot</vt:lpstr>
      <vt:lpstr>wk12pivot</vt:lpstr>
      <vt:lpstr>wk13pivot</vt:lpstr>
      <vt:lpstr>wk14pivot</vt:lpstr>
      <vt:lpstr>4 game stretch</vt:lpstr>
      <vt:lpstr>4 game stretch clean</vt:lpstr>
      <vt:lpstr>8 game stretch</vt:lpstr>
      <vt:lpstr>8 game clean</vt:lpstr>
      <vt:lpstr>best-worst teams</vt:lpstr>
      <vt:lpstr>9th place</vt:lpstr>
      <vt:lpstr>cam</vt:lpstr>
      <vt:lpstr>start vs finish</vt:lpstr>
      <vt:lpstr>start vs finish clean</vt:lpstr>
      <vt:lpstr>std dev_raw</vt:lpstr>
      <vt:lpstr>std 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Brenton Arnaboldi</cp:lastModifiedBy>
  <dcterms:created xsi:type="dcterms:W3CDTF">2024-12-18T03:33:57Z</dcterms:created>
  <dcterms:modified xsi:type="dcterms:W3CDTF">2026-01-19T21:53:22Z</dcterms:modified>
</cp:coreProperties>
</file>